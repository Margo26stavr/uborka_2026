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70.200\плановый отдел\Бюджет 2026\ФАКТ\Производство\"/>
    </mc:Choice>
  </mc:AlternateContent>
  <xr:revisionPtr revIDLastSave="0" documentId="13_ncr:1_{97C74904-CBBA-4F91-B089-B981D60F731D}" xr6:coauthVersionLast="47" xr6:coauthVersionMax="47" xr10:uidLastSave="{00000000-0000-0000-0000-000000000000}"/>
  <bookViews>
    <workbookView xWindow="-120" yWindow="-120" windowWidth="29040" windowHeight="15840" activeTab="1" xr2:uid="{5697CE9D-D76D-4881-B63D-1C855ABBD3CE}"/>
  </bookViews>
  <sheets>
    <sheet name="Лист1" sheetId="4" r:id="rId1"/>
    <sheet name="выработка" sheetId="2" r:id="rId2"/>
    <sheet name="простои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50" i="4" l="1"/>
  <c r="M51" i="4" s="1"/>
  <c r="M49" i="4"/>
  <c r="M52" i="4" l="1"/>
  <c r="M53" i="4" l="1"/>
  <c r="M54" i="4" l="1"/>
  <c r="M55" i="4" l="1"/>
  <c r="M56" i="4" l="1"/>
  <c r="M57" i="4" l="1"/>
  <c r="M58" i="4" l="1"/>
  <c r="M59" i="4" s="1"/>
  <c r="M60" i="4" s="1"/>
  <c r="M61" i="4" s="1"/>
  <c r="M62" i="4" s="1"/>
  <c r="M63" i="4" s="1"/>
  <c r="M64" i="4" s="1"/>
  <c r="M65" i="4" s="1"/>
  <c r="M66" i="4" s="1"/>
  <c r="M67" i="4" s="1"/>
  <c r="M68" i="4" s="1"/>
  <c r="M69" i="4" s="1"/>
  <c r="M70" i="4" s="1"/>
  <c r="M71" i="4" s="1"/>
  <c r="M72" i="4" s="1"/>
  <c r="M73" i="4" s="1"/>
  <c r="M74" i="4" s="1"/>
  <c r="M75" i="4" s="1"/>
  <c r="M76" i="4" s="1"/>
  <c r="M77" i="4" s="1"/>
  <c r="M78" i="4" s="1"/>
  <c r="M79" i="4" s="1"/>
  <c r="M80" i="4" s="1"/>
  <c r="M81" i="4" s="1"/>
  <c r="M82" i="4" s="1"/>
  <c r="M83" i="4" s="1"/>
  <c r="M84" i="4" s="1"/>
  <c r="M85" i="4" s="1"/>
  <c r="A73" i="3" l="1"/>
  <c r="A72" i="3"/>
  <c r="B396" i="4" l="1"/>
  <c r="B222" i="4"/>
  <c r="B29" i="2" l="1"/>
  <c r="B28" i="2" s="1"/>
  <c r="C29" i="2"/>
  <c r="C28" i="2" s="1"/>
  <c r="D29" i="2"/>
  <c r="D28" i="2" s="1"/>
  <c r="E29" i="2"/>
  <c r="E28" i="2" s="1"/>
  <c r="C26" i="2"/>
  <c r="D26" i="2"/>
  <c r="E26" i="2"/>
  <c r="C27" i="2"/>
  <c r="D27" i="2"/>
  <c r="E27" i="2"/>
  <c r="B26" i="2"/>
  <c r="B27" i="2"/>
  <c r="D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Огей Маргарита Викторовна</author>
  </authors>
  <commentList>
    <comment ref="A32" authorId="0" shapeId="0" xr:uid="{953FB75A-8A39-4037-9DFE-15D4983F9ABA}">
      <text>
        <r>
          <rPr>
            <b/>
            <sz val="9"/>
            <color indexed="81"/>
            <rFont val="Tahoma"/>
            <family val="2"/>
            <charset val="204"/>
          </rPr>
          <t>Огей Маргарита Викторовна:</t>
        </r>
        <r>
          <rPr>
            <sz val="9"/>
            <color indexed="81"/>
            <rFont val="Tahoma"/>
            <family val="2"/>
            <charset val="204"/>
          </rPr>
          <t xml:space="preserve">
+1 день, т.к. мобильн отчет не понимает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Огей Маргарита Викторовна</author>
  </authors>
  <commentList>
    <comment ref="A2" authorId="0" shapeId="0" xr:uid="{BBE5C3E6-BA4B-4CA6-A19F-94E821D16263}">
      <text>
        <r>
          <rPr>
            <b/>
            <sz val="9"/>
            <color indexed="81"/>
            <rFont val="Tahoma"/>
            <family val="2"/>
            <charset val="204"/>
          </rPr>
          <t>Огей Маргарита Викторовна:</t>
        </r>
        <r>
          <rPr>
            <sz val="9"/>
            <color indexed="81"/>
            <rFont val="Tahoma"/>
            <family val="2"/>
            <charset val="204"/>
          </rPr>
          <t xml:space="preserve">
+1 день для моб отчета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C02BE1F-6EB1-4923-AD41-8C4BE630FB65}" keepAlive="1" name="Запрос — Таблица1" description="Соединение с запросом &quot;Таблица1&quot; в книге." type="5" refreshedVersion="8" background="1">
    <dbPr connection="Provider=Microsoft.Mashup.OleDb.1;Data Source=$Workbook$;Location=Таблица1;Extended Properties=&quot;&quot;" command="SELECT * FROM [Таблица1]"/>
  </connection>
</connections>
</file>

<file path=xl/sharedStrings.xml><?xml version="1.0" encoding="utf-8"?>
<sst xmlns="http://schemas.openxmlformats.org/spreadsheetml/2006/main" count="2132" uniqueCount="147">
  <si>
    <t>Дата</t>
  </si>
  <si>
    <t>ПП</t>
  </si>
  <si>
    <t>ГБС</t>
  </si>
  <si>
    <t>ВС</t>
  </si>
  <si>
    <t>1с</t>
  </si>
  <si>
    <t>2с</t>
  </si>
  <si>
    <t>Горох итого</t>
  </si>
  <si>
    <t>Выработка по дням</t>
  </si>
  <si>
    <t>2026г</t>
  </si>
  <si>
    <t>2025г</t>
  </si>
  <si>
    <t>2024г</t>
  </si>
  <si>
    <t>2023г</t>
  </si>
  <si>
    <t>max выраб.в сутки тыс.шт</t>
  </si>
  <si>
    <t>колич-во раб дней</t>
  </si>
  <si>
    <t>Показатели</t>
  </si>
  <si>
    <t>Сорт</t>
  </si>
  <si>
    <t>2024 г</t>
  </si>
  <si>
    <t>2025 г</t>
  </si>
  <si>
    <t>2026 г</t>
  </si>
  <si>
    <t>среднедевная выраб</t>
  </si>
  <si>
    <t>смена</t>
  </si>
  <si>
    <t>ЛН-1</t>
  </si>
  <si>
    <t>ЛН-2</t>
  </si>
  <si>
    <t>Причины простоев</t>
  </si>
  <si>
    <t>день</t>
  </si>
  <si>
    <t>ночь</t>
  </si>
  <si>
    <t>Отсутствие сырья на заводе. Молодой горох. Машина зашла на территорию в 7.00 | Выгрузка, анализ, запуск. с 8.00 линии в работе.</t>
  </si>
  <si>
    <t>Настройка линии в потоке.</t>
  </si>
  <si>
    <t>Настройка линии в потоке. Плановое повышение скорости.</t>
  </si>
  <si>
    <t>Настройка лн2 (замятие жб в распределительном шнеке). / Недостаточно сырья в бункере (поломка автомобиля) - 35 мин.</t>
  </si>
  <si>
    <t>Отсутствие сырья на заводе. Молодой горох.</t>
  </si>
  <si>
    <t>Кратковременное отключение элэнергии, восстановление параметров, наполнение бункеров  - 29 мин. / Выгрузка машины, анализ, наполнение бункеров 59 мин. Отсутствие сырья на линии ( Автомобиль Газ не выгружается на лн2), выгрузка следующей машины, наполнение бункеров - 55 мин. Ошибка оператора на закаточной машине - 21 мин Замена редуктора на элеваторе лн2 - 70 мин. Кратковременное отключение элэнергии, восстановление параметров, наполнение бункеров  - 29 мин.</t>
  </si>
  <si>
    <t>На корзиноукладчике зависла магнитная голова - 2 мин Корзиноукладчик не берет прокладку - 3 мин Наполнение бункеров после мойки - 9 мин Мойка линии - 80 мин / На депалетайзере застрял поддон (нарушена геометрия) - 4 мин Замятие крышки 1 раз - 6 мин Застряла банка в ошпаривателе 2 раза (перевернутая) - 2 и 3 мин На первичке выбило приёмный бункер - 14 мин Выбило наполнитель зерна - 4 мин Наполнение бункеров после мойки - 10 мин Мойка линии 80 мин.</t>
  </si>
  <si>
    <t>Корзиноукладчик не берет прокладку 2 раза - 4 мин, сбой датчика- 2 мин Нет подачи банки с депаллетайзера - 3 раза - 20 мин Сбой работы наполнителя заливы, восстановление, наполнение бункеров - 38 мин Мойка линии - 30 мин Наполнение бункеров после мойки - 7 мин / Нет подачи банки с депаллетайзера 3 раза - 18 мин Отсутствие сырья на заводе, выгрузка машин, наполнение бункеров 2 раза - общее время - 78 мин. В это время мойка линии 35 мин.</t>
  </si>
  <si>
    <t>Замятие крышки в закатке- 5 минКорзиноукладчик не берет прокладку 1 раза - 2 минНет подачи банки с депаллетайзера - 1 раз - 3 минСбит датчик на выходе корзин - 3 минМойка линии - 90 минНаполнение бункеров после мойки - 9 мин / Застрял поддон на паллетайзере - 15 минМойка линии 80 мин.Наполнение бункеров после мойки- 8 мин</t>
  </si>
  <si>
    <t>Замятие крышки в закатке 1 раз - 6 минКорзиноукладчик не берет прокладку 5 раз - 14 минНет подачи банки с депаллетайзера - 3 раза - 21 минМойка линии - 45 минНаполнение бункеров после мойки - 14 мин / Нет подачи банки с депалетайзера 2 раза - 9 минЗамятие банки в закатке 5 раз - 43 минМойка линии 37 мин.Настройка синхронизации - 14 мин</t>
  </si>
  <si>
    <t>Остановка первички для мойки барабана сухой чистки - 25 минОбмывка линии после срабатывания сырья с низким рн- 15 минКорзиноукладчик не берет прокладку 2 раза - 4 минНет подачи банки с депаллетайзера - 4 раза - 19 минМойка линии - 105 минНаполнение бункеров после мойки - 15 мин / Ополаскивание линии после сырья с низким рн - 38 минНет подачи банки с депалетайзера 4 раза - 24 минЗамятие банки в закатке 0 раз - 0 минМойка линии 95 мин.Наполнение после мойки - 13 мин</t>
  </si>
  <si>
    <t>Замяло банку в закатке - 3 минНаполнитель зерна настройка датчика - 11 минКорзиноукладчик не берет прокладку 4 раза - 12 минНет подачи банки с депаллетайзера 1 раза - 10 минМойка линии - 30 мин / Нет подачи банки с депалетайзера 3 раза - 5 минЗамятие банки в закатке 1 раз - 8 минМойка линии 30 мин.Наполнение после мойки - 7 мин</t>
  </si>
  <si>
    <t>Замяло банку в закатке 2 раза - 11 минКорзиноукладчик не берет/отпускает прокладку 16 раз - 52 минНет подачи банки с депаллетайзера 1 раза - 13 минОбрыв вала на падающего элеваторе - 37 минМойка линии - 80 мин / Бланширователь. Попадание постороннего предмета  - 36 минОбрыв крепежа люка сброса воды на первичке - 13 минРегулировка направляющей - 17 минНет подачи банки с депалетайзера 0 раз- 0 минЗамятие банки в закатке 3 раз - 16 минМойка линии 85 мин.Наполнение после мойки - 12 мин</t>
  </si>
  <si>
    <t>Замяло банку в закатке 1 раз - 2 минКорзиноукладчик не берет/отпускает прокладку  настройка - 20 минНет подачи банки с депаллетайзера 0 раз - 0 минМойка линии - 40 минНаполнение бункеров после мойки - 10 мин / Нет подачи банки с депалетайзера 1 раз- 60 мин (восстановление цикла)Замятие банки в закатке 5 раз - 49 минМойка линии 40 мин.Наполнение после мойки - 9 мин</t>
  </si>
  <si>
    <t>Замена стакана в наполнителе заливы - 11 минЗамяло банку в закатке 4 раза -  15 минКорзиноукладчик не берет/отпускает прокладку 1 раз - 5 минНет подачи банки с депаллетайзера 0 раз - 0 минМойка линии - 60 минНаполнение бункеров после мойки - 15 мин / Настройка синхронизации работы линии после закатки (затор на линии) - 22 минЗамена звеньев на транспортёре после закатки - 22 минНет подачи банки с депалетайзера 1 раз- 02 минЗамятие банки в закатке 5 раз - 19 минЗамена паллета с крышкой, настройка - 23 минМойка линии 60 мин.Наполнение после мойки - 11 мин</t>
  </si>
  <si>
    <t>Замяло банку в закатке 1 раз -  5 минКорзиноукладчик не берет/отпускает прокладку 2 раза - 5 минНет подачи банки с депаллетайзера 5 раз - 45 минМойка линии - 0 минНаполнение бункеров после мойки - 0 мин / Нет подачи банки с депалетайзера 1 раз- 02 минЗамятие банки в закатке 5 раз - 24 минМойка линии 0 мин.Наполнение после мойки - 0 мин</t>
  </si>
  <si>
    <t>Замяло банку в закатке 0 раз -  0 минКорзиноукладчик не берет/отпускает прокладку 0 раз - 0 минНет подачи банки с депаллетайзера 3 раза - 12 минМойка линии - 87 минНаполнение бункеров после мойки - 38 мин. / Отсутствие сырья (переезд на другое поле) - 65 минНет подачи банки с депалетайзера 0 раз- 0 минЗамятие банки в закатке 4 раза - 53 минМойка линии 87 мин.Наполнение после мойки - 42 мин</t>
  </si>
  <si>
    <t>Замяло банку в закатке 2 раза -  8 минКорзиноукладчик не берет/отпускает прокладку 3раза - 15 минНет подачи банки с депаллетайзера 3 раза -  21 минМойка линии - 35 минНаполнение бункеров после мойки - 5 мин. / Нет подачи банки с депалетайзера 0 раз- 0 минЗамятие банки в закатке 16 раз - 94 минМойка линии 37 мин.Наполнение после мойки - 15 мин</t>
  </si>
  <si>
    <t>Обрыв транспортерной ленты - 8 минЗамятие банки в наполнителе- 6 минЗамяло банку в закатке 2 раза -  6 минКорзиноукладчик не берет/отпускает прокладку 2раза - 4 минНет подачи банки с депаллетайзера 3 раза -  21 минМойка линии - 75 минНаполнение бункеров после мойки - 20мин. / Нет подачи банки с депалетайзера 1 раз- 4 минЗамятие банки в закатке 14 раз - 76 минМойка линии 95 мин.Наполнение после мойки - 18 мин</t>
  </si>
  <si>
    <t>Замяло банку в закатке 3 раза -  8 минКорзиноукладчик не берет/отпускает прокладку 5 раз - 13 минНет подачи банки с депаллетайзера 0 раза -  0 минМойка линии - 42 мин / Замена датчика температуры на бланширователе - 42 минНет подачи банки с депалетайзера 0 раз- 0 минЗамятие банки в закатке  0 раз - 0 минМойка линии 45мин.Наполнение после мойки - 9 мин</t>
  </si>
  <si>
    <t>Отсутствие сырья на заводе (дождь) в это время генеральная мойка линии.</t>
  </si>
  <si>
    <t>Завершение генмойки, выгрузка, анализ, наполнение бункеров- 57 минЗамятие банки - 10 раз - 37 минМойка - 40 минНаполнение после мойки- 16 мин / Завершение генмойки, выгрузка, анализ, наполнение бункеров- 77 минЗамятие банки 5 раз - 22 минМойка - 40 минНаполнение после мойки- 21 мин</t>
  </si>
  <si>
    <t>Мойка - 70 минНаполнение после мойки- 9 мин / Замятие банки 4 раза - 24 минМойка - 70 минНаполнение после мойки- 9 мин</t>
  </si>
  <si>
    <t>Замятие банки 11 раз - 38 минКорзиноукладчик 3 раза - 6 минДепаллетайзер (отсутствие банки) 2 раза - 8 мин.Мойка - 30 минНаполнение после мойки- 7 мин / Замятие банки 5 раз - 28 минДепаллетайзер (отсутствие банки) 2 раза - 6 минМойка - 35 минНаполнение после мойки- 13 мин</t>
  </si>
  <si>
    <t>Замятие банки 6 раз - 18 минКорзиноукладчик 2 раза - 7 минДепаллетайзер (отсутствие банки) 2 раза - 8 мин.Мойка - 85 минНаполнение после мойки- 10 мин / Замятие банки 4 раза - 25 минДепаллетайзер (отсутствие банки) 1 раза - 2 минМойка - 85 минНаполнение после мойки- 9 мин</t>
  </si>
  <si>
    <t>Порвался транспортёр- 25 минЗамятие банки 7 раз - 45 минКорзиноукладчик 3 раза - 11 минДепаллетайзер (отсутствие банки) 3 раза - 22 мин.Мойка - 30 минНаполнение после мойки- 5 мин / Замятие банки 12 раз - 55 минДепаллетайзер (отсутствие банки) 1 раза - 4 минМойка - 30 минНаполнение после мойки- 10 мин</t>
  </si>
  <si>
    <t>Настройка закаточной машины - 71 минЗамятие банки 19 раз - 75 минКорзиноукладчик 0 раза - 0 минДепаллетайзер (отсутствие банки) 2 раза - 5 мин.Мойка - 51 минНаполнение после мойки- 14 мин / Обрыв вала подъёмного транспортёра- 135 минЗамятие банки 3 раза - 25 минДепаллетайзер (отсутствие банки) 1 раза - 4 минМойка - 71 минНаполнение после мойки- 23 мин</t>
  </si>
  <si>
    <t>Проверка узлов закаточной машины при переходе на крышку Индекс - 64 минЗамятие банки 7 раз - 25 минКорзиноукладчик 0 раза - 0 минДепаллетайзер (отсутствие банки) 1 раз - 6 мин.Мойка - 30 минНаполнение после мойки- 12 мин / Замятие банки 7 раз - 35 минДепаллетайзер (отсутствие банки) 1 раза - 1 минМойка - 30 минНаполнение после мойки- 13 мин</t>
  </si>
  <si>
    <t>Замятие банки 0 раз - 0минКорзиноукладчик 7 раз - 22 минДепаллетайзер (отсутствие банки) 3 раза -  14 мин.Мойка - 68 минНаполнение после мойки- 8 мин / Сбой безопасности на закатке - 7 минНаполнение бункеров (подбор скорости) - 25 минЗамятие банки 8 раз - 35 минДепаллетайзер (отсутствие банки) 1 раза - 1 минМойка - 65 минНаполнение после мойки- 12 мин</t>
  </si>
  <si>
    <t>Замятие банки 3 раза - 9 минКорзиноукладчик 0 раз - 0 минДепаллетайзер (отсутствие банки) 1 раз -  6 мин.Мойка - 40 минНаполнение после мойки- 10 мин / Выбило приёмный бункер - 22 минНаполнитель сырья, настройка - 25 минЗамятие банки 4 раза - 37 минДепаллетайзер (отсутствие банки) 0 раза - 0 минМойка - 40 минНаполнение после мойки- 20 мин</t>
  </si>
  <si>
    <t>Замятие банки 0 раз - 0 минКорзиноукладчик 0 раз - 0 минДепаллетайзер (отсутствие банки) 0 раз -  0мин.Мойка - 0 минНаполнение после мойки- 0мин / Выбило приёмный бункер 2 раза - 35 минНаполнитель сырья, настройка - 25 минЗамятие банки 9 раз - 70 минДепаллетайзер (отсутствие банки) 1 раза - 4 минМойка - 0 минНаполнение после мойки- 0 минРаботали без мойки, в связи с ожидаемым разрывом поставки сырья (переезд в Агролидер), в это время проведём генеральную мойку, ориентировочно с 12.00 19.06.</t>
  </si>
  <si>
    <t>Замятие банки 1 раз - 4 минКорзиноукладчик 2 раза - 4 минДепаллетайзер (отсутствие банки) 02 раза -  8 мин.Генеральная Мойка - 485 минНаполнение после мойки- 0мин / Замятие банки 3 раза - 16 минДепаллетайзер (отсутствие банки) 2 раза - 6 минГенеральная Мойка - 487 минНаполнение после мойки- 0 мин</t>
  </si>
  <si>
    <t>Запуск линии, выход на заданные параметры- 41 минЗамятие банки 2 раза - 5 минКорзиноукладчик 0 раза - 0 минДепаллетайзер (отсутствие банки) 00 раза -  0 мин.Генеральная Мойка - 485 минНаполнение после мойки- 0мин / Замятие банки 0раз- 0минДепаллетайзер (отсутствие банки) 0 раза - 0 минГенеральная Мойка - 0минНаполнение после мойки- 0 мин</t>
  </si>
  <si>
    <t>Запуск линии, выход на заданные параметры- 42 минЗамятие банки 0раза - 0 минКорзиноукладчик 0 раза - 0 минДепаллетайзер (отсутствие банки) 00 раза -  0 минНаполнение после мойки- 0мин / Замятие банки 0раз- 0минДепаллетайзер (отсутствие банки) 0 раза - 0 минГенеральная Мойка - 0минНаполнение после мойки- 0 мин</t>
  </si>
  <si>
    <t>Ожидание сырья - 2 раза - 143 минВыгрузка машин, анализ, выход на заданные параметры - 34  минЗамятие банки при запуске 3 раза - 7 минКорзиноукладчик 3 раза - 8минДепаллетайзер (отсутствие банки)2 раза -  7 минМойка - 38 минНаполнение после мойки- 8 мин / Замятие банки 0раз- 0минДепаллетайзер (отсутствие банки) 0 раза - 0 минГенеральная Мойка - 0минНаполнение после мойки- 0 мин</t>
  </si>
  <si>
    <t>Замятие банки 1 раз - 3 минКорзиноукладчик (замена цилиндра) 1 раз - 5 минДепаллетайзер (отсутствие банки) 1 раз -  15 минМойка - 35 минНаполнение после мойки- 8 мин / Ожидание сырья (в 9.00 на заводе 2 машины) - 60 минАнализ, выгрузка, наполнение бункеров - 50 минЗамятие банки 8 раз- 44 минДепаллетайзер, ошпариватель (отсутствие банки) 2 раза - 4 минмойка - 30 минНаполнение после мойки- 12 мин</t>
  </si>
  <si>
    <t>засыпало элеватор  2 раза - 17 минзамена ремня в наполнителе зерна, настройка синхронизации - 33 минЗамятие банки 1 раз - 3 минКорзиноукладчик 3 раза - 11 минДепаллетайзер (отсутствие банки) 1 раз -  8 мин (сбой цикла)Мойка - 60 минНаполнение после мойки- 7 мин / Настройка закаточной машины - 13 минЗамятие банки 13 раз-  91 минДепаллетайзер, ошпариватель (отсутствие банки) 0 раз - 9 минмойка - 60 минНаполнение после мойки- 10 мин</t>
  </si>
  <si>
    <t>Замятие банки 0 раз - 0 минКорзиноукладчик 0 раз - 0 минДепаллетайзер (отсутствие банки)0 раз -  0 минМойка - 35 минНаполнение после мойки- 8 мин / Залип горох в бункере перед наполнителем - 14 минЗамятие банки 8 раз-  47 минДепаллетайзер, ошпариватель (отсутствие банки) 0 раз - 0 минмойка - 47 минНаполнение после мойки- 8 мин</t>
  </si>
  <si>
    <t>Замена датчика безопасности на закатке - 10 минЗамятие банки 0 раз - 0 минКорзиноукладчик 0 раз - 0 минДепаллетайзер (отсутствие банки)0 раз -  0 минМойка - 60 минНаполнение после мойки- 13 мин / Замятие банки 15 раз -  69 минДепаллетайзер, ошпариватель (отсутствие банки) 1 раз - 2 минмойка - 75 минНаполнение после мойки- 9 мин</t>
  </si>
  <si>
    <t>Замятие банки 0 раз - 0 минКорзиноукладчик 5 раз - 15 минДепаллетайзер (отсутствие банки)3 раз -  8 минМойка - 30 минНаполнение после мойки- 6 мин / Замятие банки 12 раз -  42 минДепаллетайзер, ошпариватель (отсутствие банки) 5 раз - 10 минмойка - 30 минНаполнение после мойки- 6 мин</t>
  </si>
  <si>
    <t>Замятие банки 1 раз - 5 минКорзиноукладчик 0 раз - 0 минДепаллетайзер (отсутствие банки)1 раз -  10 минМойка - 80 минНаполнение после мойки- 5мин / Залип горох в бункере наполнителя зерна - 24 минЗамятие банки 11 раз -  88 минДепаллетайзер, ошпариватель (отсутствие банки) 0 раз - 0 минмойка - 85 минНаполнение после мойки- 5 мин</t>
  </si>
  <si>
    <t>Замятие банки 2 раза - 10 минКорзиноукладчик 6 раз - 27 минДепаллетайзер (отсутствие банки)6 раз -  17минотсутствие сырья в это время мойка - 39 минНаполнение после мойки- 12 мин / Разрыв в подаче сырья, остановили лн2 для регулировки закаточной машины - 88 минЗамятие банки 33 раза -  116 минДепаллетайзер, ошпариватель (отсутствие банки) 1 раз - 2 минОтсутствие сырья на заводе в это время мойка - 30 минНаполнение после мойки- 20 мин</t>
  </si>
  <si>
    <t>Замятие банки 2 раза - 10 минКорзиноукладчик 1 раз - 5 минДепаллетайзер (отсутствие банки)4 раз -  42 минМойка - 120 минНаполнение после мойки- 6 мин / Замятие банки 19 раза -  94 мин (замена оснастки)Депаллетайзер, ошпариватель (отсутствие банки) 2 раз -  8 минМойка - 85 минНаполнение после мойки- 8 мин</t>
  </si>
  <si>
    <t>Замена частотника на вибростоле - 60 минЗамятие банки 5 раз - 15 мин (тестово поставили крышку ГРК)Корзиноукладчик 0 раз - 0 минДепаллетайзер (отсутствие банки)0 раз -  0минМойка - 30 минНаполнение после мойки- 11 мин / Замятие банки 8 раз -  34 мин (тестово меняли крышку на Индекс, понижение скорости до 380 б/мин)Депаллетайзер, ошпариватель (отсутствие банки) 0 раз -  0 минМойка - 30 минНаполнение после мойки- 9 мин</t>
  </si>
  <si>
    <t>Замятие банки 1 раз - 15 мин.Корзиноукладчик 2 раз - 5 минДепаллетайзер (отсутствие банки)6 раз -  36 минМойка -  45 минНаполнение после мойки- 6 мин / Наполнение бункеров - 13 мин (переход с сорта на сорт)Замятие банки 8 раз -  26 минДепаллетайзер, ошпариватель (отсутствие банки) 1 раз -  1 минМойка - 50 минНаполнение после мойки- 5 мин</t>
  </si>
  <si>
    <t>Замятие банки 0 раз - 0 мин.Корзиноукладчик 0 раз - 0 минДепаллетайзер (отсутствие банки)0 раз -  0 минМойка -  30 минНаполнение после мойки- 10 минОтключение вибростола - 38 мин / Отсутствие сырья на заводе - 121 мин (работали только на лн1)Замятие банки 5 раз -  36 минДепаллетайзер, ошпариватель (отсутствие банки) 0 раз -  0 минМойка - 12 минНаполнение после мойки- 8 мин</t>
  </si>
  <si>
    <t>Замятие банки 1 раз - 4 мин.Корзиноукладчик 0 раз - 0 минДепаллетайзер (отсутствие банки)0 раз -  0 минОтсутствие зерна на заводе, анализ, выгрузка, наполнение бункеров -  142 минМойка линии, совместили с отсутствием сырья -  77 минНаполнение после мойки- 10 мин / Отсутствие зерна на заводе, анализ, выгрузка, наполнение бункеров 2 раза -  170 минМойка линии, совместили с отсутствием сырья -  95 минЗамятие банки 5 раз -  21 минДепаллетайзер, ошпариватель (отсутствие банки) 0 раз -  0 минНаполнение после мойки- 8 мин</t>
  </si>
  <si>
    <t>Отсутствие зерна на заводе, ген.мойка.</t>
  </si>
  <si>
    <t>Отсутствие зерна на заводе, анализ, выгрузка, наполнение - 90 минПереход с сорта на сорт - 22 минМойка - 60 минНаполнение после мойки - 10 мин / Нет сырья для работы на двух линиях.</t>
  </si>
  <si>
    <t>Отсутствие зерна на заводе, анализ, выгрузка, наполнение - 160 минРемонт вибромотора, выгнали зерно, перешли на лн2 - 57 минОтсутствие жб на линии - 4 минКорзиноукладчик - 3 мин / Запуск линии в 18.27, лн 1 ремонт вибромотора.</t>
  </si>
  <si>
    <t>Ремонт вибромотора продолжение - 59 минОтсутствие жб на линии - 12 минКорзиноукладчик - 1 минОптический сортировщик- 50 минМойка - 40 мин / Замятие банки в закатке, 6 раз - 27 минОтсутствие жб на линии - 15 минМойка - 75 минНаполнение после мойки - 5 мин</t>
  </si>
  <si>
    <t>отсутствие сырья - 80 минРемонт вибростола - 41 минМойка - 20 мин / Отсутствие сырья на заводе, анализ, выгрузка - 61 минЗамятие банки в закатке, 2 раза - 11 минМойка - 20 минРемонт загрузчика - 24</t>
  </si>
  <si>
    <t>Корзиноукладчик - 2 раза - 7 минОтсутствие банки на линии 5 раз - 24 минМойка - 65 минНаполнение после мойки - 6 мин / Замятие банки в закатке, 8 раз - 20 минМойка - 55 минНаполнение после мойки - 15 мин</t>
  </si>
  <si>
    <t>Замятие банки в закатке (тест крышки ГРК) - 9 раз - 70 минМойка - 30 мин / Наполнитель зерна - выгнали зерно, промыли чашу - 15 минЗамятие банки в закатке- 7 раз - 24 минМойка - 35 минНаполнение после мойки - 5 мин</t>
  </si>
  <si>
    <t>Смена воды в бланширователе - 20 минМойка - 60 минНаполнение бункеров после мойки- 10 минЗамятие в закатке - 5 мин / Замятие банки в закатке 3 раза - 10 минОтсутствие банки на линии - 3 минЗамена воды в бланширователе - 26 минМойка - 65 минНаполнение после мойки - 11 мин</t>
  </si>
  <si>
    <t>Отсутствие сырья, выгрузка машин, наполнение бункеров - 232 минЗамятие в закатке - 12 минОтсутствие банки на линии - 10 мин / Линию запустили в 16.11Отсутствие сырья на заводе, выгрузка машин,  наполнение бункеров- 490 минЗамятие банки в закатке - 13 минОтсутствие банки на линии - 3 мин</t>
  </si>
  <si>
    <t>Ошибка безопасности цепи - 55 минОтсутствие банки на линии - 2 раза - 17 минМойка - 75 минНаполнение после мойки - 10 мин / Ремонт цепи на крутящем барабане, опустошение бланширователя, бункеров, замена воды в бланше - 61 минЗамятие банки в закатке 7 раз - 35 минМойка - 75 миннаполнение после мойки - 11 мин.</t>
  </si>
  <si>
    <t>Отсутствие банки на линии - 4 раза - 21 минКорзиноукладчик - 6 минМойка - 54 минНаполнение после мойки - 10 минЗамятие банки в закатке - 4 мин / Отсутствие банки на подаче - 3 минЗамятие банки в закатке 9 раз - 48 минМойка - 38 миннаполнение после мойки - 12 мин.</t>
  </si>
  <si>
    <t>Отсутствие банки на линии  - 4 минКорзиноукладчик - 6 минМойка - 60 минНаполнение после мойки - 12 минЗамятие банки в закатке - 2 мин / Отсутствие банки на подаче - 32 минЗамятие банки в закатке 7 раз - 25 минМойка - 60 миннаполнение после мойки - 11 мин.</t>
  </si>
  <si>
    <t>Отсутствие банки на линии  - 3 минКорзиноукладчик - 16 минРемонт двигателя на комплексе сухой чистки в это время Мойка - 79 минНаполнение после мойки - 0 минЗамятие банки в закатке - 8 мин / Замятие банки в закатке 6 раз - 32 минМойка - 40 мин</t>
  </si>
  <si>
    <t>Не хватает тележек (ремонт паллетайзера склад) - 24 минОтсутствие банки на линии  - 13 минКорзиноукладчик - 25 минМойка - 70 минНаполнение после мойки - 18 мин / Замятие банки в закатке 8раз - 26 минМойка - 70 минНаполнение после мойки - 18 мин</t>
  </si>
  <si>
    <t>Остановки по наполнению бункеров в цехе, уменьшение подачи сырья с первички - сорный горох.Отсутствие банки на линии  - 8 минКорзиноукладчик - 10 минМойка - 60 минНаполнение после мойки - 16 минЛопнул патрон в закаточной машине, замена - 14 мин / Остановки по наполнению бункеров в цехе, уменьшение подачи сырья с первички - сорный горох.Замятие банки в закатке 7раз - 30 минМойка - 50 минНаполнение после мойки - 19 мин</t>
  </si>
  <si>
    <t>Остановки по наполнению бункеров в цехе, уменьшение подачи сырья с первички - сорный горох.Отсутствие банки на линии  - 6 минКорзиноукладчик - 2 минМойка - 60 минНаполнение после мойки - 8 мин / Остановки по наполнению бункеров в цехе, уменьшение подачи сырья с первички - сорный горох.Замятие банки в закатке 4раза - 12 минМойка - 50 минНаполнение после мойки - 9 мин</t>
  </si>
  <si>
    <t>Отсутствие банки на линии  -  30 минКорзиноукладчик - 28 минМойка -  30 минНаполнение после мойки - 7 минЗамятие банки в закаточной машине 4 раза- 12 мин. / Замятие банки в закатке 22раза -  109 минНет банки на линии- 3 минМойка -  32 минНаполнение после мойки - 22 мин</t>
  </si>
  <si>
    <t>Корзиноукладчик - 20 минМойка -  75 минНаполнение после мойки - 9 мин / Авария мотора на бланширователе, устранение, наполнение - 30 минЗамятие банки в закатке 18раз -  129 минМойка -  65 минНаполнение после мойки - 9 мин</t>
  </si>
  <si>
    <t>Корзиноукладчик - 16 минМойка -  35 минНаполнение после мойки - 7 минЗамятие банки - 14 мин / ЛН2 - 190 минЗамятие банки в закатке 33раза -   117 минМойка -  45 минНаполнение после мойки - 6 мин</t>
  </si>
  <si>
    <t>Отсутствие банки на линии - 9 минКорзиноукладчик - 14 минМойка -  70 минНаполнение после мойки - 7 минЗамятие банки - 8 минЗамена оснастки в закаточной машине - 30 мин (продолжается) / Замятие банки в закатке 35раз - 166 минМойка -  50 минНаполнение после мойки - 7 мин</t>
  </si>
  <si>
    <t>Замена оснастки в закатке - 120 минКорзиноукладчик - 2 минМойка -  30 минНаполнение после мойки - 9 минЗамятие банки 16 раз - 70 минНастройка закаточной машины под крышку ГРК. / Замятие банки в закатке 20 раз - 107 минМойка -  30 минНаполнение после мойки - 9 мин</t>
  </si>
  <si>
    <t>Ремонт системы смазки закаточной машины - 202 минКорзиноукладчик - 3 минМойка -  0 минЗамятие банки 2 раза - 10 мин / Замятие банки в закатке 13 раз - 42 минНастройка закаточной машины.Мойка -  0 мин</t>
  </si>
  <si>
    <t>КА</t>
  </si>
  <si>
    <t>СОРТ</t>
  </si>
  <si>
    <t>Кг</t>
  </si>
  <si>
    <t>дата</t>
  </si>
  <si>
    <t>03.06.2026</t>
  </si>
  <si>
    <t>ГРК_богара</t>
  </si>
  <si>
    <t>Тиара</t>
  </si>
  <si>
    <t>04.06.2026</t>
  </si>
  <si>
    <t>06.06.2026</t>
  </si>
  <si>
    <t>07.06.2026</t>
  </si>
  <si>
    <t>08.06.2026</t>
  </si>
  <si>
    <t>09.06.2026</t>
  </si>
  <si>
    <t>10.06.2026</t>
  </si>
  <si>
    <t>11.06.2026</t>
  </si>
  <si>
    <t>12.06.2026</t>
  </si>
  <si>
    <t>13.06.2026</t>
  </si>
  <si>
    <t>14.06.2026</t>
  </si>
  <si>
    <t>15.06.2026</t>
  </si>
  <si>
    <t>Авола</t>
  </si>
  <si>
    <t>16.06.2026</t>
  </si>
  <si>
    <t>17.06.2026</t>
  </si>
  <si>
    <t>18.06.2026</t>
  </si>
  <si>
    <t>19.06.2026</t>
  </si>
  <si>
    <t>20.06.2026</t>
  </si>
  <si>
    <t>21.06.2026</t>
  </si>
  <si>
    <t>22.06.2026</t>
  </si>
  <si>
    <t>23.06.2026</t>
  </si>
  <si>
    <t>24.06.2026</t>
  </si>
  <si>
    <t>25.06.2026</t>
  </si>
  <si>
    <t>26.06.2026</t>
  </si>
  <si>
    <t>27.06.2026</t>
  </si>
  <si>
    <t>28.06.2026</t>
  </si>
  <si>
    <t>29.06.2026</t>
  </si>
  <si>
    <t>30.06.2026</t>
  </si>
  <si>
    <t>01.07.2026</t>
  </si>
  <si>
    <t>02.07.2026</t>
  </si>
  <si>
    <t>03.07.2026</t>
  </si>
  <si>
    <t>04.07.2026</t>
  </si>
  <si>
    <t>05.07.2026</t>
  </si>
  <si>
    <t>06.07.2026</t>
  </si>
  <si>
    <t>Увертюра</t>
  </si>
  <si>
    <t>Фаворит</t>
  </si>
  <si>
    <t>ГРК_полив</t>
  </si>
  <si>
    <t>Тристар</t>
  </si>
  <si>
    <t>Женева</t>
  </si>
  <si>
    <t>Патриот</t>
  </si>
  <si>
    <t>Агролидер</t>
  </si>
  <si>
    <t>Колос</t>
  </si>
  <si>
    <t>Беркут</t>
  </si>
  <si>
    <t>отчет по выпуску банок на 09/07/2026 (тыс.шт)</t>
  </si>
  <si>
    <t>*Подача газа 18.55. Первая машина на территории в 19.27.Анализ, выгрузка, наполнение бункеров*</t>
  </si>
  <si>
    <t>Анализ, наполнение бункеров - 28 минМойка - 30 минНастройка закатки - 14 мин / Выгрузка, анализ, наполнение бункеров- 25 минЗамятие банки 15 раз - 121 минМойка - 30 минНаполнение бункеров, уменьшили подачу на первичке, сорный горох - 15 мин (понижение скорости)Мойка бака ламинарного наполнителя, устранение недолива заливы - 62 мин.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</si>
</sst>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* #,##0.0_-;\-* #,##0.0_-;_-* &quot;-&quot;??_-;_-@_-"/>
    <numFmt numFmtId="165" formatCode="_-* #,##0_-;\-* #,##0_-;_-* &quot;-&quot;??_-;_-@_-"/>
    <numFmt numFmtId="166" formatCode="dd\ mmm"/>
    <numFmt numFmtId="167" formatCode="_-* #,##0.0000_-;\-* #,##0.0000_-;_-* &quot;-&quot;??_-;_-@_-"/>
  </numFmts>
  <fonts count="10" x14ac:knownFonts="1">
    <font>
      <sz val="12"/>
      <color theme="1"/>
      <name val="Arial"/>
      <family val="2"/>
      <charset val="204"/>
    </font>
    <font>
      <sz val="12"/>
      <color theme="1"/>
      <name val="Arial"/>
      <family val="2"/>
      <charset val="204"/>
    </font>
    <font>
      <b/>
      <sz val="12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i/>
      <sz val="12"/>
      <color theme="1"/>
      <name val="Arial"/>
      <family val="2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b/>
      <sz val="12"/>
      <color rgb="FFFF0000"/>
      <name val="Arial"/>
      <family val="2"/>
      <charset val="204"/>
    </font>
    <font>
      <sz val="12"/>
      <color rgb="FFFF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165" fontId="0" fillId="0" borderId="0" xfId="1" applyNumberFormat="1" applyFont="1"/>
    <xf numFmtId="3" fontId="0" fillId="0" borderId="0" xfId="0" applyNumberFormat="1"/>
    <xf numFmtId="165" fontId="3" fillId="0" borderId="0" xfId="1" applyNumberFormat="1" applyFont="1"/>
    <xf numFmtId="0" fontId="2" fillId="0" borderId="0" xfId="0" applyFont="1"/>
    <xf numFmtId="165" fontId="4" fillId="0" borderId="0" xfId="1" applyNumberFormat="1" applyFont="1"/>
    <xf numFmtId="166" fontId="0" fillId="0" borderId="0" xfId="0" applyNumberFormat="1"/>
    <xf numFmtId="0" fontId="2" fillId="0" borderId="1" xfId="0" applyFont="1" applyBorder="1"/>
    <xf numFmtId="0" fontId="0" fillId="0" borderId="1" xfId="0" applyBorder="1"/>
    <xf numFmtId="3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0" borderId="0" xfId="0" applyFont="1"/>
    <xf numFmtId="164" fontId="5" fillId="0" borderId="0" xfId="1" applyNumberFormat="1" applyFont="1"/>
    <xf numFmtId="16" fontId="0" fillId="0" borderId="0" xfId="0" applyNumberFormat="1"/>
    <xf numFmtId="14" fontId="0" fillId="0" borderId="0" xfId="0" applyNumberFormat="1"/>
    <xf numFmtId="14" fontId="0" fillId="0" borderId="1" xfId="0" applyNumberFormat="1" applyBorder="1"/>
    <xf numFmtId="165" fontId="0" fillId="0" borderId="1" xfId="1" applyNumberFormat="1" applyFont="1" applyBorder="1"/>
    <xf numFmtId="14" fontId="0" fillId="0" borderId="0" xfId="1" applyNumberFormat="1" applyFont="1"/>
    <xf numFmtId="16" fontId="8" fillId="0" borderId="0" xfId="0" applyNumberFormat="1" applyFont="1"/>
    <xf numFmtId="43" fontId="0" fillId="0" borderId="0" xfId="1" applyFont="1"/>
    <xf numFmtId="165" fontId="0" fillId="0" borderId="0" xfId="0" applyNumberFormat="1"/>
    <xf numFmtId="167" fontId="0" fillId="0" borderId="0" xfId="0" applyNumberFormat="1"/>
    <xf numFmtId="165" fontId="9" fillId="0" borderId="0" xfId="1" applyNumberFormat="1" applyFont="1"/>
  </cellXfs>
  <cellStyles count="2">
    <cellStyle name="Обычный" xfId="0" builtinId="0"/>
    <cellStyle name="Финансовый" xfId="1" builtinId="3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204"/>
        <scheme val="none"/>
      </font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204"/>
        <scheme val="none"/>
      </font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204"/>
        <scheme val="none"/>
      </font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204"/>
        <scheme val="none"/>
      </font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204"/>
        <scheme val="none"/>
      </font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204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0059745676444536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7.180031857197211E-2"/>
          <c:y val="0.19949074074074077"/>
          <c:w val="0.25423978022403221"/>
          <c:h val="0.739406167979002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выработка!$B$1</c:f>
              <c:strCache>
                <c:ptCount val="1"/>
                <c:pt idx="0">
                  <c:v>2024 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AC67-411C-B6DC-187F491D735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выработка!$A$2:$A$7</c:f>
              <c:strCache>
                <c:ptCount val="6"/>
                <c:pt idx="0">
                  <c:v>ВС</c:v>
                </c:pt>
                <c:pt idx="1">
                  <c:v>1с</c:v>
                </c:pt>
                <c:pt idx="2">
                  <c:v>2с</c:v>
                </c:pt>
                <c:pt idx="3">
                  <c:v>ГБС</c:v>
                </c:pt>
                <c:pt idx="4">
                  <c:v>ПП</c:v>
                </c:pt>
                <c:pt idx="5">
                  <c:v>Горох итого</c:v>
                </c:pt>
              </c:strCache>
            </c:strRef>
          </c:cat>
          <c:val>
            <c:numRef>
              <c:f>выработка!$B$2:$B$7</c:f>
              <c:numCache>
                <c:formatCode>_-* #\ ##0_-;\-* #\ ##0_-;_-* "-"??_-;_-@_-</c:formatCode>
                <c:ptCount val="6"/>
                <c:pt idx="0">
                  <c:v>6444.8069999999998</c:v>
                </c:pt>
                <c:pt idx="1">
                  <c:v>1432.7190000000001</c:v>
                </c:pt>
                <c:pt idx="2">
                  <c:v>221.22</c:v>
                </c:pt>
                <c:pt idx="3">
                  <c:v>6697.7430000000004</c:v>
                </c:pt>
                <c:pt idx="4">
                  <c:v>0</c:v>
                </c:pt>
                <c:pt idx="5">
                  <c:v>15251.552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67-411C-B6DC-187F491D73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798901952"/>
        <c:axId val="1424024448"/>
      </c:barChart>
      <c:catAx>
        <c:axId val="17989019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24024448"/>
        <c:crosses val="autoZero"/>
        <c:auto val="1"/>
        <c:lblAlgn val="ctr"/>
        <c:lblOffset val="100"/>
        <c:noMultiLvlLbl val="0"/>
      </c:catAx>
      <c:valAx>
        <c:axId val="1424024448"/>
        <c:scaling>
          <c:orientation val="minMax"/>
          <c:max val="30000"/>
        </c:scaling>
        <c:delete val="1"/>
        <c:axPos val="b"/>
        <c:numFmt formatCode="_-* #\ ##0_-;\-* #\ ##0_-;_-* &quot;-&quot;??_-;_-@_-" sourceLinked="1"/>
        <c:majorTickMark val="none"/>
        <c:minorTickMark val="none"/>
        <c:tickLblPos val="nextTo"/>
        <c:crossAx val="1798901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выработка!$C$1</c:f>
              <c:strCache>
                <c:ptCount val="1"/>
                <c:pt idx="0">
                  <c:v>2025 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F22D-4D4A-A926-863BF5A4E28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выработка!$A$2:$A$7</c:f>
              <c:strCache>
                <c:ptCount val="6"/>
                <c:pt idx="0">
                  <c:v>ВС</c:v>
                </c:pt>
                <c:pt idx="1">
                  <c:v>1с</c:v>
                </c:pt>
                <c:pt idx="2">
                  <c:v>2с</c:v>
                </c:pt>
                <c:pt idx="3">
                  <c:v>ГБС</c:v>
                </c:pt>
                <c:pt idx="4">
                  <c:v>ПП</c:v>
                </c:pt>
                <c:pt idx="5">
                  <c:v>Горох итого</c:v>
                </c:pt>
              </c:strCache>
            </c:strRef>
          </c:cat>
          <c:val>
            <c:numRef>
              <c:f>выработка!$C$2:$C$7</c:f>
              <c:numCache>
                <c:formatCode>_-* #\ ##0_-;\-* #\ ##0_-;_-* "-"??_-;_-@_-</c:formatCode>
                <c:ptCount val="6"/>
                <c:pt idx="0">
                  <c:v>10138.398999999999</c:v>
                </c:pt>
                <c:pt idx="1">
                  <c:v>5034.6499999999996</c:v>
                </c:pt>
                <c:pt idx="2">
                  <c:v>1067.8869999999999</c:v>
                </c:pt>
                <c:pt idx="3">
                  <c:v>5950.6970000000001</c:v>
                </c:pt>
                <c:pt idx="4">
                  <c:v>265.36399999999998</c:v>
                </c:pt>
                <c:pt idx="5">
                  <c:v>22456.996999999999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2D-4D4A-A926-863BF5A4E2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798891280"/>
        <c:axId val="1839463424"/>
      </c:barChart>
      <c:catAx>
        <c:axId val="17988912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39463424"/>
        <c:crosses val="autoZero"/>
        <c:auto val="1"/>
        <c:lblAlgn val="ctr"/>
        <c:lblOffset val="100"/>
        <c:noMultiLvlLbl val="0"/>
      </c:catAx>
      <c:valAx>
        <c:axId val="1839463424"/>
        <c:scaling>
          <c:orientation val="minMax"/>
        </c:scaling>
        <c:delete val="1"/>
        <c:axPos val="b"/>
        <c:numFmt formatCode="_-* #\ ##0_-;\-* #\ ##0_-;_-* &quot;-&quot;??_-;_-@_-" sourceLinked="1"/>
        <c:majorTickMark val="none"/>
        <c:minorTickMark val="none"/>
        <c:tickLblPos val="nextTo"/>
        <c:crossAx val="1798891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32958200472874777"/>
          <c:y val="0.17171296296296296"/>
          <c:w val="0.52204395114817292"/>
          <c:h val="0.7773611111111110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выработка!$D$1</c:f>
              <c:strCache>
                <c:ptCount val="1"/>
                <c:pt idx="0">
                  <c:v>2026 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7222-4671-8ADD-DB7A9B484EC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выработка!$A$2:$A$7</c:f>
              <c:strCache>
                <c:ptCount val="6"/>
                <c:pt idx="0">
                  <c:v>ВС</c:v>
                </c:pt>
                <c:pt idx="1">
                  <c:v>1с</c:v>
                </c:pt>
                <c:pt idx="2">
                  <c:v>2с</c:v>
                </c:pt>
                <c:pt idx="3">
                  <c:v>ГБС</c:v>
                </c:pt>
                <c:pt idx="4">
                  <c:v>ПП</c:v>
                </c:pt>
                <c:pt idx="5">
                  <c:v>Горох итого</c:v>
                </c:pt>
              </c:strCache>
            </c:strRef>
          </c:cat>
          <c:val>
            <c:numRef>
              <c:f>выработка!$D$2:$D$7</c:f>
              <c:numCache>
                <c:formatCode>_-* #\ ##0_-;\-* #\ ##0_-;_-* "-"??_-;_-@_-</c:formatCode>
                <c:ptCount val="6"/>
                <c:pt idx="0">
                  <c:v>16115.583000000001</c:v>
                </c:pt>
                <c:pt idx="1">
                  <c:v>5336.3829999999998</c:v>
                </c:pt>
                <c:pt idx="2">
                  <c:v>1867.7080000000001</c:v>
                </c:pt>
                <c:pt idx="3">
                  <c:v>3621.3330000000001</c:v>
                </c:pt>
                <c:pt idx="4">
                  <c:v>761.97400000000005</c:v>
                </c:pt>
                <c:pt idx="5">
                  <c:v>27702.980999999996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22-4671-8ADD-DB7A9B484E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590173840"/>
        <c:axId val="1424001408"/>
      </c:barChart>
      <c:catAx>
        <c:axId val="15901738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24001408"/>
        <c:crosses val="autoZero"/>
        <c:auto val="1"/>
        <c:lblAlgn val="ctr"/>
        <c:lblOffset val="100"/>
        <c:noMultiLvlLbl val="0"/>
      </c:catAx>
      <c:valAx>
        <c:axId val="1424001408"/>
        <c:scaling>
          <c:orientation val="minMax"/>
        </c:scaling>
        <c:delete val="1"/>
        <c:axPos val="b"/>
        <c:numFmt formatCode="_-* #\ ##0_-;\-* #\ ##0_-;_-* &quot;-&quot;??_-;_-@_-" sourceLinked="1"/>
        <c:majorTickMark val="none"/>
        <c:minorTickMark val="none"/>
        <c:tickLblPos val="nextTo"/>
        <c:crossAx val="1590173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9</xdr:row>
      <xdr:rowOff>28575</xdr:rowOff>
    </xdr:from>
    <xdr:to>
      <xdr:col>10</xdr:col>
      <xdr:colOff>190500</xdr:colOff>
      <xdr:row>23</xdr:row>
      <xdr:rowOff>104775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D245A39-F3D3-2E1F-A023-D98968B116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990600</xdr:colOff>
      <xdr:row>9</xdr:row>
      <xdr:rowOff>114300</xdr:rowOff>
    </xdr:from>
    <xdr:to>
      <xdr:col>4</xdr:col>
      <xdr:colOff>600075</xdr:colOff>
      <xdr:row>24</xdr:row>
      <xdr:rowOff>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4ECD7765-E9C0-11FC-7D76-58A17A2BDC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9524</xdr:colOff>
      <xdr:row>9</xdr:row>
      <xdr:rowOff>104775</xdr:rowOff>
    </xdr:from>
    <xdr:to>
      <xdr:col>8</xdr:col>
      <xdr:colOff>304799</xdr:colOff>
      <xdr:row>23</xdr:row>
      <xdr:rowOff>180975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4A4D48F5-206A-96CA-DF64-F9D26B88B5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F3386E-9349-4B3B-B815-A437F9C3859D}" name="Таблица1" displayName="Таблица1" ref="M2:R85" totalsRowShown="0" dataDxfId="5" dataCellStyle="Финансовый">
  <autoFilter ref="M2:R85" xr:uid="{CC67A8DA-DBFB-43C0-8900-676BBC878AE6}"/>
  <tableColumns count="6">
    <tableColumn id="1" xr3:uid="{8B598E4C-DCB7-42B6-9D6E-C26247882C0A}" name="дата"/>
    <tableColumn id="2" xr3:uid="{7694225F-16F3-4E2E-AF38-D265664E6355}" name="ПП" dataDxfId="4" dataCellStyle="Финансовый"/>
    <tableColumn id="3" xr3:uid="{6E3158F9-E622-4FBA-9846-124B91BC42A4}" name="ГБС" dataDxfId="3" dataCellStyle="Финансовый"/>
    <tableColumn id="4" xr3:uid="{0C8A819C-FFD4-420E-9429-4B56C09E75AE}" name="ВС" dataDxfId="2" dataCellStyle="Финансовый"/>
    <tableColumn id="5" xr3:uid="{DB5157D5-F899-48D1-BABF-873C15367755}" name="1с" dataDxfId="1" dataCellStyle="Финансовый"/>
    <tableColumn id="6" xr3:uid="{C09DD92B-0092-4C5F-BD9C-DA1E1DEC899F}" name="2с" dataDxfId="0" dataCellStyle="Финансовый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FCF0E-262F-4A1F-9C13-1E556A484256}">
  <dimension ref="A1:Y652"/>
  <sheetViews>
    <sheetView topLeftCell="K30" workbookViewId="0">
      <selection activeCell="O52" sqref="O52"/>
    </sheetView>
  </sheetViews>
  <sheetFormatPr defaultRowHeight="15" x14ac:dyDescent="0.2"/>
  <cols>
    <col min="1" max="1" width="10.77734375" customWidth="1"/>
    <col min="2" max="2" width="15.21875" customWidth="1"/>
    <col min="4" max="4" width="10" style="1" bestFit="1" customWidth="1"/>
    <col min="5" max="12" width="10" style="1" customWidth="1"/>
    <col min="13" max="13" width="13.77734375" customWidth="1"/>
    <col min="14" max="18" width="11" bestFit="1" customWidth="1"/>
    <col min="20" max="20" width="11" style="1" bestFit="1" customWidth="1"/>
  </cols>
  <sheetData>
    <row r="1" spans="1:25" x14ac:dyDescent="0.2">
      <c r="U1" t="s">
        <v>1</v>
      </c>
      <c r="V1" t="s">
        <v>2</v>
      </c>
      <c r="W1" t="s">
        <v>3</v>
      </c>
      <c r="X1" t="s">
        <v>4</v>
      </c>
      <c r="Y1" t="s">
        <v>5</v>
      </c>
    </row>
    <row r="2" spans="1:25" x14ac:dyDescent="0.2">
      <c r="A2" t="s">
        <v>0</v>
      </c>
      <c r="B2" t="s">
        <v>95</v>
      </c>
      <c r="C2" t="s">
        <v>96</v>
      </c>
      <c r="D2" s="1" t="s">
        <v>97</v>
      </c>
      <c r="M2" t="s">
        <v>98</v>
      </c>
      <c r="N2" t="s">
        <v>1</v>
      </c>
      <c r="O2" t="s">
        <v>2</v>
      </c>
      <c r="P2" t="s">
        <v>3</v>
      </c>
      <c r="Q2" t="s">
        <v>4</v>
      </c>
      <c r="R2" t="s">
        <v>5</v>
      </c>
      <c r="U2">
        <v>0.23499999999999999</v>
      </c>
      <c r="V2">
        <v>0.23499999999999999</v>
      </c>
      <c r="W2">
        <v>0.23499999999999999</v>
      </c>
      <c r="X2">
        <v>0.222</v>
      </c>
      <c r="Y2">
        <v>0.218</v>
      </c>
    </row>
    <row r="3" spans="1:25" x14ac:dyDescent="0.2">
      <c r="A3" t="s">
        <v>99</v>
      </c>
      <c r="B3" t="s">
        <v>100</v>
      </c>
      <c r="C3" t="s">
        <v>101</v>
      </c>
      <c r="D3" s="1">
        <v>16070</v>
      </c>
      <c r="M3" s="14">
        <v>45804</v>
      </c>
      <c r="N3" s="1"/>
      <c r="O3" s="1">
        <v>80917</v>
      </c>
      <c r="P3" s="1"/>
      <c r="Q3" s="1"/>
      <c r="R3" s="1"/>
    </row>
    <row r="4" spans="1:25" x14ac:dyDescent="0.2">
      <c r="A4" t="s">
        <v>99</v>
      </c>
      <c r="B4" t="s">
        <v>100</v>
      </c>
      <c r="C4" t="s">
        <v>101</v>
      </c>
      <c r="D4" s="1">
        <v>13670</v>
      </c>
      <c r="M4" s="14">
        <v>45805</v>
      </c>
      <c r="N4" s="1"/>
      <c r="O4" s="1">
        <v>433332</v>
      </c>
      <c r="P4" s="1"/>
      <c r="Q4" s="1"/>
      <c r="R4" s="1"/>
    </row>
    <row r="5" spans="1:25" x14ac:dyDescent="0.2">
      <c r="A5" t="s">
        <v>99</v>
      </c>
      <c r="B5" t="s">
        <v>100</v>
      </c>
      <c r="C5" t="s">
        <v>101</v>
      </c>
      <c r="D5" s="1">
        <v>13610</v>
      </c>
      <c r="M5" s="14">
        <v>45806</v>
      </c>
      <c r="N5" s="1"/>
      <c r="O5" s="1"/>
      <c r="P5" s="1">
        <v>29960</v>
      </c>
      <c r="Q5" s="1"/>
      <c r="R5" s="1"/>
    </row>
    <row r="6" spans="1:25" x14ac:dyDescent="0.2">
      <c r="A6" t="s">
        <v>99</v>
      </c>
      <c r="B6" t="s">
        <v>100</v>
      </c>
      <c r="C6" t="s">
        <v>101</v>
      </c>
      <c r="D6" s="1">
        <v>13740</v>
      </c>
      <c r="M6" s="14">
        <v>45807</v>
      </c>
      <c r="N6" s="1"/>
      <c r="O6" s="1"/>
      <c r="P6" s="1"/>
      <c r="Q6" s="1"/>
      <c r="R6" s="1"/>
    </row>
    <row r="7" spans="1:25" x14ac:dyDescent="0.2">
      <c r="A7" t="s">
        <v>99</v>
      </c>
      <c r="B7" t="s">
        <v>100</v>
      </c>
      <c r="C7" t="s">
        <v>101</v>
      </c>
      <c r="D7" s="1">
        <v>13660</v>
      </c>
      <c r="M7" s="14">
        <v>45808</v>
      </c>
      <c r="N7" s="1"/>
      <c r="O7" s="1"/>
      <c r="P7" s="1">
        <v>210693</v>
      </c>
      <c r="Q7" s="1"/>
      <c r="R7" s="1"/>
    </row>
    <row r="8" spans="1:25" x14ac:dyDescent="0.2">
      <c r="A8" t="s">
        <v>99</v>
      </c>
      <c r="B8" t="s">
        <v>100</v>
      </c>
      <c r="C8" t="s">
        <v>101</v>
      </c>
      <c r="D8" s="1">
        <v>13390</v>
      </c>
      <c r="M8" s="14">
        <v>45809</v>
      </c>
      <c r="N8" s="1"/>
      <c r="O8" s="1"/>
      <c r="P8" s="1">
        <v>462994</v>
      </c>
      <c r="Q8" s="1"/>
      <c r="R8" s="1"/>
    </row>
    <row r="9" spans="1:25" x14ac:dyDescent="0.2">
      <c r="A9" t="s">
        <v>99</v>
      </c>
      <c r="B9" t="s">
        <v>100</v>
      </c>
      <c r="C9" t="s">
        <v>101</v>
      </c>
      <c r="D9" s="1">
        <v>13720</v>
      </c>
      <c r="M9" s="14">
        <v>45810</v>
      </c>
      <c r="N9" s="1"/>
      <c r="O9" s="1">
        <v>11837</v>
      </c>
      <c r="P9" s="1">
        <v>634161</v>
      </c>
      <c r="Q9" s="1"/>
      <c r="R9" s="1"/>
    </row>
    <row r="10" spans="1:25" x14ac:dyDescent="0.2">
      <c r="A10" t="s">
        <v>99</v>
      </c>
      <c r="B10" t="s">
        <v>100</v>
      </c>
      <c r="C10" t="s">
        <v>101</v>
      </c>
      <c r="D10" s="1">
        <v>13740</v>
      </c>
      <c r="M10" s="14">
        <v>45811</v>
      </c>
      <c r="N10" s="1"/>
      <c r="O10" s="1"/>
      <c r="P10" s="1">
        <v>537154</v>
      </c>
      <c r="Q10" s="1"/>
      <c r="R10" s="1"/>
    </row>
    <row r="11" spans="1:25" x14ac:dyDescent="0.2">
      <c r="A11" t="s">
        <v>102</v>
      </c>
      <c r="B11" t="s">
        <v>100</v>
      </c>
      <c r="C11" t="s">
        <v>101</v>
      </c>
      <c r="D11" s="1">
        <v>13260</v>
      </c>
      <c r="M11" s="14">
        <v>45812</v>
      </c>
      <c r="N11" s="1"/>
      <c r="O11" s="1"/>
      <c r="P11" s="1">
        <v>745692</v>
      </c>
      <c r="Q11" s="1"/>
      <c r="R11" s="1"/>
    </row>
    <row r="12" spans="1:25" x14ac:dyDescent="0.2">
      <c r="A12" t="s">
        <v>102</v>
      </c>
      <c r="B12" t="s">
        <v>100</v>
      </c>
      <c r="C12" t="s">
        <v>101</v>
      </c>
      <c r="D12" s="1">
        <v>13390</v>
      </c>
      <c r="M12" s="14">
        <v>45813</v>
      </c>
      <c r="N12" s="1"/>
      <c r="O12" s="1">
        <v>662287</v>
      </c>
      <c r="P12" s="1">
        <v>101807</v>
      </c>
      <c r="Q12" s="1"/>
      <c r="R12" s="1"/>
    </row>
    <row r="13" spans="1:25" x14ac:dyDescent="0.2">
      <c r="A13" t="s">
        <v>102</v>
      </c>
      <c r="B13" t="s">
        <v>100</v>
      </c>
      <c r="C13" t="s">
        <v>101</v>
      </c>
      <c r="D13" s="1">
        <v>13270</v>
      </c>
      <c r="M13" s="14">
        <v>45814</v>
      </c>
      <c r="N13" s="1"/>
      <c r="O13" s="1"/>
      <c r="P13" s="1">
        <v>835312</v>
      </c>
      <c r="Q13" s="1"/>
      <c r="R13" s="1"/>
    </row>
    <row r="14" spans="1:25" x14ac:dyDescent="0.2">
      <c r="A14" t="s">
        <v>102</v>
      </c>
      <c r="B14" t="s">
        <v>100</v>
      </c>
      <c r="C14" t="s">
        <v>101</v>
      </c>
      <c r="D14" s="1">
        <v>13200</v>
      </c>
      <c r="M14" s="14">
        <v>45815</v>
      </c>
      <c r="N14" s="1"/>
      <c r="O14" s="1"/>
      <c r="P14" s="1">
        <v>523020</v>
      </c>
      <c r="Q14" s="1">
        <v>257925</v>
      </c>
      <c r="R14" s="1"/>
    </row>
    <row r="15" spans="1:25" x14ac:dyDescent="0.2">
      <c r="A15" t="s">
        <v>102</v>
      </c>
      <c r="B15" t="s">
        <v>100</v>
      </c>
      <c r="C15" t="s">
        <v>101</v>
      </c>
      <c r="D15" s="1">
        <v>13030</v>
      </c>
      <c r="M15" s="14">
        <v>45816</v>
      </c>
      <c r="N15" s="1"/>
      <c r="O15" s="1"/>
      <c r="P15" s="1">
        <v>343420</v>
      </c>
      <c r="Q15" s="1">
        <v>520610</v>
      </c>
      <c r="R15" s="1"/>
    </row>
    <row r="16" spans="1:25" x14ac:dyDescent="0.2">
      <c r="A16" t="s">
        <v>102</v>
      </c>
      <c r="B16" t="s">
        <v>100</v>
      </c>
      <c r="C16" t="s">
        <v>101</v>
      </c>
      <c r="D16" s="1">
        <v>13760</v>
      </c>
      <c r="M16" s="14">
        <v>45817</v>
      </c>
      <c r="N16" s="1"/>
      <c r="O16" s="1"/>
      <c r="P16" s="1">
        <v>80467</v>
      </c>
      <c r="Q16" s="1">
        <v>360989</v>
      </c>
      <c r="R16" s="1"/>
    </row>
    <row r="17" spans="1:18" x14ac:dyDescent="0.2">
      <c r="A17" t="s">
        <v>102</v>
      </c>
      <c r="B17" t="s">
        <v>100</v>
      </c>
      <c r="C17" t="s">
        <v>101</v>
      </c>
      <c r="D17" s="1">
        <v>13570</v>
      </c>
      <c r="M17" s="14">
        <v>45818</v>
      </c>
      <c r="N17" s="1"/>
      <c r="O17" s="1">
        <v>144408</v>
      </c>
      <c r="P17" s="1">
        <v>94713</v>
      </c>
      <c r="Q17" s="1">
        <v>529449</v>
      </c>
      <c r="R17" s="1"/>
    </row>
    <row r="18" spans="1:18" x14ac:dyDescent="0.2">
      <c r="A18" t="s">
        <v>102</v>
      </c>
      <c r="B18" t="s">
        <v>100</v>
      </c>
      <c r="C18" t="s">
        <v>101</v>
      </c>
      <c r="D18" s="1">
        <v>13280</v>
      </c>
      <c r="M18" s="14">
        <v>45819</v>
      </c>
      <c r="N18" s="1"/>
      <c r="O18" s="1">
        <v>141832</v>
      </c>
      <c r="P18" s="1">
        <v>47356</v>
      </c>
      <c r="Q18" s="1">
        <v>494591</v>
      </c>
      <c r="R18" s="1"/>
    </row>
    <row r="19" spans="1:18" x14ac:dyDescent="0.2">
      <c r="A19" t="s">
        <v>102</v>
      </c>
      <c r="B19" t="s">
        <v>100</v>
      </c>
      <c r="C19" t="s">
        <v>101</v>
      </c>
      <c r="D19" s="1">
        <v>13840</v>
      </c>
      <c r="M19" s="14">
        <v>45820</v>
      </c>
      <c r="N19" s="1"/>
      <c r="O19" s="1">
        <v>665044</v>
      </c>
      <c r="P19" s="1">
        <v>194797</v>
      </c>
      <c r="Q19" s="1"/>
      <c r="R19" s="1"/>
    </row>
    <row r="20" spans="1:18" x14ac:dyDescent="0.2">
      <c r="A20" t="s">
        <v>102</v>
      </c>
      <c r="B20" t="s">
        <v>100</v>
      </c>
      <c r="C20" t="s">
        <v>101</v>
      </c>
      <c r="D20" s="1">
        <v>14080</v>
      </c>
      <c r="M20" s="14">
        <v>45821</v>
      </c>
      <c r="N20" s="1"/>
      <c r="O20" s="1">
        <v>352680</v>
      </c>
      <c r="P20" s="1">
        <v>305270</v>
      </c>
      <c r="Q20" s="1">
        <v>125432</v>
      </c>
      <c r="R20" s="1"/>
    </row>
    <row r="21" spans="1:18" x14ac:dyDescent="0.2">
      <c r="A21" t="s">
        <v>102</v>
      </c>
      <c r="B21" t="s">
        <v>100</v>
      </c>
      <c r="C21" t="s">
        <v>101</v>
      </c>
      <c r="D21" s="1">
        <v>14070</v>
      </c>
      <c r="M21" s="14">
        <v>45822</v>
      </c>
      <c r="N21" s="1"/>
      <c r="O21" s="1">
        <v>80458</v>
      </c>
      <c r="P21" s="1">
        <v>328927</v>
      </c>
      <c r="Q21" s="1">
        <v>508851</v>
      </c>
      <c r="R21" s="1"/>
    </row>
    <row r="22" spans="1:18" x14ac:dyDescent="0.2">
      <c r="A22" t="s">
        <v>102</v>
      </c>
      <c r="B22" t="s">
        <v>100</v>
      </c>
      <c r="C22" t="s">
        <v>101</v>
      </c>
      <c r="D22" s="1">
        <v>14230</v>
      </c>
      <c r="M22" s="14">
        <v>45823</v>
      </c>
      <c r="N22" s="1"/>
      <c r="O22" s="1"/>
      <c r="P22" s="1">
        <v>250859</v>
      </c>
      <c r="Q22" s="1">
        <v>485104</v>
      </c>
      <c r="R22" s="1">
        <v>163254</v>
      </c>
    </row>
    <row r="23" spans="1:18" x14ac:dyDescent="0.2">
      <c r="A23" t="s">
        <v>102</v>
      </c>
      <c r="B23" t="s">
        <v>100</v>
      </c>
      <c r="C23" t="s">
        <v>101</v>
      </c>
      <c r="D23" s="1">
        <v>14070</v>
      </c>
      <c r="M23" s="14">
        <v>45824</v>
      </c>
      <c r="N23" s="1"/>
      <c r="O23" s="1">
        <v>21325</v>
      </c>
      <c r="P23" s="1">
        <v>42633</v>
      </c>
      <c r="Q23" s="1"/>
      <c r="R23" s="1">
        <v>371662</v>
      </c>
    </row>
    <row r="24" spans="1:18" x14ac:dyDescent="0.2">
      <c r="A24" t="s">
        <v>102</v>
      </c>
      <c r="B24" t="s">
        <v>100</v>
      </c>
      <c r="C24" t="s">
        <v>101</v>
      </c>
      <c r="D24" s="1">
        <v>14110</v>
      </c>
      <c r="M24" s="14">
        <v>45825</v>
      </c>
      <c r="N24" s="1"/>
      <c r="O24" s="1">
        <v>300568</v>
      </c>
      <c r="P24" s="1"/>
      <c r="Q24" s="1"/>
      <c r="R24" s="1">
        <v>3787</v>
      </c>
    </row>
    <row r="25" spans="1:18" x14ac:dyDescent="0.2">
      <c r="A25" t="s">
        <v>102</v>
      </c>
      <c r="B25" t="s">
        <v>100</v>
      </c>
      <c r="C25" t="s">
        <v>113</v>
      </c>
      <c r="D25" s="1">
        <v>6120</v>
      </c>
      <c r="M25" s="14">
        <v>45826</v>
      </c>
      <c r="N25" s="1"/>
      <c r="O25" s="1">
        <v>525152</v>
      </c>
      <c r="P25" s="1">
        <v>255606</v>
      </c>
      <c r="Q25" s="1"/>
      <c r="R25" s="1"/>
    </row>
    <row r="26" spans="1:18" x14ac:dyDescent="0.2">
      <c r="A26" t="s">
        <v>103</v>
      </c>
      <c r="B26" t="s">
        <v>100</v>
      </c>
      <c r="C26" t="s">
        <v>101</v>
      </c>
      <c r="D26" s="1">
        <v>15750</v>
      </c>
      <c r="M26" s="14">
        <v>45827</v>
      </c>
      <c r="N26" s="1"/>
      <c r="O26" s="1"/>
      <c r="P26" s="1">
        <v>743115</v>
      </c>
      <c r="Q26" s="1">
        <v>156169</v>
      </c>
      <c r="R26" s="1"/>
    </row>
    <row r="27" spans="1:18" x14ac:dyDescent="0.2">
      <c r="A27" t="s">
        <v>103</v>
      </c>
      <c r="B27" t="s">
        <v>100</v>
      </c>
      <c r="C27" t="s">
        <v>101</v>
      </c>
      <c r="D27" s="1">
        <v>8900</v>
      </c>
      <c r="M27" s="14">
        <v>45828</v>
      </c>
      <c r="N27" s="1"/>
      <c r="O27" s="1"/>
      <c r="P27" s="1">
        <v>184585</v>
      </c>
      <c r="Q27" s="1">
        <v>653678</v>
      </c>
      <c r="R27" s="1">
        <v>30769</v>
      </c>
    </row>
    <row r="28" spans="1:18" x14ac:dyDescent="0.2">
      <c r="A28" t="s">
        <v>103</v>
      </c>
      <c r="B28" t="s">
        <v>100</v>
      </c>
      <c r="C28" t="s">
        <v>101</v>
      </c>
      <c r="D28" s="1">
        <v>4550</v>
      </c>
      <c r="M28" s="14">
        <v>45829</v>
      </c>
      <c r="N28" s="1"/>
      <c r="O28" s="1">
        <v>7098</v>
      </c>
      <c r="P28" s="1"/>
      <c r="Q28" s="1">
        <v>298164</v>
      </c>
      <c r="R28" s="1">
        <v>92302</v>
      </c>
    </row>
    <row r="29" spans="1:18" x14ac:dyDescent="0.2">
      <c r="A29" t="s">
        <v>103</v>
      </c>
      <c r="B29" t="s">
        <v>100</v>
      </c>
      <c r="C29" t="s">
        <v>101</v>
      </c>
      <c r="D29" s="1">
        <v>13630</v>
      </c>
      <c r="M29" s="14">
        <v>45830</v>
      </c>
      <c r="N29" s="1"/>
      <c r="O29" s="1">
        <v>887450</v>
      </c>
      <c r="P29" s="1"/>
      <c r="Q29" s="1"/>
      <c r="R29" s="1"/>
    </row>
    <row r="30" spans="1:18" x14ac:dyDescent="0.2">
      <c r="A30" t="s">
        <v>103</v>
      </c>
      <c r="B30" t="s">
        <v>100</v>
      </c>
      <c r="C30" t="s">
        <v>101</v>
      </c>
      <c r="D30" s="1">
        <v>13840</v>
      </c>
      <c r="M30" s="14">
        <v>45831</v>
      </c>
      <c r="N30" s="1"/>
      <c r="O30" s="1">
        <v>565588</v>
      </c>
      <c r="P30" s="1"/>
      <c r="Q30" s="1"/>
      <c r="R30" s="1"/>
    </row>
    <row r="31" spans="1:18" x14ac:dyDescent="0.2">
      <c r="A31" t="s">
        <v>103</v>
      </c>
      <c r="B31" t="s">
        <v>100</v>
      </c>
      <c r="C31" t="s">
        <v>101</v>
      </c>
      <c r="D31" s="1">
        <v>13640</v>
      </c>
      <c r="M31" s="14">
        <v>45832</v>
      </c>
      <c r="N31" s="1"/>
      <c r="O31" s="1">
        <v>527692</v>
      </c>
      <c r="P31" s="1">
        <v>4732</v>
      </c>
      <c r="Q31" s="1"/>
      <c r="R31" s="1"/>
    </row>
    <row r="32" spans="1:18" x14ac:dyDescent="0.2">
      <c r="A32" t="s">
        <v>103</v>
      </c>
      <c r="B32" t="s">
        <v>100</v>
      </c>
      <c r="C32" t="s">
        <v>101</v>
      </c>
      <c r="D32" s="1">
        <v>4660</v>
      </c>
      <c r="M32" s="14">
        <v>45833</v>
      </c>
      <c r="N32" s="1">
        <v>62128</v>
      </c>
      <c r="O32" s="1">
        <v>125338</v>
      </c>
      <c r="P32" s="1"/>
      <c r="Q32" s="1">
        <v>2366</v>
      </c>
      <c r="R32" s="1"/>
    </row>
    <row r="33" spans="1:18" x14ac:dyDescent="0.2">
      <c r="A33" t="s">
        <v>103</v>
      </c>
      <c r="B33" t="s">
        <v>100</v>
      </c>
      <c r="C33" t="s">
        <v>101</v>
      </c>
      <c r="D33" s="1">
        <v>13710</v>
      </c>
      <c r="M33" s="14">
        <v>45834</v>
      </c>
      <c r="N33" s="1"/>
      <c r="O33" s="1"/>
      <c r="P33" s="1"/>
      <c r="Q33" s="1"/>
      <c r="R33" s="1"/>
    </row>
    <row r="34" spans="1:18" x14ac:dyDescent="0.2">
      <c r="A34" t="s">
        <v>103</v>
      </c>
      <c r="B34" t="s">
        <v>100</v>
      </c>
      <c r="C34" t="s">
        <v>101</v>
      </c>
      <c r="D34" s="1">
        <v>14310</v>
      </c>
      <c r="M34" s="14">
        <v>45835</v>
      </c>
      <c r="N34" s="1"/>
      <c r="O34" s="1"/>
      <c r="P34" s="1"/>
      <c r="Q34" s="1"/>
      <c r="R34" s="1"/>
    </row>
    <row r="35" spans="1:18" x14ac:dyDescent="0.2">
      <c r="A35" t="s">
        <v>103</v>
      </c>
      <c r="B35" t="s">
        <v>100</v>
      </c>
      <c r="C35" t="s">
        <v>101</v>
      </c>
      <c r="D35" s="1">
        <v>13690</v>
      </c>
      <c r="M35" s="14">
        <v>45836</v>
      </c>
      <c r="N35" s="1">
        <v>202997</v>
      </c>
      <c r="O35" s="1"/>
      <c r="P35" s="1"/>
      <c r="Q35" s="1"/>
      <c r="R35" s="1"/>
    </row>
    <row r="36" spans="1:18" x14ac:dyDescent="0.2">
      <c r="A36" t="s">
        <v>103</v>
      </c>
      <c r="B36" t="s">
        <v>100</v>
      </c>
      <c r="C36" t="s">
        <v>101</v>
      </c>
      <c r="D36" s="1">
        <v>13840</v>
      </c>
      <c r="M36" s="14">
        <v>45837</v>
      </c>
      <c r="N36" s="1"/>
      <c r="O36" s="1">
        <v>247289</v>
      </c>
      <c r="P36" s="1"/>
      <c r="Q36" s="1"/>
      <c r="R36" s="1"/>
    </row>
    <row r="37" spans="1:18" x14ac:dyDescent="0.2">
      <c r="A37" t="s">
        <v>103</v>
      </c>
      <c r="B37" t="s">
        <v>100</v>
      </c>
      <c r="C37" t="s">
        <v>101</v>
      </c>
      <c r="D37" s="1">
        <v>13630</v>
      </c>
      <c r="M37" s="14">
        <v>45838</v>
      </c>
      <c r="N37" s="1"/>
      <c r="O37" s="1">
        <v>87577</v>
      </c>
      <c r="P37" s="1"/>
      <c r="Q37" s="1"/>
      <c r="R37" s="1"/>
    </row>
    <row r="38" spans="1:18" x14ac:dyDescent="0.2">
      <c r="A38" t="s">
        <v>103</v>
      </c>
      <c r="B38" t="s">
        <v>100</v>
      </c>
      <c r="C38" t="s">
        <v>101</v>
      </c>
      <c r="D38" s="1">
        <v>4690</v>
      </c>
      <c r="M38" s="14">
        <v>45839</v>
      </c>
      <c r="N38" s="1"/>
      <c r="O38" s="1">
        <v>80459</v>
      </c>
      <c r="P38" s="1">
        <v>222422</v>
      </c>
      <c r="Q38" s="1"/>
      <c r="R38" s="1"/>
    </row>
    <row r="39" spans="1:18" x14ac:dyDescent="0.2">
      <c r="A39" t="s">
        <v>103</v>
      </c>
      <c r="B39" t="s">
        <v>100</v>
      </c>
      <c r="C39" t="s">
        <v>101</v>
      </c>
      <c r="D39" s="1">
        <v>15500</v>
      </c>
      <c r="M39" s="14">
        <v>45840</v>
      </c>
      <c r="N39" s="1"/>
      <c r="O39" s="1"/>
      <c r="P39" s="1">
        <v>859084</v>
      </c>
      <c r="Q39" s="1"/>
      <c r="R39" s="1"/>
    </row>
    <row r="40" spans="1:18" x14ac:dyDescent="0.2">
      <c r="A40" t="s">
        <v>103</v>
      </c>
      <c r="B40" t="s">
        <v>100</v>
      </c>
      <c r="C40" t="s">
        <v>101</v>
      </c>
      <c r="D40" s="1">
        <v>13520</v>
      </c>
      <c r="M40" s="14">
        <v>45841</v>
      </c>
      <c r="N40" s="1"/>
      <c r="O40" s="1"/>
      <c r="P40" s="1">
        <v>568035</v>
      </c>
      <c r="Q40" s="1"/>
      <c r="R40" s="1"/>
    </row>
    <row r="41" spans="1:18" x14ac:dyDescent="0.2">
      <c r="A41" t="s">
        <v>103</v>
      </c>
      <c r="B41" t="s">
        <v>100</v>
      </c>
      <c r="C41" t="s">
        <v>101</v>
      </c>
      <c r="D41" s="1">
        <v>13550</v>
      </c>
      <c r="M41" s="14">
        <v>45842</v>
      </c>
      <c r="N41" s="1"/>
      <c r="O41" s="1">
        <v>2366</v>
      </c>
      <c r="P41" s="1">
        <v>598666</v>
      </c>
      <c r="Q41" s="1">
        <v>40222</v>
      </c>
      <c r="R41" s="1">
        <v>115957</v>
      </c>
    </row>
    <row r="42" spans="1:18" x14ac:dyDescent="0.2">
      <c r="A42" t="s">
        <v>103</v>
      </c>
      <c r="B42" t="s">
        <v>100</v>
      </c>
      <c r="C42" t="s">
        <v>101</v>
      </c>
      <c r="D42" s="1">
        <v>4470</v>
      </c>
      <c r="M42" s="14">
        <v>45843</v>
      </c>
      <c r="N42" s="1"/>
      <c r="O42" s="1"/>
      <c r="P42" s="1">
        <v>198782</v>
      </c>
      <c r="Q42" s="1">
        <v>205861</v>
      </c>
      <c r="R42" s="1"/>
    </row>
    <row r="43" spans="1:18" x14ac:dyDescent="0.2">
      <c r="A43" t="s">
        <v>103</v>
      </c>
      <c r="B43" t="s">
        <v>100</v>
      </c>
      <c r="C43" t="s">
        <v>101</v>
      </c>
      <c r="D43" s="1">
        <v>14560</v>
      </c>
      <c r="M43" s="14">
        <v>45844</v>
      </c>
      <c r="N43" s="1"/>
      <c r="O43" s="1"/>
      <c r="P43" s="1">
        <v>607618</v>
      </c>
      <c r="Q43" s="1">
        <v>42607</v>
      </c>
      <c r="R43" s="1"/>
    </row>
    <row r="44" spans="1:18" x14ac:dyDescent="0.2">
      <c r="A44" t="s">
        <v>104</v>
      </c>
      <c r="B44" t="s">
        <v>100</v>
      </c>
      <c r="C44" t="s">
        <v>101</v>
      </c>
      <c r="D44" s="1">
        <v>13400</v>
      </c>
      <c r="M44" s="14">
        <v>45845</v>
      </c>
      <c r="N44" s="1"/>
      <c r="O44" s="1"/>
      <c r="P44" s="1"/>
      <c r="Q44" s="1"/>
      <c r="R44" s="1"/>
    </row>
    <row r="45" spans="1:18" x14ac:dyDescent="0.2">
      <c r="A45" t="s">
        <v>104</v>
      </c>
      <c r="B45" t="s">
        <v>100</v>
      </c>
      <c r="C45" t="s">
        <v>101</v>
      </c>
      <c r="D45" s="1">
        <v>13470</v>
      </c>
      <c r="M45" s="14">
        <v>45846</v>
      </c>
      <c r="N45" s="1"/>
      <c r="O45" s="1"/>
      <c r="P45" s="1">
        <v>125414</v>
      </c>
      <c r="Q45" s="1">
        <v>151444</v>
      </c>
      <c r="R45" s="1"/>
    </row>
    <row r="46" spans="1:18" x14ac:dyDescent="0.2">
      <c r="A46" t="s">
        <v>104</v>
      </c>
      <c r="B46" t="s">
        <v>100</v>
      </c>
      <c r="C46" t="s">
        <v>101</v>
      </c>
      <c r="D46" s="1">
        <v>4490</v>
      </c>
      <c r="M46" s="14">
        <v>45847</v>
      </c>
      <c r="N46" s="1"/>
      <c r="O46" s="1"/>
      <c r="P46" s="1"/>
      <c r="Q46" s="1">
        <v>157549</v>
      </c>
      <c r="R46" s="1">
        <v>290156</v>
      </c>
    </row>
    <row r="47" spans="1:18" x14ac:dyDescent="0.2">
      <c r="A47" t="s">
        <v>104</v>
      </c>
      <c r="B47" t="s">
        <v>100</v>
      </c>
      <c r="C47" t="s">
        <v>101</v>
      </c>
      <c r="D47" s="1">
        <v>13580</v>
      </c>
      <c r="M47" s="15">
        <v>45848</v>
      </c>
      <c r="N47" s="16"/>
      <c r="O47" s="16"/>
      <c r="P47" s="16"/>
      <c r="Q47" s="16">
        <v>42243</v>
      </c>
      <c r="R47" s="16"/>
    </row>
    <row r="48" spans="1:18" x14ac:dyDescent="0.2">
      <c r="A48" t="s">
        <v>104</v>
      </c>
      <c r="B48" t="s">
        <v>100</v>
      </c>
      <c r="C48" t="s">
        <v>101</v>
      </c>
      <c r="D48" s="1">
        <v>13540</v>
      </c>
      <c r="L48" s="17"/>
      <c r="M48" s="14">
        <v>46176</v>
      </c>
      <c r="N48" s="1">
        <v>0</v>
      </c>
      <c r="O48" s="1">
        <v>505231</v>
      </c>
      <c r="P48" s="1">
        <v>54</v>
      </c>
      <c r="Q48" s="1">
        <v>0</v>
      </c>
      <c r="R48" s="1">
        <v>0</v>
      </c>
    </row>
    <row r="49" spans="1:18" x14ac:dyDescent="0.2">
      <c r="A49" t="s">
        <v>104</v>
      </c>
      <c r="B49" t="s">
        <v>100</v>
      </c>
      <c r="C49" t="s">
        <v>101</v>
      </c>
      <c r="D49" s="1">
        <v>13880</v>
      </c>
      <c r="L49" s="17"/>
      <c r="M49" s="14">
        <f>+M48+1</f>
        <v>46177</v>
      </c>
      <c r="N49" s="1">
        <v>0</v>
      </c>
      <c r="O49" s="1">
        <v>477609</v>
      </c>
      <c r="P49" s="1">
        <v>0</v>
      </c>
      <c r="Q49" s="1">
        <v>0</v>
      </c>
      <c r="R49" s="1">
        <v>0</v>
      </c>
    </row>
    <row r="50" spans="1:18" x14ac:dyDescent="0.2">
      <c r="A50" t="s">
        <v>104</v>
      </c>
      <c r="B50" t="s">
        <v>100</v>
      </c>
      <c r="C50" t="s">
        <v>101</v>
      </c>
      <c r="D50" s="1">
        <v>4470</v>
      </c>
      <c r="L50" s="17"/>
      <c r="M50" s="14">
        <f t="shared" ref="M50:M112" si="0">+M49+1</f>
        <v>46178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</row>
    <row r="51" spans="1:18" x14ac:dyDescent="0.2">
      <c r="A51" t="s">
        <v>104</v>
      </c>
      <c r="B51" t="s">
        <v>100</v>
      </c>
      <c r="C51" t="s">
        <v>101</v>
      </c>
      <c r="D51" s="1">
        <v>13880</v>
      </c>
      <c r="L51" s="17"/>
      <c r="M51" s="14">
        <f t="shared" si="0"/>
        <v>46179</v>
      </c>
      <c r="N51" s="1">
        <v>0</v>
      </c>
      <c r="O51" s="1">
        <v>768472</v>
      </c>
      <c r="P51" s="1">
        <v>46</v>
      </c>
      <c r="Q51" s="1">
        <v>0</v>
      </c>
      <c r="R51" s="1">
        <v>0</v>
      </c>
    </row>
    <row r="52" spans="1:18" x14ac:dyDescent="0.2">
      <c r="A52" t="s">
        <v>104</v>
      </c>
      <c r="B52" t="s">
        <v>100</v>
      </c>
      <c r="C52" t="s">
        <v>101</v>
      </c>
      <c r="D52" s="1">
        <v>11920</v>
      </c>
      <c r="L52" s="17"/>
      <c r="M52" s="14">
        <f t="shared" si="0"/>
        <v>46180</v>
      </c>
      <c r="N52" s="1">
        <v>0</v>
      </c>
      <c r="O52" s="1">
        <v>851094</v>
      </c>
      <c r="P52" s="1">
        <v>130</v>
      </c>
      <c r="Q52" s="1">
        <v>0</v>
      </c>
      <c r="R52" s="1">
        <v>0</v>
      </c>
    </row>
    <row r="53" spans="1:18" x14ac:dyDescent="0.2">
      <c r="A53" t="s">
        <v>104</v>
      </c>
      <c r="B53" t="s">
        <v>100</v>
      </c>
      <c r="C53" t="s">
        <v>101</v>
      </c>
      <c r="D53" s="1">
        <v>1830</v>
      </c>
      <c r="L53" s="17"/>
      <c r="M53" s="14">
        <f t="shared" si="0"/>
        <v>46181</v>
      </c>
      <c r="N53" s="1">
        <v>735089</v>
      </c>
      <c r="O53" s="1">
        <v>92215</v>
      </c>
      <c r="P53" s="1">
        <v>171</v>
      </c>
      <c r="Q53" s="1">
        <v>0</v>
      </c>
      <c r="R53" s="1">
        <v>0</v>
      </c>
    </row>
    <row r="54" spans="1:18" x14ac:dyDescent="0.2">
      <c r="A54" t="s">
        <v>104</v>
      </c>
      <c r="B54" t="s">
        <v>100</v>
      </c>
      <c r="C54" t="s">
        <v>101</v>
      </c>
      <c r="D54" s="1">
        <v>15400</v>
      </c>
      <c r="L54" s="17"/>
      <c r="M54" s="14">
        <f t="shared" si="0"/>
        <v>46182</v>
      </c>
      <c r="N54" s="1">
        <v>26885</v>
      </c>
      <c r="O54" s="1">
        <v>437710</v>
      </c>
      <c r="P54" s="1">
        <v>390390</v>
      </c>
      <c r="Q54" s="1">
        <v>0</v>
      </c>
      <c r="R54" s="1">
        <v>0</v>
      </c>
    </row>
    <row r="55" spans="1:18" x14ac:dyDescent="0.2">
      <c r="A55" t="s">
        <v>104</v>
      </c>
      <c r="B55" t="s">
        <v>100</v>
      </c>
      <c r="C55" t="s">
        <v>113</v>
      </c>
      <c r="D55" s="1">
        <v>13400</v>
      </c>
      <c r="L55" s="17"/>
      <c r="M55" s="14">
        <f t="shared" si="0"/>
        <v>46183</v>
      </c>
      <c r="N55" s="1">
        <v>0</v>
      </c>
      <c r="O55" s="1">
        <v>0</v>
      </c>
      <c r="P55" s="1">
        <v>880705</v>
      </c>
      <c r="Q55" s="1">
        <v>0</v>
      </c>
      <c r="R55" s="1">
        <v>0</v>
      </c>
    </row>
    <row r="56" spans="1:18" x14ac:dyDescent="0.2">
      <c r="A56" t="s">
        <v>104</v>
      </c>
      <c r="B56" t="s">
        <v>100</v>
      </c>
      <c r="C56" t="s">
        <v>113</v>
      </c>
      <c r="D56" s="1">
        <v>13150</v>
      </c>
      <c r="L56" s="17"/>
      <c r="M56" s="14">
        <f t="shared" si="0"/>
        <v>46184</v>
      </c>
      <c r="N56" s="1">
        <v>0</v>
      </c>
      <c r="O56" s="1">
        <v>0</v>
      </c>
      <c r="P56" s="1">
        <v>690774</v>
      </c>
      <c r="Q56" s="1">
        <v>170354</v>
      </c>
      <c r="R56" s="1">
        <v>0</v>
      </c>
    </row>
    <row r="57" spans="1:18" x14ac:dyDescent="0.2">
      <c r="A57" t="s">
        <v>104</v>
      </c>
      <c r="B57" t="s">
        <v>100</v>
      </c>
      <c r="C57" t="s">
        <v>113</v>
      </c>
      <c r="D57" s="1">
        <v>13450</v>
      </c>
      <c r="L57" s="17"/>
      <c r="M57" s="14">
        <f t="shared" si="0"/>
        <v>46185</v>
      </c>
      <c r="N57" s="1">
        <v>0</v>
      </c>
      <c r="O57" s="1">
        <v>0</v>
      </c>
      <c r="P57" s="1">
        <v>625820</v>
      </c>
      <c r="Q57" s="1">
        <v>238016</v>
      </c>
      <c r="R57" s="1">
        <v>0</v>
      </c>
    </row>
    <row r="58" spans="1:18" x14ac:dyDescent="0.2">
      <c r="A58" t="s">
        <v>104</v>
      </c>
      <c r="B58" t="s">
        <v>100</v>
      </c>
      <c r="C58" t="s">
        <v>113</v>
      </c>
      <c r="D58" s="1">
        <v>4590</v>
      </c>
      <c r="L58" s="17"/>
      <c r="M58" s="14">
        <f t="shared" si="0"/>
        <v>46186</v>
      </c>
      <c r="N58" s="1">
        <v>0</v>
      </c>
      <c r="O58" s="1">
        <v>0</v>
      </c>
      <c r="P58" s="1">
        <v>389395</v>
      </c>
      <c r="Q58" s="1">
        <v>321795</v>
      </c>
      <c r="R58" s="1">
        <v>0</v>
      </c>
    </row>
    <row r="59" spans="1:18" x14ac:dyDescent="0.2">
      <c r="A59" t="s">
        <v>104</v>
      </c>
      <c r="B59" t="s">
        <v>100</v>
      </c>
      <c r="C59" t="s">
        <v>113</v>
      </c>
      <c r="D59" s="1">
        <v>13450</v>
      </c>
      <c r="L59" s="17"/>
      <c r="M59" s="14">
        <f t="shared" si="0"/>
        <v>46187</v>
      </c>
      <c r="N59" s="1">
        <v>0</v>
      </c>
      <c r="O59" s="1">
        <v>0</v>
      </c>
      <c r="P59" s="1">
        <v>562393</v>
      </c>
      <c r="Q59" s="1">
        <v>294630</v>
      </c>
      <c r="R59" s="1">
        <v>0</v>
      </c>
    </row>
    <row r="60" spans="1:18" x14ac:dyDescent="0.2">
      <c r="A60" t="s">
        <v>104</v>
      </c>
      <c r="B60" t="s">
        <v>100</v>
      </c>
      <c r="C60" t="s">
        <v>113</v>
      </c>
      <c r="D60" s="1">
        <v>13250</v>
      </c>
      <c r="L60" s="17"/>
      <c r="M60" s="14">
        <f t="shared" si="0"/>
        <v>46188</v>
      </c>
      <c r="N60" s="1">
        <v>0</v>
      </c>
      <c r="O60" s="1">
        <v>0</v>
      </c>
      <c r="P60" s="1">
        <v>261614</v>
      </c>
      <c r="Q60" s="1">
        <v>678712</v>
      </c>
      <c r="R60" s="1">
        <v>0</v>
      </c>
    </row>
    <row r="61" spans="1:18" x14ac:dyDescent="0.2">
      <c r="A61" t="s">
        <v>104</v>
      </c>
      <c r="B61" t="s">
        <v>100</v>
      </c>
      <c r="C61" t="s">
        <v>113</v>
      </c>
      <c r="D61" s="1">
        <v>13310</v>
      </c>
      <c r="L61" s="17"/>
      <c r="M61" s="14">
        <f t="shared" si="0"/>
        <v>46189</v>
      </c>
      <c r="N61" s="1">
        <v>0</v>
      </c>
      <c r="O61" s="1">
        <v>0</v>
      </c>
      <c r="P61" s="1">
        <v>581139</v>
      </c>
      <c r="Q61" s="1">
        <v>228026</v>
      </c>
      <c r="R61" s="1">
        <v>0</v>
      </c>
    </row>
    <row r="62" spans="1:18" x14ac:dyDescent="0.2">
      <c r="A62" t="s">
        <v>104</v>
      </c>
      <c r="B62" t="s">
        <v>100</v>
      </c>
      <c r="C62" t="s">
        <v>113</v>
      </c>
      <c r="D62" s="1">
        <v>13410</v>
      </c>
      <c r="L62" s="17"/>
      <c r="M62" s="14">
        <f t="shared" si="0"/>
        <v>46190</v>
      </c>
      <c r="N62" s="1">
        <v>0</v>
      </c>
      <c r="O62" s="1">
        <v>0</v>
      </c>
      <c r="P62" s="1">
        <v>608471</v>
      </c>
      <c r="Q62" s="1">
        <v>295251</v>
      </c>
      <c r="R62" s="1">
        <v>0</v>
      </c>
    </row>
    <row r="63" spans="1:18" x14ac:dyDescent="0.2">
      <c r="A63" t="s">
        <v>104</v>
      </c>
      <c r="B63" t="s">
        <v>100</v>
      </c>
      <c r="C63" t="s">
        <v>113</v>
      </c>
      <c r="D63" s="1">
        <v>4500</v>
      </c>
      <c r="L63" s="17"/>
      <c r="M63" s="14">
        <f t="shared" si="0"/>
        <v>46191</v>
      </c>
      <c r="N63" s="1">
        <v>0</v>
      </c>
      <c r="O63" s="1">
        <v>0</v>
      </c>
      <c r="P63" s="1">
        <v>976379</v>
      </c>
      <c r="Q63" s="1">
        <v>0</v>
      </c>
      <c r="R63" s="1">
        <v>0</v>
      </c>
    </row>
    <row r="64" spans="1:18" x14ac:dyDescent="0.2">
      <c r="A64" t="s">
        <v>105</v>
      </c>
      <c r="B64" t="s">
        <v>100</v>
      </c>
      <c r="C64" t="s">
        <v>113</v>
      </c>
      <c r="D64" s="1">
        <v>13450</v>
      </c>
      <c r="L64" s="17"/>
      <c r="M64" s="14">
        <f t="shared" si="0"/>
        <v>46192</v>
      </c>
      <c r="N64" s="1">
        <v>0</v>
      </c>
      <c r="O64" s="1">
        <v>0</v>
      </c>
      <c r="P64" s="1">
        <v>274007</v>
      </c>
      <c r="Q64" s="1">
        <v>0</v>
      </c>
      <c r="R64" s="1">
        <v>0</v>
      </c>
    </row>
    <row r="65" spans="1:18" x14ac:dyDescent="0.2">
      <c r="A65" t="s">
        <v>105</v>
      </c>
      <c r="B65" t="s">
        <v>100</v>
      </c>
      <c r="C65" t="s">
        <v>113</v>
      </c>
      <c r="D65" s="1">
        <v>13560</v>
      </c>
      <c r="L65" s="17"/>
      <c r="M65" s="14">
        <f t="shared" si="0"/>
        <v>46193</v>
      </c>
      <c r="N65" s="1">
        <v>0</v>
      </c>
      <c r="O65" s="1">
        <v>79651</v>
      </c>
      <c r="P65" s="1">
        <v>113760</v>
      </c>
      <c r="Q65" s="1">
        <v>0</v>
      </c>
      <c r="R65" s="1">
        <v>0</v>
      </c>
    </row>
    <row r="66" spans="1:18" x14ac:dyDescent="0.2">
      <c r="A66" t="s">
        <v>105</v>
      </c>
      <c r="B66" t="s">
        <v>100</v>
      </c>
      <c r="C66" t="s">
        <v>113</v>
      </c>
      <c r="D66" s="1">
        <v>4510</v>
      </c>
      <c r="L66" s="17"/>
      <c r="M66" s="14">
        <f t="shared" si="0"/>
        <v>46194</v>
      </c>
      <c r="N66" s="1">
        <v>0</v>
      </c>
      <c r="O66" s="1">
        <v>0</v>
      </c>
      <c r="P66" s="1">
        <v>911367</v>
      </c>
      <c r="Q66" s="1">
        <v>0</v>
      </c>
      <c r="R66" s="1">
        <v>0</v>
      </c>
    </row>
    <row r="67" spans="1:18" x14ac:dyDescent="0.2">
      <c r="A67" t="s">
        <v>105</v>
      </c>
      <c r="B67" t="s">
        <v>100</v>
      </c>
      <c r="C67" t="s">
        <v>113</v>
      </c>
      <c r="D67" s="1">
        <v>13440</v>
      </c>
      <c r="L67" s="17"/>
      <c r="M67" s="14">
        <f t="shared" si="0"/>
        <v>46195</v>
      </c>
      <c r="N67" s="1">
        <v>0</v>
      </c>
      <c r="O67" s="1">
        <v>0</v>
      </c>
      <c r="P67" s="1">
        <v>876254</v>
      </c>
      <c r="Q67" s="1">
        <v>68614</v>
      </c>
      <c r="R67" s="1">
        <v>0</v>
      </c>
    </row>
    <row r="68" spans="1:18" x14ac:dyDescent="0.2">
      <c r="A68" t="s">
        <v>105</v>
      </c>
      <c r="B68" t="s">
        <v>100</v>
      </c>
      <c r="C68" t="s">
        <v>113</v>
      </c>
      <c r="D68" s="1">
        <v>13460</v>
      </c>
      <c r="L68" s="17"/>
      <c r="M68" s="14">
        <f t="shared" si="0"/>
        <v>46196</v>
      </c>
      <c r="N68" s="1">
        <v>0</v>
      </c>
      <c r="O68" s="1">
        <v>0</v>
      </c>
      <c r="P68" s="1">
        <v>874707</v>
      </c>
      <c r="Q68" s="1">
        <v>89699</v>
      </c>
      <c r="R68" s="1">
        <v>0</v>
      </c>
    </row>
    <row r="69" spans="1:18" x14ac:dyDescent="0.2">
      <c r="A69" t="s">
        <v>105</v>
      </c>
      <c r="B69" t="s">
        <v>100</v>
      </c>
      <c r="C69" t="s">
        <v>113</v>
      </c>
      <c r="D69" s="1">
        <v>13240</v>
      </c>
      <c r="L69" s="17"/>
      <c r="M69" s="14">
        <f t="shared" si="0"/>
        <v>46197</v>
      </c>
      <c r="N69" s="1">
        <v>0</v>
      </c>
      <c r="O69" s="1">
        <v>0</v>
      </c>
      <c r="P69" s="1">
        <v>459231</v>
      </c>
      <c r="Q69" s="1">
        <v>353041</v>
      </c>
      <c r="R69" s="1">
        <v>0</v>
      </c>
    </row>
    <row r="70" spans="1:18" x14ac:dyDescent="0.2">
      <c r="A70" t="s">
        <v>105</v>
      </c>
      <c r="B70" t="s">
        <v>100</v>
      </c>
      <c r="C70" t="s">
        <v>113</v>
      </c>
      <c r="D70" s="1">
        <v>13580</v>
      </c>
      <c r="L70" s="17"/>
      <c r="M70" s="14">
        <f t="shared" si="0"/>
        <v>46198</v>
      </c>
      <c r="N70" s="1">
        <v>0</v>
      </c>
      <c r="O70" s="1">
        <v>0</v>
      </c>
      <c r="P70" s="1">
        <v>700417</v>
      </c>
      <c r="Q70" s="1">
        <v>264242</v>
      </c>
      <c r="R70" s="1">
        <v>0</v>
      </c>
    </row>
    <row r="71" spans="1:18" x14ac:dyDescent="0.2">
      <c r="A71" t="s">
        <v>105</v>
      </c>
      <c r="B71" t="s">
        <v>100</v>
      </c>
      <c r="C71" t="s">
        <v>113</v>
      </c>
      <c r="D71" s="1">
        <v>4540</v>
      </c>
      <c r="L71" s="17"/>
      <c r="M71" s="14">
        <f t="shared" si="0"/>
        <v>46199</v>
      </c>
      <c r="N71" s="1">
        <v>0</v>
      </c>
      <c r="O71" s="1">
        <v>0</v>
      </c>
      <c r="P71" s="1">
        <v>241352</v>
      </c>
      <c r="Q71" s="1">
        <v>468886</v>
      </c>
      <c r="R71" s="1">
        <v>123052</v>
      </c>
    </row>
    <row r="72" spans="1:18" x14ac:dyDescent="0.2">
      <c r="A72" t="s">
        <v>105</v>
      </c>
      <c r="B72" t="s">
        <v>100</v>
      </c>
      <c r="C72" t="s">
        <v>113</v>
      </c>
      <c r="D72" s="1">
        <v>13410</v>
      </c>
      <c r="L72" s="17"/>
      <c r="M72" s="14">
        <f t="shared" si="0"/>
        <v>46200</v>
      </c>
      <c r="N72" s="1">
        <v>0</v>
      </c>
      <c r="O72" s="1">
        <v>0</v>
      </c>
      <c r="P72" s="1">
        <v>191543</v>
      </c>
      <c r="Q72" s="1">
        <v>84913</v>
      </c>
      <c r="R72" s="1">
        <v>121811</v>
      </c>
    </row>
    <row r="73" spans="1:18" x14ac:dyDescent="0.2">
      <c r="A73" t="s">
        <v>105</v>
      </c>
      <c r="B73" t="s">
        <v>100</v>
      </c>
      <c r="C73" t="s">
        <v>113</v>
      </c>
      <c r="D73" s="1">
        <v>13650</v>
      </c>
      <c r="L73" s="17"/>
      <c r="M73" s="14">
        <f t="shared" si="0"/>
        <v>46201</v>
      </c>
      <c r="N73" s="1">
        <v>0</v>
      </c>
      <c r="O73" s="1">
        <v>0</v>
      </c>
      <c r="P73" s="1">
        <v>507547</v>
      </c>
      <c r="Q73" s="1">
        <v>0</v>
      </c>
      <c r="R73" s="1">
        <v>139548</v>
      </c>
    </row>
    <row r="74" spans="1:18" x14ac:dyDescent="0.2">
      <c r="A74" t="s">
        <v>105</v>
      </c>
      <c r="B74" t="s">
        <v>100</v>
      </c>
      <c r="C74" t="s">
        <v>113</v>
      </c>
      <c r="D74" s="1">
        <v>13630</v>
      </c>
      <c r="L74" s="17"/>
      <c r="M74" s="14">
        <f t="shared" si="0"/>
        <v>46202</v>
      </c>
      <c r="N74" s="1">
        <v>0</v>
      </c>
      <c r="O74" s="1">
        <v>371495</v>
      </c>
      <c r="P74" s="1">
        <v>560342</v>
      </c>
      <c r="Q74" s="1">
        <v>0</v>
      </c>
      <c r="R74" s="1">
        <v>0</v>
      </c>
    </row>
    <row r="75" spans="1:18" x14ac:dyDescent="0.2">
      <c r="A75" t="s">
        <v>105</v>
      </c>
      <c r="B75" t="s">
        <v>100</v>
      </c>
      <c r="C75" t="s">
        <v>113</v>
      </c>
      <c r="D75" s="1">
        <v>6730</v>
      </c>
      <c r="L75" s="17"/>
      <c r="M75" s="14">
        <f t="shared" si="0"/>
        <v>46203</v>
      </c>
      <c r="N75" s="1">
        <v>0</v>
      </c>
      <c r="O75" s="1">
        <v>0</v>
      </c>
      <c r="P75" s="1">
        <v>943280</v>
      </c>
      <c r="Q75" s="1">
        <v>0</v>
      </c>
      <c r="R75" s="1">
        <v>0</v>
      </c>
    </row>
    <row r="76" spans="1:18" x14ac:dyDescent="0.2">
      <c r="A76" t="s">
        <v>105</v>
      </c>
      <c r="B76" t="s">
        <v>100</v>
      </c>
      <c r="C76" t="s">
        <v>113</v>
      </c>
      <c r="D76" s="1">
        <v>6820</v>
      </c>
      <c r="L76" s="17"/>
      <c r="M76" s="14">
        <f t="shared" si="0"/>
        <v>46204</v>
      </c>
      <c r="N76" s="1">
        <v>0</v>
      </c>
      <c r="O76" s="1">
        <v>37856</v>
      </c>
      <c r="P76" s="1">
        <v>613738</v>
      </c>
      <c r="Q76" s="1">
        <v>0</v>
      </c>
      <c r="R76" s="1">
        <v>0</v>
      </c>
    </row>
    <row r="77" spans="1:18" x14ac:dyDescent="0.2">
      <c r="A77" t="s">
        <v>105</v>
      </c>
      <c r="B77" t="s">
        <v>100</v>
      </c>
      <c r="C77" t="s">
        <v>113</v>
      </c>
      <c r="D77" s="1">
        <v>13350</v>
      </c>
      <c r="L77" s="17"/>
      <c r="M77" s="14">
        <f t="shared" si="0"/>
        <v>46205</v>
      </c>
      <c r="N77" s="1">
        <v>0</v>
      </c>
      <c r="O77" s="1">
        <v>0</v>
      </c>
      <c r="P77" s="1">
        <v>980069</v>
      </c>
      <c r="Q77" s="1">
        <v>0</v>
      </c>
      <c r="R77" s="1">
        <v>0</v>
      </c>
    </row>
    <row r="78" spans="1:18" x14ac:dyDescent="0.2">
      <c r="A78" t="s">
        <v>105</v>
      </c>
      <c r="B78" t="s">
        <v>100</v>
      </c>
      <c r="C78" t="s">
        <v>113</v>
      </c>
      <c r="D78" s="1">
        <v>13560</v>
      </c>
      <c r="L78" s="17"/>
      <c r="M78" s="14">
        <f t="shared" si="0"/>
        <v>46206</v>
      </c>
      <c r="N78" s="1">
        <v>0</v>
      </c>
      <c r="O78" s="1">
        <v>0</v>
      </c>
      <c r="P78" s="1">
        <v>828413</v>
      </c>
      <c r="Q78" s="1">
        <v>87545</v>
      </c>
      <c r="R78" s="1">
        <v>0</v>
      </c>
    </row>
    <row r="79" spans="1:18" x14ac:dyDescent="0.2">
      <c r="A79" t="s">
        <v>105</v>
      </c>
      <c r="B79" t="s">
        <v>100</v>
      </c>
      <c r="C79" t="s">
        <v>113</v>
      </c>
      <c r="D79" s="1">
        <v>13690</v>
      </c>
      <c r="L79" s="17"/>
      <c r="M79" s="14">
        <f t="shared" si="0"/>
        <v>46207</v>
      </c>
      <c r="N79" s="1">
        <v>0</v>
      </c>
      <c r="O79" s="1">
        <v>0</v>
      </c>
      <c r="P79" s="1">
        <v>696253</v>
      </c>
      <c r="Q79" s="1">
        <v>168908</v>
      </c>
      <c r="R79" s="1">
        <v>0</v>
      </c>
    </row>
    <row r="80" spans="1:18" x14ac:dyDescent="0.2">
      <c r="A80" t="s">
        <v>105</v>
      </c>
      <c r="B80" t="s">
        <v>100</v>
      </c>
      <c r="C80" t="s">
        <v>113</v>
      </c>
      <c r="D80" s="1">
        <v>13980</v>
      </c>
      <c r="L80" s="17"/>
      <c r="M80" s="14">
        <f t="shared" si="0"/>
        <v>46208</v>
      </c>
      <c r="N80" s="1">
        <v>0</v>
      </c>
      <c r="O80" s="1">
        <v>0</v>
      </c>
      <c r="P80" s="1">
        <v>339775</v>
      </c>
      <c r="Q80" s="1">
        <v>544648</v>
      </c>
      <c r="R80" s="1">
        <v>0</v>
      </c>
    </row>
    <row r="81" spans="1:18" x14ac:dyDescent="0.2">
      <c r="A81" t="s">
        <v>105</v>
      </c>
      <c r="B81" t="s">
        <v>100</v>
      </c>
      <c r="C81" t="s">
        <v>113</v>
      </c>
      <c r="D81" s="1">
        <v>13180</v>
      </c>
      <c r="L81" s="17"/>
      <c r="M81" s="14">
        <f t="shared" si="0"/>
        <v>46209</v>
      </c>
      <c r="N81" s="1">
        <v>0</v>
      </c>
      <c r="O81" s="1">
        <v>0</v>
      </c>
      <c r="P81" s="1">
        <v>0</v>
      </c>
      <c r="Q81" s="1">
        <v>714754</v>
      </c>
      <c r="R81" s="1">
        <v>199936</v>
      </c>
    </row>
    <row r="82" spans="1:18" x14ac:dyDescent="0.2">
      <c r="A82" t="s">
        <v>105</v>
      </c>
      <c r="B82" t="s">
        <v>100</v>
      </c>
      <c r="C82" t="s">
        <v>113</v>
      </c>
      <c r="D82" s="1">
        <v>13290</v>
      </c>
      <c r="L82" s="17"/>
      <c r="M82" s="14">
        <f t="shared" si="0"/>
        <v>46210</v>
      </c>
      <c r="N82" s="1">
        <v>0</v>
      </c>
      <c r="O82" s="1">
        <v>0</v>
      </c>
      <c r="P82" s="1">
        <v>36047</v>
      </c>
      <c r="Q82" s="1">
        <v>264349</v>
      </c>
      <c r="R82" s="1">
        <v>474823</v>
      </c>
    </row>
    <row r="83" spans="1:18" x14ac:dyDescent="0.2">
      <c r="A83" t="s">
        <v>105</v>
      </c>
      <c r="B83" t="s">
        <v>100</v>
      </c>
      <c r="C83" t="s">
        <v>113</v>
      </c>
      <c r="D83" s="1">
        <v>13330</v>
      </c>
      <c r="L83" s="17"/>
      <c r="M83" s="14">
        <f t="shared" si="0"/>
        <v>46211</v>
      </c>
      <c r="N83" s="1">
        <v>0</v>
      </c>
      <c r="O83" s="1">
        <v>0</v>
      </c>
      <c r="P83" s="1">
        <v>0</v>
      </c>
      <c r="Q83" s="1">
        <v>0</v>
      </c>
      <c r="R83" s="1">
        <v>457493</v>
      </c>
    </row>
    <row r="84" spans="1:18" x14ac:dyDescent="0.2">
      <c r="A84" t="s">
        <v>105</v>
      </c>
      <c r="B84" t="s">
        <v>100</v>
      </c>
      <c r="C84" t="s">
        <v>113</v>
      </c>
      <c r="D84" s="1">
        <v>13340</v>
      </c>
      <c r="L84" s="17"/>
      <c r="M84" s="14">
        <f t="shared" si="0"/>
        <v>46212</v>
      </c>
      <c r="N84" s="1">
        <v>0</v>
      </c>
      <c r="O84" s="1">
        <v>0</v>
      </c>
      <c r="P84" s="1">
        <v>0</v>
      </c>
      <c r="Q84" s="1">
        <v>0</v>
      </c>
      <c r="R84" s="1">
        <v>351045</v>
      </c>
    </row>
    <row r="85" spans="1:18" x14ac:dyDescent="0.2">
      <c r="A85" t="s">
        <v>106</v>
      </c>
      <c r="B85" t="s">
        <v>100</v>
      </c>
      <c r="C85" t="s">
        <v>113</v>
      </c>
      <c r="D85" s="1">
        <v>13020</v>
      </c>
      <c r="L85" s="17"/>
      <c r="M85" s="14">
        <f t="shared" si="0"/>
        <v>46213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</row>
    <row r="86" spans="1:18" x14ac:dyDescent="0.2">
      <c r="A86" t="s">
        <v>106</v>
      </c>
      <c r="B86" t="s">
        <v>100</v>
      </c>
      <c r="C86" t="s">
        <v>113</v>
      </c>
      <c r="D86" s="1">
        <v>13310</v>
      </c>
      <c r="L86" s="17"/>
      <c r="M86" s="14"/>
      <c r="N86" s="1"/>
      <c r="O86" s="1"/>
      <c r="P86" s="1"/>
      <c r="Q86" s="1"/>
      <c r="R86" s="1"/>
    </row>
    <row r="87" spans="1:18" x14ac:dyDescent="0.2">
      <c r="A87" t="s">
        <v>106</v>
      </c>
      <c r="B87" t="s">
        <v>100</v>
      </c>
      <c r="C87" t="s">
        <v>113</v>
      </c>
      <c r="D87" s="1">
        <v>13340</v>
      </c>
      <c r="L87" s="17"/>
      <c r="M87" s="14"/>
      <c r="N87" s="1"/>
      <c r="O87" s="1"/>
      <c r="P87" s="1"/>
      <c r="Q87" s="1"/>
      <c r="R87" s="1"/>
    </row>
    <row r="88" spans="1:18" x14ac:dyDescent="0.2">
      <c r="A88" t="s">
        <v>106</v>
      </c>
      <c r="B88" t="s">
        <v>100</v>
      </c>
      <c r="C88" t="s">
        <v>113</v>
      </c>
      <c r="D88" s="1">
        <v>13510</v>
      </c>
      <c r="L88" s="17"/>
      <c r="M88" s="14"/>
      <c r="N88" s="1"/>
      <c r="O88" s="1"/>
      <c r="P88" s="1"/>
      <c r="Q88" s="1"/>
      <c r="R88" s="1"/>
    </row>
    <row r="89" spans="1:18" x14ac:dyDescent="0.2">
      <c r="A89" t="s">
        <v>106</v>
      </c>
      <c r="B89" t="s">
        <v>100</v>
      </c>
      <c r="C89" t="s">
        <v>113</v>
      </c>
      <c r="D89" s="1">
        <v>13230</v>
      </c>
      <c r="L89" s="17"/>
      <c r="M89" s="14"/>
      <c r="N89" s="1"/>
      <c r="O89" s="1"/>
      <c r="P89" s="1"/>
      <c r="Q89" s="1"/>
      <c r="R89" s="1"/>
    </row>
    <row r="90" spans="1:18" x14ac:dyDescent="0.2">
      <c r="A90" t="s">
        <v>106</v>
      </c>
      <c r="B90" t="s">
        <v>100</v>
      </c>
      <c r="C90" t="s">
        <v>113</v>
      </c>
      <c r="D90" s="1">
        <v>13160</v>
      </c>
      <c r="L90" s="17"/>
      <c r="M90" s="14"/>
      <c r="N90" s="1"/>
      <c r="O90" s="1"/>
      <c r="P90" s="1"/>
      <c r="Q90" s="1"/>
      <c r="R90" s="1"/>
    </row>
    <row r="91" spans="1:18" x14ac:dyDescent="0.2">
      <c r="A91" t="s">
        <v>106</v>
      </c>
      <c r="B91" t="s">
        <v>100</v>
      </c>
      <c r="C91" t="s">
        <v>113</v>
      </c>
      <c r="D91" s="1">
        <v>7110</v>
      </c>
      <c r="L91" s="17"/>
      <c r="M91" s="14"/>
      <c r="N91" s="1"/>
      <c r="O91" s="1"/>
      <c r="P91" s="1"/>
      <c r="Q91" s="1"/>
      <c r="R91" s="1"/>
    </row>
    <row r="92" spans="1:18" x14ac:dyDescent="0.2">
      <c r="A92" t="s">
        <v>106</v>
      </c>
      <c r="B92" t="s">
        <v>100</v>
      </c>
      <c r="C92" t="s">
        <v>135</v>
      </c>
      <c r="D92" s="1">
        <v>13400</v>
      </c>
      <c r="L92" s="17"/>
      <c r="M92" s="14"/>
      <c r="N92" s="1"/>
      <c r="O92" s="1"/>
      <c r="P92" s="1"/>
      <c r="Q92" s="1"/>
      <c r="R92" s="1"/>
    </row>
    <row r="93" spans="1:18" x14ac:dyDescent="0.2">
      <c r="A93" t="s">
        <v>106</v>
      </c>
      <c r="B93" t="s">
        <v>100</v>
      </c>
      <c r="C93" t="s">
        <v>135</v>
      </c>
      <c r="D93" s="1">
        <v>4560</v>
      </c>
      <c r="L93" s="17"/>
      <c r="M93" s="14"/>
      <c r="N93" s="1"/>
      <c r="O93" s="1"/>
      <c r="P93" s="1"/>
      <c r="Q93" s="1"/>
      <c r="R93" s="1"/>
    </row>
    <row r="94" spans="1:18" x14ac:dyDescent="0.2">
      <c r="A94" t="s">
        <v>106</v>
      </c>
      <c r="B94" t="s">
        <v>100</v>
      </c>
      <c r="C94" t="s">
        <v>135</v>
      </c>
      <c r="D94" s="1">
        <v>13010</v>
      </c>
      <c r="L94" s="17"/>
      <c r="M94" s="14"/>
      <c r="N94" s="1"/>
      <c r="O94" s="1"/>
      <c r="P94" s="1"/>
      <c r="Q94" s="1"/>
      <c r="R94" s="1"/>
    </row>
    <row r="95" spans="1:18" x14ac:dyDescent="0.2">
      <c r="A95" t="s">
        <v>106</v>
      </c>
      <c r="B95" t="s">
        <v>100</v>
      </c>
      <c r="C95" t="s">
        <v>135</v>
      </c>
      <c r="D95" s="1">
        <v>13470</v>
      </c>
      <c r="L95" s="17"/>
      <c r="M95" s="14"/>
      <c r="N95" s="1"/>
      <c r="O95" s="1"/>
      <c r="P95" s="1"/>
      <c r="Q95" s="1"/>
      <c r="R95" s="1"/>
    </row>
    <row r="96" spans="1:18" x14ac:dyDescent="0.2">
      <c r="A96" t="s">
        <v>106</v>
      </c>
      <c r="B96" t="s">
        <v>100</v>
      </c>
      <c r="C96" t="s">
        <v>135</v>
      </c>
      <c r="D96" s="1">
        <v>13530</v>
      </c>
      <c r="L96" s="17"/>
      <c r="M96" s="14"/>
      <c r="N96" s="1"/>
      <c r="O96" s="1"/>
      <c r="P96" s="1"/>
      <c r="Q96" s="1"/>
      <c r="R96" s="1"/>
    </row>
    <row r="97" spans="1:18" x14ac:dyDescent="0.2">
      <c r="A97" t="s">
        <v>106</v>
      </c>
      <c r="B97" t="s">
        <v>100</v>
      </c>
      <c r="C97" t="s">
        <v>135</v>
      </c>
      <c r="D97" s="1">
        <v>4090</v>
      </c>
      <c r="L97" s="17"/>
      <c r="M97" s="14"/>
      <c r="N97" s="1"/>
      <c r="O97" s="1"/>
      <c r="P97" s="1"/>
      <c r="Q97" s="1"/>
      <c r="R97" s="1"/>
    </row>
    <row r="98" spans="1:18" x14ac:dyDescent="0.2">
      <c r="A98" t="s">
        <v>106</v>
      </c>
      <c r="B98" t="s">
        <v>100</v>
      </c>
      <c r="C98" t="s">
        <v>135</v>
      </c>
      <c r="D98" s="1">
        <v>13410</v>
      </c>
      <c r="L98" s="17"/>
      <c r="M98" s="14"/>
      <c r="N98" s="1"/>
      <c r="O98" s="1"/>
      <c r="P98" s="1"/>
      <c r="Q98" s="1"/>
      <c r="R98" s="1"/>
    </row>
    <row r="99" spans="1:18" x14ac:dyDescent="0.2">
      <c r="A99" t="s">
        <v>106</v>
      </c>
      <c r="B99" t="s">
        <v>100</v>
      </c>
      <c r="C99" t="s">
        <v>135</v>
      </c>
      <c r="D99" s="1">
        <v>13300</v>
      </c>
      <c r="L99" s="17"/>
      <c r="M99" s="14"/>
      <c r="N99" s="1"/>
      <c r="O99" s="1"/>
      <c r="P99" s="1"/>
      <c r="Q99" s="1"/>
      <c r="R99" s="1"/>
    </row>
    <row r="100" spans="1:18" x14ac:dyDescent="0.2">
      <c r="A100" t="s">
        <v>106</v>
      </c>
      <c r="B100" t="s">
        <v>100</v>
      </c>
      <c r="C100" t="s">
        <v>135</v>
      </c>
      <c r="D100" s="1">
        <v>13070</v>
      </c>
      <c r="L100" s="17"/>
      <c r="M100" s="14"/>
      <c r="N100" s="1"/>
      <c r="O100" s="1"/>
      <c r="P100" s="1"/>
      <c r="Q100" s="1"/>
      <c r="R100" s="1"/>
    </row>
    <row r="101" spans="1:18" x14ac:dyDescent="0.2">
      <c r="A101" t="s">
        <v>106</v>
      </c>
      <c r="B101" t="s">
        <v>100</v>
      </c>
      <c r="C101" t="s">
        <v>135</v>
      </c>
      <c r="D101" s="1">
        <v>13100</v>
      </c>
      <c r="L101" s="17"/>
      <c r="M101" s="14"/>
      <c r="N101" s="1"/>
      <c r="O101" s="1"/>
      <c r="P101" s="1"/>
      <c r="Q101" s="1"/>
      <c r="R101" s="1"/>
    </row>
    <row r="102" spans="1:18" x14ac:dyDescent="0.2">
      <c r="A102" t="s">
        <v>106</v>
      </c>
      <c r="B102" t="s">
        <v>100</v>
      </c>
      <c r="C102" t="s">
        <v>135</v>
      </c>
      <c r="D102" s="1">
        <v>4430</v>
      </c>
      <c r="L102" s="17"/>
      <c r="M102" s="14"/>
      <c r="N102" s="1"/>
      <c r="O102" s="1"/>
      <c r="P102" s="1"/>
      <c r="Q102" s="1"/>
      <c r="R102" s="1"/>
    </row>
    <row r="103" spans="1:18" x14ac:dyDescent="0.2">
      <c r="A103" t="s">
        <v>106</v>
      </c>
      <c r="B103" t="s">
        <v>100</v>
      </c>
      <c r="C103" t="s">
        <v>135</v>
      </c>
      <c r="D103" s="1">
        <v>13270</v>
      </c>
      <c r="L103" s="17"/>
      <c r="M103" s="14"/>
      <c r="N103" s="1"/>
      <c r="O103" s="1"/>
      <c r="P103" s="1"/>
      <c r="Q103" s="1"/>
      <c r="R103" s="1"/>
    </row>
    <row r="104" spans="1:18" x14ac:dyDescent="0.2">
      <c r="A104" t="s">
        <v>106</v>
      </c>
      <c r="B104" t="s">
        <v>100</v>
      </c>
      <c r="C104" t="s">
        <v>135</v>
      </c>
      <c r="D104" s="1">
        <v>12880</v>
      </c>
      <c r="L104" s="17"/>
      <c r="M104" s="14"/>
      <c r="N104" s="1"/>
      <c r="O104" s="1"/>
      <c r="P104" s="1"/>
      <c r="Q104" s="1"/>
      <c r="R104" s="1"/>
    </row>
    <row r="105" spans="1:18" x14ac:dyDescent="0.2">
      <c r="A105" t="s">
        <v>106</v>
      </c>
      <c r="B105" t="s">
        <v>100</v>
      </c>
      <c r="C105" t="s">
        <v>135</v>
      </c>
      <c r="D105" s="1">
        <v>12970</v>
      </c>
      <c r="L105" s="17"/>
      <c r="M105" s="14"/>
      <c r="N105" s="1"/>
      <c r="O105" s="1"/>
      <c r="P105" s="1"/>
      <c r="Q105" s="1"/>
      <c r="R105" s="1"/>
    </row>
    <row r="106" spans="1:18" x14ac:dyDescent="0.2">
      <c r="A106" t="s">
        <v>106</v>
      </c>
      <c r="B106" t="s">
        <v>100</v>
      </c>
      <c r="C106" t="s">
        <v>135</v>
      </c>
      <c r="D106" s="1">
        <v>15420</v>
      </c>
      <c r="L106" s="17"/>
      <c r="M106" s="14"/>
      <c r="N106" s="1"/>
      <c r="O106" s="1"/>
      <c r="P106" s="1"/>
      <c r="Q106" s="1"/>
      <c r="R106" s="1"/>
    </row>
    <row r="107" spans="1:18" x14ac:dyDescent="0.2">
      <c r="A107" t="s">
        <v>107</v>
      </c>
      <c r="B107" t="s">
        <v>100</v>
      </c>
      <c r="C107" t="s">
        <v>135</v>
      </c>
      <c r="D107" s="1">
        <v>4250</v>
      </c>
      <c r="L107" s="17"/>
      <c r="M107" s="14"/>
      <c r="N107" s="1"/>
      <c r="O107" s="1"/>
      <c r="P107" s="1"/>
      <c r="Q107" s="1"/>
      <c r="R107" s="1"/>
    </row>
    <row r="108" spans="1:18" x14ac:dyDescent="0.2">
      <c r="A108" t="s">
        <v>107</v>
      </c>
      <c r="B108" t="s">
        <v>100</v>
      </c>
      <c r="C108" t="s">
        <v>135</v>
      </c>
      <c r="D108" s="1">
        <v>12980</v>
      </c>
      <c r="L108" s="17"/>
      <c r="M108" s="14"/>
      <c r="N108" s="1"/>
      <c r="O108" s="1"/>
      <c r="P108" s="1"/>
      <c r="Q108" s="1"/>
      <c r="R108" s="1"/>
    </row>
    <row r="109" spans="1:18" x14ac:dyDescent="0.2">
      <c r="A109" t="s">
        <v>107</v>
      </c>
      <c r="B109" t="s">
        <v>100</v>
      </c>
      <c r="C109" t="s">
        <v>135</v>
      </c>
      <c r="D109" s="1">
        <v>13060</v>
      </c>
      <c r="L109" s="17"/>
      <c r="M109" s="14"/>
      <c r="N109" s="1"/>
      <c r="O109" s="1"/>
      <c r="P109" s="1"/>
      <c r="Q109" s="1"/>
      <c r="R109" s="1"/>
    </row>
    <row r="110" spans="1:18" x14ac:dyDescent="0.2">
      <c r="A110" t="s">
        <v>107</v>
      </c>
      <c r="B110" t="s">
        <v>100</v>
      </c>
      <c r="C110" t="s">
        <v>135</v>
      </c>
      <c r="D110" s="1">
        <v>12930</v>
      </c>
      <c r="L110" s="17"/>
      <c r="M110" s="14"/>
      <c r="N110" s="1"/>
      <c r="O110" s="1"/>
      <c r="P110" s="1"/>
      <c r="Q110" s="1"/>
      <c r="R110" s="1"/>
    </row>
    <row r="111" spans="1:18" x14ac:dyDescent="0.2">
      <c r="A111" t="s">
        <v>107</v>
      </c>
      <c r="B111" t="s">
        <v>100</v>
      </c>
      <c r="C111" t="s">
        <v>135</v>
      </c>
      <c r="D111" s="1">
        <v>12930</v>
      </c>
      <c r="L111" s="17"/>
      <c r="M111" s="14"/>
      <c r="N111" s="1"/>
      <c r="O111" s="1"/>
      <c r="P111" s="1"/>
      <c r="Q111" s="1"/>
      <c r="R111" s="1"/>
    </row>
    <row r="112" spans="1:18" x14ac:dyDescent="0.2">
      <c r="A112" t="s">
        <v>107</v>
      </c>
      <c r="B112" t="s">
        <v>100</v>
      </c>
      <c r="C112" t="s">
        <v>135</v>
      </c>
      <c r="D112" s="1">
        <v>4420</v>
      </c>
      <c r="L112" s="17"/>
      <c r="M112" s="14"/>
      <c r="N112" s="1"/>
      <c r="O112" s="1"/>
      <c r="P112" s="1"/>
      <c r="Q112" s="1"/>
      <c r="R112" s="1"/>
    </row>
    <row r="113" spans="1:18" x14ac:dyDescent="0.2">
      <c r="A113" t="s">
        <v>107</v>
      </c>
      <c r="B113" t="s">
        <v>100</v>
      </c>
      <c r="C113" t="s">
        <v>135</v>
      </c>
      <c r="D113" s="1">
        <v>13160</v>
      </c>
      <c r="L113" s="17"/>
      <c r="N113" s="1"/>
      <c r="O113" s="1"/>
      <c r="P113" s="1"/>
      <c r="Q113" s="1"/>
      <c r="R113" s="1"/>
    </row>
    <row r="114" spans="1:18" x14ac:dyDescent="0.2">
      <c r="A114" t="s">
        <v>107</v>
      </c>
      <c r="B114" t="s">
        <v>100</v>
      </c>
      <c r="C114" t="s">
        <v>135</v>
      </c>
      <c r="D114" s="1">
        <v>12700</v>
      </c>
      <c r="L114" s="17"/>
      <c r="N114" s="1"/>
      <c r="O114" s="1"/>
      <c r="P114" s="1"/>
      <c r="Q114" s="1"/>
      <c r="R114" s="1"/>
    </row>
    <row r="115" spans="1:18" x14ac:dyDescent="0.2">
      <c r="A115" t="s">
        <v>107</v>
      </c>
      <c r="B115" t="s">
        <v>100</v>
      </c>
      <c r="C115" t="s">
        <v>135</v>
      </c>
      <c r="D115" s="1">
        <v>13380</v>
      </c>
      <c r="L115" s="17"/>
      <c r="N115" s="1"/>
      <c r="O115" s="1"/>
      <c r="P115" s="1"/>
      <c r="Q115" s="1"/>
      <c r="R115" s="1"/>
    </row>
    <row r="116" spans="1:18" x14ac:dyDescent="0.2">
      <c r="A116" t="s">
        <v>107</v>
      </c>
      <c r="B116" t="s">
        <v>100</v>
      </c>
      <c r="C116" t="s">
        <v>135</v>
      </c>
      <c r="D116" s="1">
        <v>8650</v>
      </c>
      <c r="L116" s="17"/>
      <c r="N116" s="1"/>
      <c r="O116" s="1"/>
      <c r="P116" s="1"/>
      <c r="Q116" s="1"/>
      <c r="R116" s="22"/>
    </row>
    <row r="117" spans="1:18" x14ac:dyDescent="0.2">
      <c r="A117" t="s">
        <v>107</v>
      </c>
      <c r="B117" t="s">
        <v>100</v>
      </c>
      <c r="C117" t="s">
        <v>113</v>
      </c>
      <c r="D117" s="1">
        <v>4430</v>
      </c>
      <c r="O117" s="1"/>
      <c r="P117" s="1"/>
      <c r="Q117" s="1"/>
      <c r="R117" s="1"/>
    </row>
    <row r="118" spans="1:18" x14ac:dyDescent="0.2">
      <c r="A118" t="s">
        <v>107</v>
      </c>
      <c r="B118" t="s">
        <v>100</v>
      </c>
      <c r="C118" t="s">
        <v>113</v>
      </c>
      <c r="D118" s="1">
        <v>13220</v>
      </c>
      <c r="O118" s="1"/>
      <c r="P118" s="1"/>
      <c r="Q118" s="1"/>
      <c r="R118" s="1"/>
    </row>
    <row r="119" spans="1:18" x14ac:dyDescent="0.2">
      <c r="A119" t="s">
        <v>107</v>
      </c>
      <c r="B119" t="s">
        <v>100</v>
      </c>
      <c r="C119" t="s">
        <v>113</v>
      </c>
      <c r="D119" s="1">
        <v>6800</v>
      </c>
      <c r="O119" s="1"/>
      <c r="P119" s="1"/>
      <c r="Q119" s="1"/>
      <c r="R119" s="1"/>
    </row>
    <row r="120" spans="1:18" x14ac:dyDescent="0.2">
      <c r="A120" t="s">
        <v>107</v>
      </c>
      <c r="B120" t="s">
        <v>100</v>
      </c>
      <c r="C120" t="s">
        <v>113</v>
      </c>
      <c r="D120" s="1">
        <v>13210</v>
      </c>
      <c r="O120" s="1"/>
      <c r="P120" s="1"/>
      <c r="Q120" s="1"/>
      <c r="R120" s="1"/>
    </row>
    <row r="121" spans="1:18" x14ac:dyDescent="0.2">
      <c r="A121" t="s">
        <v>107</v>
      </c>
      <c r="B121" t="s">
        <v>100</v>
      </c>
      <c r="C121" t="s">
        <v>113</v>
      </c>
      <c r="D121" s="1">
        <v>4620</v>
      </c>
      <c r="O121" s="1"/>
      <c r="P121" s="1"/>
      <c r="Q121" s="1"/>
      <c r="R121" s="1"/>
    </row>
    <row r="122" spans="1:18" x14ac:dyDescent="0.2">
      <c r="A122" t="s">
        <v>107</v>
      </c>
      <c r="B122" t="s">
        <v>100</v>
      </c>
      <c r="C122" t="s">
        <v>113</v>
      </c>
      <c r="D122" s="1">
        <v>13310</v>
      </c>
      <c r="O122" s="1"/>
      <c r="P122" s="1"/>
      <c r="Q122" s="1"/>
      <c r="R122" s="1"/>
    </row>
    <row r="123" spans="1:18" x14ac:dyDescent="0.2">
      <c r="A123" t="s">
        <v>107</v>
      </c>
      <c r="B123" t="s">
        <v>100</v>
      </c>
      <c r="C123" t="s">
        <v>113</v>
      </c>
      <c r="D123" s="1">
        <v>13330</v>
      </c>
      <c r="O123" s="1"/>
      <c r="P123" s="1"/>
      <c r="Q123" s="1"/>
      <c r="R123" s="1"/>
    </row>
    <row r="124" spans="1:18" x14ac:dyDescent="0.2">
      <c r="A124" t="s">
        <v>107</v>
      </c>
      <c r="B124" t="s">
        <v>100</v>
      </c>
      <c r="C124" t="s">
        <v>113</v>
      </c>
      <c r="D124" s="1">
        <v>13700</v>
      </c>
      <c r="O124" s="1"/>
      <c r="P124" s="1"/>
      <c r="Q124" s="1"/>
      <c r="R124" s="1"/>
    </row>
    <row r="125" spans="1:18" x14ac:dyDescent="0.2">
      <c r="A125" t="s">
        <v>107</v>
      </c>
      <c r="B125" t="s">
        <v>100</v>
      </c>
      <c r="C125" t="s">
        <v>113</v>
      </c>
      <c r="D125" s="1">
        <v>13040</v>
      </c>
      <c r="O125" s="1"/>
      <c r="P125" s="1"/>
      <c r="Q125" s="1"/>
      <c r="R125" s="1"/>
    </row>
    <row r="126" spans="1:18" x14ac:dyDescent="0.2">
      <c r="A126" t="s">
        <v>107</v>
      </c>
      <c r="B126" t="s">
        <v>100</v>
      </c>
      <c r="C126" t="s">
        <v>113</v>
      </c>
      <c r="D126" s="1">
        <v>4400</v>
      </c>
      <c r="O126" s="1"/>
      <c r="P126" s="1"/>
      <c r="Q126" s="1"/>
      <c r="R126" s="1"/>
    </row>
    <row r="127" spans="1:18" x14ac:dyDescent="0.2">
      <c r="A127" t="s">
        <v>108</v>
      </c>
      <c r="B127" t="s">
        <v>100</v>
      </c>
      <c r="C127" t="s">
        <v>113</v>
      </c>
      <c r="D127" s="1">
        <v>13130</v>
      </c>
      <c r="O127" s="1"/>
      <c r="P127" s="1"/>
      <c r="Q127" s="1"/>
      <c r="R127" s="1"/>
    </row>
    <row r="128" spans="1:18" x14ac:dyDescent="0.2">
      <c r="A128" t="s">
        <v>108</v>
      </c>
      <c r="B128" t="s">
        <v>100</v>
      </c>
      <c r="C128" t="s">
        <v>113</v>
      </c>
      <c r="D128" s="1">
        <v>12970</v>
      </c>
      <c r="O128" s="1"/>
      <c r="P128" s="1"/>
      <c r="Q128" s="1"/>
      <c r="R128" s="1"/>
    </row>
    <row r="129" spans="1:18" x14ac:dyDescent="0.2">
      <c r="A129" t="s">
        <v>108</v>
      </c>
      <c r="B129" t="s">
        <v>100</v>
      </c>
      <c r="C129" t="s">
        <v>113</v>
      </c>
      <c r="D129" s="1">
        <v>13210</v>
      </c>
      <c r="O129" s="1"/>
      <c r="P129" s="1"/>
      <c r="Q129" s="1"/>
      <c r="R129" s="1"/>
    </row>
    <row r="130" spans="1:18" x14ac:dyDescent="0.2">
      <c r="A130" t="s">
        <v>108</v>
      </c>
      <c r="B130" t="s">
        <v>100</v>
      </c>
      <c r="C130" t="s">
        <v>113</v>
      </c>
      <c r="D130" s="1">
        <v>13110</v>
      </c>
      <c r="O130" s="1"/>
      <c r="P130" s="1"/>
      <c r="Q130" s="1"/>
      <c r="R130" s="1"/>
    </row>
    <row r="131" spans="1:18" x14ac:dyDescent="0.2">
      <c r="A131" t="s">
        <v>108</v>
      </c>
      <c r="B131" t="s">
        <v>100</v>
      </c>
      <c r="C131" t="s">
        <v>113</v>
      </c>
      <c r="D131" s="1">
        <v>4520</v>
      </c>
      <c r="O131" s="1"/>
      <c r="P131" s="1"/>
      <c r="Q131" s="1"/>
      <c r="R131" s="1"/>
    </row>
    <row r="132" spans="1:18" x14ac:dyDescent="0.2">
      <c r="A132" t="s">
        <v>108</v>
      </c>
      <c r="B132" t="s">
        <v>100</v>
      </c>
      <c r="C132" t="s">
        <v>113</v>
      </c>
      <c r="D132" s="1">
        <v>16700</v>
      </c>
      <c r="O132" s="1"/>
      <c r="P132" s="1"/>
      <c r="Q132" s="1"/>
      <c r="R132" s="1"/>
    </row>
    <row r="133" spans="1:18" x14ac:dyDescent="0.2">
      <c r="A133" t="s">
        <v>108</v>
      </c>
      <c r="B133" t="s">
        <v>100</v>
      </c>
      <c r="C133" t="s">
        <v>113</v>
      </c>
      <c r="D133" s="1">
        <v>13090</v>
      </c>
      <c r="O133" s="1"/>
      <c r="P133" s="1"/>
      <c r="Q133" s="1"/>
      <c r="R133" s="1"/>
    </row>
    <row r="134" spans="1:18" x14ac:dyDescent="0.2">
      <c r="A134" t="s">
        <v>108</v>
      </c>
      <c r="B134" t="s">
        <v>100</v>
      </c>
      <c r="C134" t="s">
        <v>113</v>
      </c>
      <c r="D134" s="1">
        <v>13180</v>
      </c>
      <c r="O134" s="1"/>
      <c r="P134" s="1"/>
      <c r="Q134" s="1"/>
      <c r="R134" s="1"/>
    </row>
    <row r="135" spans="1:18" x14ac:dyDescent="0.2">
      <c r="A135" t="s">
        <v>108</v>
      </c>
      <c r="B135" t="s">
        <v>100</v>
      </c>
      <c r="C135" t="s">
        <v>113</v>
      </c>
      <c r="D135" s="1">
        <v>13350</v>
      </c>
      <c r="O135" s="1"/>
      <c r="P135" s="1"/>
      <c r="Q135" s="1"/>
      <c r="R135" s="1"/>
    </row>
    <row r="136" spans="1:18" x14ac:dyDescent="0.2">
      <c r="A136" t="s">
        <v>108</v>
      </c>
      <c r="B136" t="s">
        <v>100</v>
      </c>
      <c r="C136" t="s">
        <v>113</v>
      </c>
      <c r="D136" s="1">
        <v>13460</v>
      </c>
      <c r="O136" s="1"/>
      <c r="P136" s="1"/>
      <c r="Q136" s="1"/>
      <c r="R136" s="1"/>
    </row>
    <row r="137" spans="1:18" x14ac:dyDescent="0.2">
      <c r="A137" t="s">
        <v>108</v>
      </c>
      <c r="B137" t="s">
        <v>100</v>
      </c>
      <c r="C137" t="s">
        <v>113</v>
      </c>
      <c r="D137" s="1">
        <v>4510</v>
      </c>
      <c r="O137" s="1"/>
      <c r="P137" s="1"/>
      <c r="Q137" s="1"/>
      <c r="R137" s="1"/>
    </row>
    <row r="138" spans="1:18" x14ac:dyDescent="0.2">
      <c r="A138" t="s">
        <v>108</v>
      </c>
      <c r="B138" t="s">
        <v>100</v>
      </c>
      <c r="C138" t="s">
        <v>113</v>
      </c>
      <c r="D138" s="1">
        <v>13440</v>
      </c>
      <c r="O138" s="1"/>
      <c r="P138" s="1"/>
      <c r="Q138" s="1"/>
      <c r="R138" s="1"/>
    </row>
    <row r="139" spans="1:18" x14ac:dyDescent="0.2">
      <c r="A139" t="s">
        <v>108</v>
      </c>
      <c r="B139" t="s">
        <v>100</v>
      </c>
      <c r="C139" t="s">
        <v>113</v>
      </c>
      <c r="D139" s="1">
        <v>13360</v>
      </c>
      <c r="O139" s="1"/>
      <c r="P139" s="1"/>
      <c r="Q139" s="1"/>
      <c r="R139" s="1"/>
    </row>
    <row r="140" spans="1:18" x14ac:dyDescent="0.2">
      <c r="A140" t="s">
        <v>108</v>
      </c>
      <c r="B140" t="s">
        <v>100</v>
      </c>
      <c r="C140" t="s">
        <v>113</v>
      </c>
      <c r="D140" s="1">
        <v>13250</v>
      </c>
      <c r="O140" s="1"/>
      <c r="P140" s="1"/>
      <c r="Q140" s="1"/>
      <c r="R140" s="1"/>
    </row>
    <row r="141" spans="1:18" x14ac:dyDescent="0.2">
      <c r="A141" t="s">
        <v>108</v>
      </c>
      <c r="B141" t="s">
        <v>100</v>
      </c>
      <c r="C141" t="s">
        <v>113</v>
      </c>
      <c r="D141" s="1">
        <v>13400</v>
      </c>
      <c r="O141" s="1"/>
      <c r="P141" s="1"/>
      <c r="Q141" s="1"/>
      <c r="R141" s="1"/>
    </row>
    <row r="142" spans="1:18" x14ac:dyDescent="0.2">
      <c r="A142" t="s">
        <v>108</v>
      </c>
      <c r="B142" t="s">
        <v>100</v>
      </c>
      <c r="C142" t="s">
        <v>113</v>
      </c>
      <c r="D142" s="1">
        <v>13700</v>
      </c>
      <c r="O142" s="1"/>
      <c r="P142" s="1"/>
      <c r="Q142" s="1"/>
      <c r="R142" s="1"/>
    </row>
    <row r="143" spans="1:18" x14ac:dyDescent="0.2">
      <c r="A143" t="s">
        <v>108</v>
      </c>
      <c r="B143" t="s">
        <v>100</v>
      </c>
      <c r="C143" t="s">
        <v>136</v>
      </c>
      <c r="D143" s="1">
        <v>12920</v>
      </c>
      <c r="O143" s="1"/>
      <c r="P143" s="1"/>
      <c r="Q143" s="1"/>
      <c r="R143" s="1"/>
    </row>
    <row r="144" spans="1:18" x14ac:dyDescent="0.2">
      <c r="A144" t="s">
        <v>108</v>
      </c>
      <c r="B144" t="s">
        <v>100</v>
      </c>
      <c r="C144" t="s">
        <v>136</v>
      </c>
      <c r="D144" s="1">
        <v>12630</v>
      </c>
      <c r="O144" s="1"/>
      <c r="P144" s="1"/>
      <c r="Q144" s="1"/>
      <c r="R144" s="1"/>
    </row>
    <row r="145" spans="1:18" x14ac:dyDescent="0.2">
      <c r="A145" t="s">
        <v>108</v>
      </c>
      <c r="B145" t="s">
        <v>100</v>
      </c>
      <c r="C145" t="s">
        <v>136</v>
      </c>
      <c r="D145" s="1">
        <v>13140</v>
      </c>
      <c r="O145" s="1"/>
      <c r="P145" s="1"/>
      <c r="Q145" s="1"/>
      <c r="R145" s="1"/>
    </row>
    <row r="146" spans="1:18" x14ac:dyDescent="0.2">
      <c r="A146" t="s">
        <v>108</v>
      </c>
      <c r="B146" t="s">
        <v>100</v>
      </c>
      <c r="C146" t="s">
        <v>136</v>
      </c>
      <c r="D146" s="1">
        <v>13040</v>
      </c>
      <c r="O146" s="1"/>
      <c r="P146" s="1"/>
      <c r="Q146" s="1"/>
      <c r="R146" s="1"/>
    </row>
    <row r="147" spans="1:18" x14ac:dyDescent="0.2">
      <c r="A147" t="s">
        <v>109</v>
      </c>
      <c r="B147" t="s">
        <v>100</v>
      </c>
      <c r="C147" t="s">
        <v>136</v>
      </c>
      <c r="D147" s="1">
        <v>4150</v>
      </c>
      <c r="O147" s="1"/>
      <c r="P147" s="1"/>
      <c r="Q147" s="1"/>
      <c r="R147" s="1"/>
    </row>
    <row r="148" spans="1:18" x14ac:dyDescent="0.2">
      <c r="A148" t="s">
        <v>109</v>
      </c>
      <c r="B148" t="s">
        <v>100</v>
      </c>
      <c r="C148" t="s">
        <v>136</v>
      </c>
      <c r="D148" s="1">
        <v>12830</v>
      </c>
      <c r="O148" s="1"/>
      <c r="P148" s="1"/>
      <c r="Q148" s="1"/>
      <c r="R148" s="1"/>
    </row>
    <row r="149" spans="1:18" x14ac:dyDescent="0.2">
      <c r="A149" t="s">
        <v>109</v>
      </c>
      <c r="B149" t="s">
        <v>100</v>
      </c>
      <c r="C149" t="s">
        <v>136</v>
      </c>
      <c r="D149" s="1">
        <v>12830</v>
      </c>
      <c r="O149" s="1"/>
      <c r="P149" s="1"/>
      <c r="Q149" s="1"/>
      <c r="R149" s="1"/>
    </row>
    <row r="150" spans="1:18" x14ac:dyDescent="0.2">
      <c r="A150" t="s">
        <v>109</v>
      </c>
      <c r="B150" t="s">
        <v>100</v>
      </c>
      <c r="C150" t="s">
        <v>136</v>
      </c>
      <c r="D150" s="1">
        <v>12860</v>
      </c>
      <c r="O150" s="1"/>
      <c r="P150" s="1"/>
      <c r="Q150" s="1"/>
      <c r="R150" s="1"/>
    </row>
    <row r="151" spans="1:18" x14ac:dyDescent="0.2">
      <c r="A151" t="s">
        <v>109</v>
      </c>
      <c r="B151" t="s">
        <v>100</v>
      </c>
      <c r="C151" t="s">
        <v>136</v>
      </c>
      <c r="D151" s="1">
        <v>12750</v>
      </c>
      <c r="O151" s="1"/>
      <c r="P151" s="1"/>
      <c r="Q151" s="1"/>
      <c r="R151" s="1"/>
    </row>
    <row r="152" spans="1:18" x14ac:dyDescent="0.2">
      <c r="A152" t="s">
        <v>109</v>
      </c>
      <c r="B152" t="s">
        <v>100</v>
      </c>
      <c r="C152" t="s">
        <v>136</v>
      </c>
      <c r="D152" s="1">
        <v>13000</v>
      </c>
      <c r="O152" s="1"/>
      <c r="P152" s="1"/>
      <c r="Q152" s="1"/>
      <c r="R152" s="1"/>
    </row>
    <row r="153" spans="1:18" x14ac:dyDescent="0.2">
      <c r="A153" t="s">
        <v>109</v>
      </c>
      <c r="B153" t="s">
        <v>100</v>
      </c>
      <c r="C153" t="s">
        <v>136</v>
      </c>
      <c r="D153" s="1">
        <v>4460</v>
      </c>
      <c r="O153" s="1"/>
      <c r="P153" s="1"/>
      <c r="Q153" s="1"/>
      <c r="R153" s="1"/>
    </row>
    <row r="154" spans="1:18" x14ac:dyDescent="0.2">
      <c r="A154" t="s">
        <v>109</v>
      </c>
      <c r="B154" t="s">
        <v>100</v>
      </c>
      <c r="C154" t="s">
        <v>136</v>
      </c>
      <c r="D154" s="1">
        <v>13010</v>
      </c>
      <c r="O154" s="1"/>
      <c r="P154" s="1"/>
      <c r="Q154" s="1"/>
      <c r="R154" s="1"/>
    </row>
    <row r="155" spans="1:18" x14ac:dyDescent="0.2">
      <c r="A155" t="s">
        <v>109</v>
      </c>
      <c r="B155" t="s">
        <v>100</v>
      </c>
      <c r="C155" t="s">
        <v>136</v>
      </c>
      <c r="D155" s="1">
        <v>13120</v>
      </c>
      <c r="O155" s="1"/>
      <c r="P155" s="1"/>
      <c r="Q155" s="1"/>
      <c r="R155" s="1"/>
    </row>
    <row r="156" spans="1:18" x14ac:dyDescent="0.2">
      <c r="A156" t="s">
        <v>109</v>
      </c>
      <c r="B156" t="s">
        <v>100</v>
      </c>
      <c r="C156" t="s">
        <v>136</v>
      </c>
      <c r="D156" s="1">
        <v>13180</v>
      </c>
      <c r="O156" s="1"/>
      <c r="P156" s="1"/>
      <c r="Q156" s="1"/>
      <c r="R156" s="1"/>
    </row>
    <row r="157" spans="1:18" x14ac:dyDescent="0.2">
      <c r="A157" t="s">
        <v>109</v>
      </c>
      <c r="B157" t="s">
        <v>100</v>
      </c>
      <c r="C157" t="s">
        <v>136</v>
      </c>
      <c r="D157" s="1">
        <v>12820</v>
      </c>
      <c r="O157" s="1"/>
      <c r="P157" s="1"/>
      <c r="Q157" s="1"/>
      <c r="R157" s="1"/>
    </row>
    <row r="158" spans="1:18" x14ac:dyDescent="0.2">
      <c r="A158" t="s">
        <v>109</v>
      </c>
      <c r="B158" t="s">
        <v>100</v>
      </c>
      <c r="C158" t="s">
        <v>136</v>
      </c>
      <c r="D158" s="1">
        <v>4390</v>
      </c>
      <c r="O158" s="1"/>
      <c r="P158" s="1"/>
      <c r="Q158" s="1"/>
      <c r="R158" s="1"/>
    </row>
    <row r="159" spans="1:18" x14ac:dyDescent="0.2">
      <c r="A159" t="s">
        <v>109</v>
      </c>
      <c r="B159" t="s">
        <v>100</v>
      </c>
      <c r="C159" t="s">
        <v>136</v>
      </c>
      <c r="D159" s="1">
        <v>12980</v>
      </c>
      <c r="O159" s="1"/>
      <c r="P159" s="1"/>
      <c r="Q159" s="1"/>
      <c r="R159" s="1"/>
    </row>
    <row r="160" spans="1:18" x14ac:dyDescent="0.2">
      <c r="A160" t="s">
        <v>109</v>
      </c>
      <c r="B160" t="s">
        <v>100</v>
      </c>
      <c r="C160" t="s">
        <v>136</v>
      </c>
      <c r="D160" s="1">
        <v>12460</v>
      </c>
      <c r="O160" s="1"/>
      <c r="P160" s="1"/>
      <c r="Q160" s="1"/>
      <c r="R160" s="1"/>
    </row>
    <row r="161" spans="1:18" x14ac:dyDescent="0.2">
      <c r="A161" t="s">
        <v>109</v>
      </c>
      <c r="B161" t="s">
        <v>100</v>
      </c>
      <c r="C161" t="s">
        <v>136</v>
      </c>
      <c r="D161" s="1">
        <v>12530</v>
      </c>
      <c r="O161" s="1"/>
      <c r="P161" s="1"/>
      <c r="Q161" s="1"/>
      <c r="R161" s="1"/>
    </row>
    <row r="162" spans="1:18" x14ac:dyDescent="0.2">
      <c r="A162" t="s">
        <v>109</v>
      </c>
      <c r="B162" t="s">
        <v>100</v>
      </c>
      <c r="C162" t="s">
        <v>136</v>
      </c>
      <c r="D162" s="1">
        <v>12630</v>
      </c>
      <c r="O162" s="1"/>
      <c r="P162" s="1"/>
      <c r="Q162" s="1"/>
      <c r="R162" s="1"/>
    </row>
    <row r="163" spans="1:18" x14ac:dyDescent="0.2">
      <c r="A163" t="s">
        <v>109</v>
      </c>
      <c r="B163" t="s">
        <v>100</v>
      </c>
      <c r="C163" t="s">
        <v>136</v>
      </c>
      <c r="D163" s="1">
        <v>4150</v>
      </c>
      <c r="O163" s="1"/>
      <c r="P163" s="1"/>
      <c r="Q163" s="1"/>
      <c r="R163" s="1"/>
    </row>
    <row r="164" spans="1:18" x14ac:dyDescent="0.2">
      <c r="A164" t="s">
        <v>109</v>
      </c>
      <c r="B164" t="s">
        <v>100</v>
      </c>
      <c r="C164" t="s">
        <v>136</v>
      </c>
      <c r="D164" s="1">
        <v>5300</v>
      </c>
      <c r="O164" s="1"/>
      <c r="P164" s="1"/>
      <c r="Q164" s="1"/>
      <c r="R164" s="1"/>
    </row>
    <row r="165" spans="1:18" x14ac:dyDescent="0.2">
      <c r="A165" t="s">
        <v>109</v>
      </c>
      <c r="B165" t="s">
        <v>100</v>
      </c>
      <c r="C165" t="s">
        <v>113</v>
      </c>
      <c r="D165" s="1">
        <v>13750</v>
      </c>
      <c r="O165" s="1"/>
      <c r="P165" s="1"/>
      <c r="Q165" s="1"/>
      <c r="R165" s="1"/>
    </row>
    <row r="166" spans="1:18" x14ac:dyDescent="0.2">
      <c r="A166" t="s">
        <v>109</v>
      </c>
      <c r="B166" t="s">
        <v>100</v>
      </c>
      <c r="C166" t="s">
        <v>113</v>
      </c>
      <c r="D166" s="1">
        <v>13270</v>
      </c>
    </row>
    <row r="167" spans="1:18" x14ac:dyDescent="0.2">
      <c r="A167" t="s">
        <v>109</v>
      </c>
      <c r="B167" t="s">
        <v>100</v>
      </c>
      <c r="C167" t="s">
        <v>113</v>
      </c>
      <c r="D167" s="1">
        <v>13220</v>
      </c>
    </row>
    <row r="168" spans="1:18" x14ac:dyDescent="0.2">
      <c r="A168" t="s">
        <v>109</v>
      </c>
      <c r="B168" t="s">
        <v>100</v>
      </c>
      <c r="C168" t="s">
        <v>113</v>
      </c>
      <c r="D168" s="1">
        <v>12760</v>
      </c>
    </row>
    <row r="169" spans="1:18" x14ac:dyDescent="0.2">
      <c r="A169" t="s">
        <v>109</v>
      </c>
      <c r="B169" t="s">
        <v>100</v>
      </c>
      <c r="C169" t="s">
        <v>113</v>
      </c>
      <c r="D169" s="1">
        <v>4640</v>
      </c>
    </row>
    <row r="170" spans="1:18" x14ac:dyDescent="0.2">
      <c r="A170" t="s">
        <v>109</v>
      </c>
      <c r="B170" t="s">
        <v>100</v>
      </c>
      <c r="C170" t="s">
        <v>113</v>
      </c>
      <c r="D170" s="1">
        <v>13350</v>
      </c>
    </row>
    <row r="171" spans="1:18" x14ac:dyDescent="0.2">
      <c r="A171" t="s">
        <v>109</v>
      </c>
      <c r="B171" t="s">
        <v>100</v>
      </c>
      <c r="C171" t="s">
        <v>113</v>
      </c>
      <c r="D171" s="1">
        <v>13220</v>
      </c>
    </row>
    <row r="172" spans="1:18" x14ac:dyDescent="0.2">
      <c r="A172" t="s">
        <v>110</v>
      </c>
      <c r="B172" t="s">
        <v>100</v>
      </c>
      <c r="C172" t="s">
        <v>113</v>
      </c>
      <c r="D172" s="1">
        <v>12990</v>
      </c>
    </row>
    <row r="173" spans="1:18" x14ac:dyDescent="0.2">
      <c r="A173" t="s">
        <v>110</v>
      </c>
      <c r="B173" t="s">
        <v>100</v>
      </c>
      <c r="C173" t="s">
        <v>113</v>
      </c>
      <c r="D173" s="1">
        <v>4410</v>
      </c>
    </row>
    <row r="174" spans="1:18" x14ac:dyDescent="0.2">
      <c r="A174" t="s">
        <v>110</v>
      </c>
      <c r="B174" t="s">
        <v>100</v>
      </c>
      <c r="C174" t="s">
        <v>113</v>
      </c>
      <c r="D174" s="1">
        <v>13150</v>
      </c>
    </row>
    <row r="175" spans="1:18" x14ac:dyDescent="0.2">
      <c r="A175" t="s">
        <v>110</v>
      </c>
      <c r="B175" t="s">
        <v>100</v>
      </c>
      <c r="C175" t="s">
        <v>113</v>
      </c>
      <c r="D175" s="1">
        <v>13300</v>
      </c>
    </row>
    <row r="176" spans="1:18" x14ac:dyDescent="0.2">
      <c r="A176" t="s">
        <v>110</v>
      </c>
      <c r="B176" t="s">
        <v>100</v>
      </c>
      <c r="C176" t="s">
        <v>113</v>
      </c>
      <c r="D176" s="1">
        <v>13360</v>
      </c>
    </row>
    <row r="177" spans="1:4" x14ac:dyDescent="0.2">
      <c r="A177" t="s">
        <v>110</v>
      </c>
      <c r="B177" t="s">
        <v>100</v>
      </c>
      <c r="C177" t="s">
        <v>113</v>
      </c>
      <c r="D177" s="1">
        <v>13090</v>
      </c>
    </row>
    <row r="178" spans="1:4" x14ac:dyDescent="0.2">
      <c r="A178" t="s">
        <v>110</v>
      </c>
      <c r="B178" t="s">
        <v>100</v>
      </c>
      <c r="C178" t="s">
        <v>113</v>
      </c>
      <c r="D178" s="1">
        <v>13190</v>
      </c>
    </row>
    <row r="179" spans="1:4" x14ac:dyDescent="0.2">
      <c r="A179" t="s">
        <v>110</v>
      </c>
      <c r="B179" t="s">
        <v>100</v>
      </c>
      <c r="C179" t="s">
        <v>113</v>
      </c>
      <c r="D179" s="1">
        <v>13240</v>
      </c>
    </row>
    <row r="180" spans="1:4" x14ac:dyDescent="0.2">
      <c r="A180" t="s">
        <v>110</v>
      </c>
      <c r="B180" t="s">
        <v>100</v>
      </c>
      <c r="C180" t="s">
        <v>113</v>
      </c>
      <c r="D180" s="1">
        <v>6690</v>
      </c>
    </row>
    <row r="181" spans="1:4" x14ac:dyDescent="0.2">
      <c r="A181" t="s">
        <v>110</v>
      </c>
      <c r="B181" t="s">
        <v>100</v>
      </c>
      <c r="C181" t="s">
        <v>113</v>
      </c>
      <c r="D181" s="1">
        <v>4470</v>
      </c>
    </row>
    <row r="182" spans="1:4" x14ac:dyDescent="0.2">
      <c r="A182" t="s">
        <v>110</v>
      </c>
      <c r="B182" t="s">
        <v>100</v>
      </c>
      <c r="C182" t="s">
        <v>113</v>
      </c>
      <c r="D182" s="1">
        <v>13410</v>
      </c>
    </row>
    <row r="183" spans="1:4" x14ac:dyDescent="0.2">
      <c r="A183" t="s">
        <v>110</v>
      </c>
      <c r="B183" t="s">
        <v>100</v>
      </c>
      <c r="C183" t="s">
        <v>113</v>
      </c>
      <c r="D183" s="1">
        <v>13270</v>
      </c>
    </row>
    <row r="184" spans="1:4" x14ac:dyDescent="0.2">
      <c r="A184" t="s">
        <v>110</v>
      </c>
      <c r="B184" t="s">
        <v>100</v>
      </c>
      <c r="C184" t="s">
        <v>113</v>
      </c>
      <c r="D184" s="1">
        <v>13000</v>
      </c>
    </row>
    <row r="185" spans="1:4" x14ac:dyDescent="0.2">
      <c r="A185" t="s">
        <v>110</v>
      </c>
      <c r="B185" t="s">
        <v>100</v>
      </c>
      <c r="C185" t="s">
        <v>113</v>
      </c>
      <c r="D185" s="1">
        <v>13140</v>
      </c>
    </row>
    <row r="186" spans="1:4" x14ac:dyDescent="0.2">
      <c r="A186" t="s">
        <v>110</v>
      </c>
      <c r="B186" t="s">
        <v>100</v>
      </c>
      <c r="C186" t="s">
        <v>113</v>
      </c>
      <c r="D186" s="1">
        <v>4200</v>
      </c>
    </row>
    <row r="187" spans="1:4" x14ac:dyDescent="0.2">
      <c r="A187" t="s">
        <v>110</v>
      </c>
      <c r="B187" t="s">
        <v>100</v>
      </c>
      <c r="C187" t="s">
        <v>113</v>
      </c>
      <c r="D187" s="1">
        <v>12940</v>
      </c>
    </row>
    <row r="188" spans="1:4" x14ac:dyDescent="0.2">
      <c r="A188" t="s">
        <v>110</v>
      </c>
      <c r="B188" t="s">
        <v>100</v>
      </c>
      <c r="C188" t="s">
        <v>113</v>
      </c>
      <c r="D188" s="1">
        <v>12780</v>
      </c>
    </row>
    <row r="189" spans="1:4" x14ac:dyDescent="0.2">
      <c r="A189" t="s">
        <v>110</v>
      </c>
      <c r="B189" t="s">
        <v>100</v>
      </c>
      <c r="C189" t="s">
        <v>113</v>
      </c>
      <c r="D189" s="1">
        <v>12660</v>
      </c>
    </row>
    <row r="190" spans="1:4" x14ac:dyDescent="0.2">
      <c r="A190" t="s">
        <v>110</v>
      </c>
      <c r="B190" t="s">
        <v>100</v>
      </c>
      <c r="C190" t="s">
        <v>113</v>
      </c>
      <c r="D190" s="1">
        <v>2160</v>
      </c>
    </row>
    <row r="191" spans="1:4" x14ac:dyDescent="0.2">
      <c r="A191" t="s">
        <v>110</v>
      </c>
      <c r="B191" t="s">
        <v>100</v>
      </c>
      <c r="C191" t="s">
        <v>113</v>
      </c>
      <c r="D191" s="1">
        <v>6790</v>
      </c>
    </row>
    <row r="192" spans="1:4" x14ac:dyDescent="0.2">
      <c r="A192" t="s">
        <v>111</v>
      </c>
      <c r="B192" t="s">
        <v>100</v>
      </c>
      <c r="C192" t="s">
        <v>113</v>
      </c>
      <c r="D192" s="1">
        <v>8700</v>
      </c>
    </row>
    <row r="193" spans="1:4" x14ac:dyDescent="0.2">
      <c r="A193" t="s">
        <v>111</v>
      </c>
      <c r="B193" t="s">
        <v>100</v>
      </c>
      <c r="C193" t="s">
        <v>113</v>
      </c>
      <c r="D193" s="1">
        <v>13510</v>
      </c>
    </row>
    <row r="194" spans="1:4" x14ac:dyDescent="0.2">
      <c r="A194" t="s">
        <v>111</v>
      </c>
      <c r="B194" t="s">
        <v>100</v>
      </c>
      <c r="C194" t="s">
        <v>113</v>
      </c>
      <c r="D194" s="1">
        <v>13000</v>
      </c>
    </row>
    <row r="195" spans="1:4" x14ac:dyDescent="0.2">
      <c r="A195" t="s">
        <v>111</v>
      </c>
      <c r="B195" t="s">
        <v>100</v>
      </c>
      <c r="C195" t="s">
        <v>113</v>
      </c>
      <c r="D195" s="1">
        <v>13470</v>
      </c>
    </row>
    <row r="196" spans="1:4" x14ac:dyDescent="0.2">
      <c r="A196" t="s">
        <v>111</v>
      </c>
      <c r="B196" t="s">
        <v>100</v>
      </c>
      <c r="C196" t="s">
        <v>113</v>
      </c>
      <c r="D196" s="1">
        <v>4520</v>
      </c>
    </row>
    <row r="197" spans="1:4" x14ac:dyDescent="0.2">
      <c r="A197" t="s">
        <v>111</v>
      </c>
      <c r="B197" t="s">
        <v>100</v>
      </c>
      <c r="C197" t="s">
        <v>113</v>
      </c>
      <c r="D197" s="1">
        <v>15620</v>
      </c>
    </row>
    <row r="198" spans="1:4" x14ac:dyDescent="0.2">
      <c r="A198" t="s">
        <v>111</v>
      </c>
      <c r="B198" t="s">
        <v>100</v>
      </c>
      <c r="C198" t="s">
        <v>113</v>
      </c>
      <c r="D198" s="1">
        <v>12900</v>
      </c>
    </row>
    <row r="199" spans="1:4" x14ac:dyDescent="0.2">
      <c r="A199" t="s">
        <v>111</v>
      </c>
      <c r="B199" t="s">
        <v>100</v>
      </c>
      <c r="C199" t="s">
        <v>113</v>
      </c>
      <c r="D199" s="1">
        <v>2210</v>
      </c>
    </row>
    <row r="200" spans="1:4" x14ac:dyDescent="0.2">
      <c r="A200" t="s">
        <v>111</v>
      </c>
      <c r="B200" t="s">
        <v>100</v>
      </c>
      <c r="C200" t="s">
        <v>113</v>
      </c>
      <c r="D200" s="1">
        <v>14440</v>
      </c>
    </row>
    <row r="201" spans="1:4" x14ac:dyDescent="0.2">
      <c r="A201" t="s">
        <v>111</v>
      </c>
      <c r="B201" t="s">
        <v>100</v>
      </c>
      <c r="C201" t="s">
        <v>113</v>
      </c>
      <c r="D201" s="1">
        <v>14290</v>
      </c>
    </row>
    <row r="202" spans="1:4" x14ac:dyDescent="0.2">
      <c r="A202" t="s">
        <v>111</v>
      </c>
      <c r="B202" t="s">
        <v>100</v>
      </c>
      <c r="C202" t="s">
        <v>113</v>
      </c>
      <c r="D202" s="1">
        <v>8620</v>
      </c>
    </row>
    <row r="203" spans="1:4" x14ac:dyDescent="0.2">
      <c r="A203" t="s">
        <v>111</v>
      </c>
      <c r="B203" t="s">
        <v>100</v>
      </c>
      <c r="C203" t="s">
        <v>113</v>
      </c>
      <c r="D203" s="1">
        <v>8990</v>
      </c>
    </row>
    <row r="204" spans="1:4" x14ac:dyDescent="0.2">
      <c r="A204" t="s">
        <v>111</v>
      </c>
      <c r="B204" t="s">
        <v>100</v>
      </c>
      <c r="C204" t="s">
        <v>113</v>
      </c>
      <c r="D204" s="1">
        <v>13110</v>
      </c>
    </row>
    <row r="205" spans="1:4" x14ac:dyDescent="0.2">
      <c r="A205" t="s">
        <v>111</v>
      </c>
      <c r="B205" t="s">
        <v>100</v>
      </c>
      <c r="C205" t="s">
        <v>113</v>
      </c>
      <c r="D205" s="1">
        <v>13130</v>
      </c>
    </row>
    <row r="206" spans="1:4" x14ac:dyDescent="0.2">
      <c r="A206" t="s">
        <v>111</v>
      </c>
      <c r="B206" t="s">
        <v>100</v>
      </c>
      <c r="C206" t="s">
        <v>113</v>
      </c>
      <c r="D206" s="1">
        <v>12750</v>
      </c>
    </row>
    <row r="207" spans="1:4" x14ac:dyDescent="0.2">
      <c r="A207" t="s">
        <v>111</v>
      </c>
      <c r="B207" t="s">
        <v>100</v>
      </c>
      <c r="C207" t="s">
        <v>113</v>
      </c>
      <c r="D207" s="1">
        <v>12750</v>
      </c>
    </row>
    <row r="208" spans="1:4" x14ac:dyDescent="0.2">
      <c r="A208" t="s">
        <v>111</v>
      </c>
      <c r="B208" t="s">
        <v>100</v>
      </c>
      <c r="C208" t="s">
        <v>113</v>
      </c>
      <c r="D208" s="1">
        <v>12440</v>
      </c>
    </row>
    <row r="209" spans="1:4" x14ac:dyDescent="0.2">
      <c r="A209" t="s">
        <v>111</v>
      </c>
      <c r="B209" t="s">
        <v>100</v>
      </c>
      <c r="C209" t="s">
        <v>113</v>
      </c>
      <c r="D209" s="1">
        <v>12820</v>
      </c>
    </row>
    <row r="210" spans="1:4" x14ac:dyDescent="0.2">
      <c r="A210" t="s">
        <v>112</v>
      </c>
      <c r="B210" t="s">
        <v>100</v>
      </c>
      <c r="C210" t="s">
        <v>113</v>
      </c>
      <c r="D210" s="1">
        <v>12280</v>
      </c>
    </row>
    <row r="211" spans="1:4" x14ac:dyDescent="0.2">
      <c r="A211" t="s">
        <v>112</v>
      </c>
      <c r="B211" t="s">
        <v>100</v>
      </c>
      <c r="C211" t="s">
        <v>113</v>
      </c>
      <c r="D211" s="1">
        <v>12820</v>
      </c>
    </row>
    <row r="212" spans="1:4" x14ac:dyDescent="0.2">
      <c r="A212" t="s">
        <v>112</v>
      </c>
      <c r="B212" t="s">
        <v>100</v>
      </c>
      <c r="C212" t="s">
        <v>113</v>
      </c>
      <c r="D212" s="1">
        <v>13070</v>
      </c>
    </row>
    <row r="213" spans="1:4" x14ac:dyDescent="0.2">
      <c r="A213" t="s">
        <v>112</v>
      </c>
      <c r="B213" t="s">
        <v>100</v>
      </c>
      <c r="C213" t="s">
        <v>113</v>
      </c>
      <c r="D213" s="1">
        <v>12580</v>
      </c>
    </row>
    <row r="214" spans="1:4" x14ac:dyDescent="0.2">
      <c r="A214" t="s">
        <v>112</v>
      </c>
      <c r="B214" t="s">
        <v>100</v>
      </c>
      <c r="C214" t="s">
        <v>113</v>
      </c>
      <c r="D214" s="1">
        <v>12910</v>
      </c>
    </row>
    <row r="215" spans="1:4" x14ac:dyDescent="0.2">
      <c r="A215" t="s">
        <v>112</v>
      </c>
      <c r="B215" t="s">
        <v>100</v>
      </c>
      <c r="C215" t="s">
        <v>113</v>
      </c>
      <c r="D215" s="1">
        <v>12840</v>
      </c>
    </row>
    <row r="216" spans="1:4" x14ac:dyDescent="0.2">
      <c r="A216" t="s">
        <v>112</v>
      </c>
      <c r="B216" t="s">
        <v>100</v>
      </c>
      <c r="C216" t="s">
        <v>113</v>
      </c>
      <c r="D216" s="1">
        <v>12900</v>
      </c>
    </row>
    <row r="217" spans="1:4" x14ac:dyDescent="0.2">
      <c r="A217" t="s">
        <v>112</v>
      </c>
      <c r="B217" t="s">
        <v>100</v>
      </c>
      <c r="C217" t="s">
        <v>113</v>
      </c>
      <c r="D217" s="1">
        <v>13350</v>
      </c>
    </row>
    <row r="218" spans="1:4" x14ac:dyDescent="0.2">
      <c r="A218" t="s">
        <v>112</v>
      </c>
      <c r="B218" t="s">
        <v>100</v>
      </c>
      <c r="C218" t="s">
        <v>113</v>
      </c>
      <c r="D218" s="1">
        <v>13220</v>
      </c>
    </row>
    <row r="219" spans="1:4" x14ac:dyDescent="0.2">
      <c r="A219" t="s">
        <v>112</v>
      </c>
      <c r="B219" t="s">
        <v>100</v>
      </c>
      <c r="C219" t="s">
        <v>113</v>
      </c>
      <c r="D219" s="1">
        <v>13280</v>
      </c>
    </row>
    <row r="220" spans="1:4" x14ac:dyDescent="0.2">
      <c r="A220" t="s">
        <v>112</v>
      </c>
      <c r="B220" t="s">
        <v>100</v>
      </c>
      <c r="C220" t="s">
        <v>113</v>
      </c>
      <c r="D220" s="1">
        <v>4450</v>
      </c>
    </row>
    <row r="221" spans="1:4" x14ac:dyDescent="0.2">
      <c r="A221" t="s">
        <v>112</v>
      </c>
      <c r="B221" t="s">
        <v>100</v>
      </c>
      <c r="C221" t="s">
        <v>113</v>
      </c>
      <c r="D221" s="1">
        <v>13650</v>
      </c>
    </row>
    <row r="222" spans="1:4" x14ac:dyDescent="0.2">
      <c r="A222" t="s">
        <v>112</v>
      </c>
      <c r="B222" t="str">
        <f>+B221</f>
        <v>ГРК_богара</v>
      </c>
      <c r="C222" t="s">
        <v>113</v>
      </c>
      <c r="D222" s="1">
        <v>13410</v>
      </c>
    </row>
    <row r="223" spans="1:4" x14ac:dyDescent="0.2">
      <c r="A223" t="s">
        <v>112</v>
      </c>
      <c r="B223" t="s">
        <v>100</v>
      </c>
      <c r="C223" t="s">
        <v>113</v>
      </c>
      <c r="D223" s="1">
        <v>13300</v>
      </c>
    </row>
    <row r="224" spans="1:4" x14ac:dyDescent="0.2">
      <c r="A224" t="s">
        <v>112</v>
      </c>
      <c r="B224" t="s">
        <v>100</v>
      </c>
      <c r="C224" t="s">
        <v>113</v>
      </c>
      <c r="D224" s="1">
        <v>13120</v>
      </c>
    </row>
    <row r="225" spans="1:4" x14ac:dyDescent="0.2">
      <c r="A225" t="s">
        <v>112</v>
      </c>
      <c r="B225" t="s">
        <v>100</v>
      </c>
      <c r="C225" t="s">
        <v>113</v>
      </c>
      <c r="D225" s="1">
        <v>4430</v>
      </c>
    </row>
    <row r="226" spans="1:4" x14ac:dyDescent="0.2">
      <c r="A226" t="s">
        <v>112</v>
      </c>
      <c r="B226" t="s">
        <v>100</v>
      </c>
      <c r="C226" t="s">
        <v>113</v>
      </c>
      <c r="D226" s="1">
        <v>13420</v>
      </c>
    </row>
    <row r="227" spans="1:4" x14ac:dyDescent="0.2">
      <c r="A227" t="s">
        <v>112</v>
      </c>
      <c r="B227" t="s">
        <v>100</v>
      </c>
      <c r="C227" t="s">
        <v>113</v>
      </c>
      <c r="D227" s="1">
        <v>13190</v>
      </c>
    </row>
    <row r="228" spans="1:4" x14ac:dyDescent="0.2">
      <c r="A228" t="s">
        <v>112</v>
      </c>
      <c r="B228" t="s">
        <v>100</v>
      </c>
      <c r="C228" t="s">
        <v>113</v>
      </c>
      <c r="D228" s="1">
        <v>13330</v>
      </c>
    </row>
    <row r="229" spans="1:4" x14ac:dyDescent="0.2">
      <c r="A229" t="s">
        <v>112</v>
      </c>
      <c r="B229" t="s">
        <v>100</v>
      </c>
      <c r="C229" t="s">
        <v>113</v>
      </c>
      <c r="D229" s="1">
        <v>13160</v>
      </c>
    </row>
    <row r="230" spans="1:4" x14ac:dyDescent="0.2">
      <c r="A230" t="s">
        <v>112</v>
      </c>
      <c r="B230" t="s">
        <v>100</v>
      </c>
      <c r="C230" t="s">
        <v>113</v>
      </c>
      <c r="D230" s="1">
        <v>4340</v>
      </c>
    </row>
    <row r="231" spans="1:4" x14ac:dyDescent="0.2">
      <c r="A231" t="s">
        <v>112</v>
      </c>
      <c r="B231" t="s">
        <v>100</v>
      </c>
      <c r="C231" t="s">
        <v>113</v>
      </c>
      <c r="D231" s="1">
        <v>13300</v>
      </c>
    </row>
    <row r="232" spans="1:4" x14ac:dyDescent="0.2">
      <c r="A232" t="s">
        <v>114</v>
      </c>
      <c r="B232" t="s">
        <v>100</v>
      </c>
      <c r="C232" t="s">
        <v>113</v>
      </c>
      <c r="D232" s="1">
        <v>13180</v>
      </c>
    </row>
    <row r="233" spans="1:4" x14ac:dyDescent="0.2">
      <c r="A233" t="s">
        <v>114</v>
      </c>
      <c r="B233" t="s">
        <v>100</v>
      </c>
      <c r="C233" t="s">
        <v>113</v>
      </c>
      <c r="D233" s="1">
        <v>13350</v>
      </c>
    </row>
    <row r="234" spans="1:4" x14ac:dyDescent="0.2">
      <c r="A234" t="s">
        <v>114</v>
      </c>
      <c r="B234" t="s">
        <v>100</v>
      </c>
      <c r="C234" t="s">
        <v>113</v>
      </c>
      <c r="D234" s="1">
        <v>13360</v>
      </c>
    </row>
    <row r="235" spans="1:4" x14ac:dyDescent="0.2">
      <c r="A235" t="s">
        <v>114</v>
      </c>
      <c r="B235" t="s">
        <v>100</v>
      </c>
      <c r="C235" t="s">
        <v>113</v>
      </c>
      <c r="D235" s="1">
        <v>4340</v>
      </c>
    </row>
    <row r="236" spans="1:4" x14ac:dyDescent="0.2">
      <c r="A236" t="s">
        <v>114</v>
      </c>
      <c r="B236" t="s">
        <v>100</v>
      </c>
      <c r="C236" t="s">
        <v>113</v>
      </c>
      <c r="D236" s="1">
        <v>13460</v>
      </c>
    </row>
    <row r="237" spans="1:4" x14ac:dyDescent="0.2">
      <c r="A237" t="s">
        <v>114</v>
      </c>
      <c r="B237" t="s">
        <v>100</v>
      </c>
      <c r="C237" t="s">
        <v>113</v>
      </c>
      <c r="D237" s="1">
        <v>13050</v>
      </c>
    </row>
    <row r="238" spans="1:4" x14ac:dyDescent="0.2">
      <c r="A238" t="s">
        <v>114</v>
      </c>
      <c r="B238" t="s">
        <v>100</v>
      </c>
      <c r="C238" t="s">
        <v>113</v>
      </c>
      <c r="D238" s="1">
        <v>18130</v>
      </c>
    </row>
    <row r="239" spans="1:4" x14ac:dyDescent="0.2">
      <c r="A239" t="s">
        <v>114</v>
      </c>
      <c r="B239" t="s">
        <v>100</v>
      </c>
      <c r="C239" t="s">
        <v>136</v>
      </c>
      <c r="D239" s="1">
        <v>13350</v>
      </c>
    </row>
    <row r="240" spans="1:4" x14ac:dyDescent="0.2">
      <c r="A240" t="s">
        <v>114</v>
      </c>
      <c r="B240" t="s">
        <v>100</v>
      </c>
      <c r="C240" t="s">
        <v>136</v>
      </c>
      <c r="D240" s="1">
        <v>4260</v>
      </c>
    </row>
    <row r="241" spans="1:4" x14ac:dyDescent="0.2">
      <c r="A241" t="s">
        <v>114</v>
      </c>
      <c r="B241" t="s">
        <v>100</v>
      </c>
      <c r="C241" t="s">
        <v>136</v>
      </c>
      <c r="D241" s="1">
        <v>13990</v>
      </c>
    </row>
    <row r="242" spans="1:4" x14ac:dyDescent="0.2">
      <c r="A242" t="s">
        <v>114</v>
      </c>
      <c r="B242" t="s">
        <v>137</v>
      </c>
      <c r="C242" t="s">
        <v>113</v>
      </c>
      <c r="D242" s="1">
        <v>12240</v>
      </c>
    </row>
    <row r="243" spans="1:4" x14ac:dyDescent="0.2">
      <c r="A243" t="s">
        <v>114</v>
      </c>
      <c r="B243" t="s">
        <v>100</v>
      </c>
      <c r="C243" t="s">
        <v>136</v>
      </c>
      <c r="D243" s="1">
        <v>12810</v>
      </c>
    </row>
    <row r="244" spans="1:4" x14ac:dyDescent="0.2">
      <c r="A244" t="s">
        <v>114</v>
      </c>
      <c r="B244" t="s">
        <v>100</v>
      </c>
      <c r="C244" t="s">
        <v>138</v>
      </c>
      <c r="D244" s="1">
        <v>4210</v>
      </c>
    </row>
    <row r="245" spans="1:4" x14ac:dyDescent="0.2">
      <c r="A245" t="s">
        <v>114</v>
      </c>
      <c r="B245" t="s">
        <v>100</v>
      </c>
      <c r="C245" t="s">
        <v>138</v>
      </c>
      <c r="D245" s="1">
        <v>6580</v>
      </c>
    </row>
    <row r="246" spans="1:4" x14ac:dyDescent="0.2">
      <c r="A246" t="s">
        <v>114</v>
      </c>
      <c r="B246" t="s">
        <v>100</v>
      </c>
      <c r="C246" t="s">
        <v>138</v>
      </c>
      <c r="D246" s="1">
        <v>13020</v>
      </c>
    </row>
    <row r="247" spans="1:4" x14ac:dyDescent="0.2">
      <c r="A247" t="s">
        <v>114</v>
      </c>
      <c r="B247" t="s">
        <v>100</v>
      </c>
      <c r="C247" t="s">
        <v>138</v>
      </c>
      <c r="D247" s="1">
        <v>6350</v>
      </c>
    </row>
    <row r="248" spans="1:4" x14ac:dyDescent="0.2">
      <c r="A248" t="s">
        <v>114</v>
      </c>
      <c r="B248" t="s">
        <v>100</v>
      </c>
      <c r="C248" t="s">
        <v>138</v>
      </c>
      <c r="D248" s="1">
        <v>13260</v>
      </c>
    </row>
    <row r="249" spans="1:4" x14ac:dyDescent="0.2">
      <c r="A249" t="s">
        <v>114</v>
      </c>
      <c r="B249" t="s">
        <v>100</v>
      </c>
      <c r="C249" t="s">
        <v>138</v>
      </c>
      <c r="D249" s="1">
        <v>13070</v>
      </c>
    </row>
    <row r="250" spans="1:4" x14ac:dyDescent="0.2">
      <c r="A250" t="s">
        <v>114</v>
      </c>
      <c r="B250" t="s">
        <v>100</v>
      </c>
      <c r="C250" t="s">
        <v>138</v>
      </c>
      <c r="D250" s="1">
        <v>13290</v>
      </c>
    </row>
    <row r="251" spans="1:4" x14ac:dyDescent="0.2">
      <c r="A251" t="s">
        <v>114</v>
      </c>
      <c r="B251" t="s">
        <v>100</v>
      </c>
      <c r="C251" t="s">
        <v>138</v>
      </c>
      <c r="D251" s="1">
        <v>13160</v>
      </c>
    </row>
    <row r="252" spans="1:4" x14ac:dyDescent="0.2">
      <c r="A252" t="s">
        <v>114</v>
      </c>
      <c r="B252" t="s">
        <v>100</v>
      </c>
      <c r="C252" t="s">
        <v>138</v>
      </c>
      <c r="D252" s="1">
        <v>4350</v>
      </c>
    </row>
    <row r="253" spans="1:4" x14ac:dyDescent="0.2">
      <c r="A253" t="s">
        <v>114</v>
      </c>
      <c r="B253" t="s">
        <v>100</v>
      </c>
      <c r="C253" t="s">
        <v>138</v>
      </c>
      <c r="D253" s="1">
        <v>12560</v>
      </c>
    </row>
    <row r="254" spans="1:4" x14ac:dyDescent="0.2">
      <c r="A254" t="s">
        <v>114</v>
      </c>
      <c r="B254" t="s">
        <v>100</v>
      </c>
      <c r="C254" t="s">
        <v>138</v>
      </c>
      <c r="D254" s="1">
        <v>4880</v>
      </c>
    </row>
    <row r="255" spans="1:4" x14ac:dyDescent="0.2">
      <c r="A255" t="s">
        <v>115</v>
      </c>
      <c r="B255" t="s">
        <v>100</v>
      </c>
      <c r="C255" t="s">
        <v>138</v>
      </c>
      <c r="D255" s="1">
        <v>12680</v>
      </c>
    </row>
    <row r="256" spans="1:4" x14ac:dyDescent="0.2">
      <c r="A256" t="s">
        <v>115</v>
      </c>
      <c r="B256" t="s">
        <v>100</v>
      </c>
      <c r="C256" t="s">
        <v>138</v>
      </c>
      <c r="D256" s="1">
        <v>12400</v>
      </c>
    </row>
    <row r="257" spans="1:4" x14ac:dyDescent="0.2">
      <c r="A257" t="s">
        <v>115</v>
      </c>
      <c r="B257" t="s">
        <v>100</v>
      </c>
      <c r="C257" t="s">
        <v>138</v>
      </c>
      <c r="D257" s="1">
        <v>12760</v>
      </c>
    </row>
    <row r="258" spans="1:4" x14ac:dyDescent="0.2">
      <c r="A258" t="s">
        <v>115</v>
      </c>
      <c r="B258" t="s">
        <v>100</v>
      </c>
      <c r="C258" t="s">
        <v>138</v>
      </c>
      <c r="D258" s="1">
        <v>12600</v>
      </c>
    </row>
    <row r="259" spans="1:4" x14ac:dyDescent="0.2">
      <c r="A259" t="s">
        <v>115</v>
      </c>
      <c r="B259" t="s">
        <v>100</v>
      </c>
      <c r="C259" t="s">
        <v>138</v>
      </c>
      <c r="D259" s="1">
        <v>12620</v>
      </c>
    </row>
    <row r="260" spans="1:4" x14ac:dyDescent="0.2">
      <c r="A260" t="s">
        <v>115</v>
      </c>
      <c r="B260" t="s">
        <v>100</v>
      </c>
      <c r="C260" t="s">
        <v>138</v>
      </c>
      <c r="D260" s="1">
        <v>12650</v>
      </c>
    </row>
    <row r="261" spans="1:4" x14ac:dyDescent="0.2">
      <c r="A261" t="s">
        <v>115</v>
      </c>
      <c r="B261" t="s">
        <v>100</v>
      </c>
      <c r="C261" t="s">
        <v>138</v>
      </c>
      <c r="D261" s="1">
        <v>12610</v>
      </c>
    </row>
    <row r="262" spans="1:4" x14ac:dyDescent="0.2">
      <c r="A262" t="s">
        <v>115</v>
      </c>
      <c r="B262" t="s">
        <v>100</v>
      </c>
      <c r="C262" t="s">
        <v>138</v>
      </c>
      <c r="D262" s="1">
        <v>12640</v>
      </c>
    </row>
    <row r="263" spans="1:4" x14ac:dyDescent="0.2">
      <c r="A263" t="s">
        <v>115</v>
      </c>
      <c r="B263" t="s">
        <v>100</v>
      </c>
      <c r="C263" t="s">
        <v>138</v>
      </c>
      <c r="D263" s="1">
        <v>4390</v>
      </c>
    </row>
    <row r="264" spans="1:4" x14ac:dyDescent="0.2">
      <c r="A264" t="s">
        <v>115</v>
      </c>
      <c r="B264" t="s">
        <v>100</v>
      </c>
      <c r="C264" t="s">
        <v>138</v>
      </c>
      <c r="D264" s="1">
        <v>13340</v>
      </c>
    </row>
    <row r="265" spans="1:4" x14ac:dyDescent="0.2">
      <c r="A265" t="s">
        <v>115</v>
      </c>
      <c r="B265" t="s">
        <v>100</v>
      </c>
      <c r="C265" t="s">
        <v>138</v>
      </c>
      <c r="D265" s="1">
        <v>14140</v>
      </c>
    </row>
    <row r="266" spans="1:4" x14ac:dyDescent="0.2">
      <c r="A266" t="s">
        <v>115</v>
      </c>
      <c r="B266" t="s">
        <v>100</v>
      </c>
      <c r="C266" t="s">
        <v>138</v>
      </c>
      <c r="D266" s="1">
        <v>14160</v>
      </c>
    </row>
    <row r="267" spans="1:4" x14ac:dyDescent="0.2">
      <c r="A267" t="s">
        <v>115</v>
      </c>
      <c r="B267" t="s">
        <v>100</v>
      </c>
      <c r="C267" t="s">
        <v>138</v>
      </c>
      <c r="D267" s="1">
        <v>4530</v>
      </c>
    </row>
    <row r="268" spans="1:4" x14ac:dyDescent="0.2">
      <c r="A268" t="s">
        <v>115</v>
      </c>
      <c r="B268" t="s">
        <v>100</v>
      </c>
      <c r="C268" t="s">
        <v>138</v>
      </c>
      <c r="D268" s="1">
        <v>13570</v>
      </c>
    </row>
    <row r="269" spans="1:4" x14ac:dyDescent="0.2">
      <c r="A269" t="s">
        <v>115</v>
      </c>
      <c r="B269" t="s">
        <v>100</v>
      </c>
      <c r="C269" t="s">
        <v>138</v>
      </c>
      <c r="D269" s="1">
        <v>13410</v>
      </c>
    </row>
    <row r="270" spans="1:4" x14ac:dyDescent="0.2">
      <c r="A270" t="s">
        <v>115</v>
      </c>
      <c r="B270" t="s">
        <v>100</v>
      </c>
      <c r="C270" t="s">
        <v>138</v>
      </c>
      <c r="D270" s="1">
        <v>13410</v>
      </c>
    </row>
    <row r="271" spans="1:4" x14ac:dyDescent="0.2">
      <c r="A271" t="s">
        <v>115</v>
      </c>
      <c r="B271" t="s">
        <v>100</v>
      </c>
      <c r="C271" t="s">
        <v>138</v>
      </c>
      <c r="D271" s="1">
        <v>4540</v>
      </c>
    </row>
    <row r="272" spans="1:4" x14ac:dyDescent="0.2">
      <c r="A272" t="s">
        <v>115</v>
      </c>
      <c r="B272" t="s">
        <v>100</v>
      </c>
      <c r="C272" t="s">
        <v>138</v>
      </c>
      <c r="D272" s="1">
        <v>13010</v>
      </c>
    </row>
    <row r="273" spans="1:4" x14ac:dyDescent="0.2">
      <c r="A273" t="s">
        <v>115</v>
      </c>
      <c r="B273" t="s">
        <v>100</v>
      </c>
      <c r="C273" t="s">
        <v>138</v>
      </c>
      <c r="D273" s="1">
        <v>13170</v>
      </c>
    </row>
    <row r="274" spans="1:4" x14ac:dyDescent="0.2">
      <c r="A274" t="s">
        <v>115</v>
      </c>
      <c r="B274" t="s">
        <v>100</v>
      </c>
      <c r="C274" t="s">
        <v>138</v>
      </c>
      <c r="D274" s="1">
        <v>13250</v>
      </c>
    </row>
    <row r="275" spans="1:4" x14ac:dyDescent="0.2">
      <c r="A275" t="s">
        <v>115</v>
      </c>
      <c r="B275" t="s">
        <v>100</v>
      </c>
      <c r="C275" t="s">
        <v>138</v>
      </c>
      <c r="D275" s="1">
        <v>4410</v>
      </c>
    </row>
    <row r="276" spans="1:4" x14ac:dyDescent="0.2">
      <c r="A276" t="s">
        <v>116</v>
      </c>
      <c r="B276" t="s">
        <v>100</v>
      </c>
      <c r="C276" t="s">
        <v>138</v>
      </c>
      <c r="D276" s="1">
        <v>13130</v>
      </c>
    </row>
    <row r="277" spans="1:4" x14ac:dyDescent="0.2">
      <c r="A277" t="s">
        <v>116</v>
      </c>
      <c r="B277" t="s">
        <v>100</v>
      </c>
      <c r="C277" t="s">
        <v>138</v>
      </c>
      <c r="D277" s="1">
        <v>13080</v>
      </c>
    </row>
    <row r="278" spans="1:4" x14ac:dyDescent="0.2">
      <c r="A278" t="s">
        <v>116</v>
      </c>
      <c r="B278" t="s">
        <v>100</v>
      </c>
      <c r="C278" t="s">
        <v>138</v>
      </c>
      <c r="D278" s="1">
        <v>12940</v>
      </c>
    </row>
    <row r="279" spans="1:4" x14ac:dyDescent="0.2">
      <c r="A279" t="s">
        <v>116</v>
      </c>
      <c r="B279" t="s">
        <v>100</v>
      </c>
      <c r="C279" t="s">
        <v>138</v>
      </c>
      <c r="D279" s="1">
        <v>4340</v>
      </c>
    </row>
    <row r="280" spans="1:4" x14ac:dyDescent="0.2">
      <c r="A280" t="s">
        <v>116</v>
      </c>
      <c r="B280" t="s">
        <v>100</v>
      </c>
      <c r="C280" t="s">
        <v>138</v>
      </c>
      <c r="D280" s="1">
        <v>13140</v>
      </c>
    </row>
    <row r="281" spans="1:4" x14ac:dyDescent="0.2">
      <c r="A281" t="s">
        <v>116</v>
      </c>
      <c r="B281" t="s">
        <v>100</v>
      </c>
      <c r="C281" t="s">
        <v>138</v>
      </c>
      <c r="D281" s="1">
        <v>12980</v>
      </c>
    </row>
    <row r="282" spans="1:4" x14ac:dyDescent="0.2">
      <c r="A282" t="s">
        <v>116</v>
      </c>
      <c r="B282" t="s">
        <v>100</v>
      </c>
      <c r="C282" t="s">
        <v>138</v>
      </c>
      <c r="D282" s="1">
        <v>13300</v>
      </c>
    </row>
    <row r="283" spans="1:4" x14ac:dyDescent="0.2">
      <c r="A283" t="s">
        <v>116</v>
      </c>
      <c r="B283" t="s">
        <v>100</v>
      </c>
      <c r="C283" t="s">
        <v>138</v>
      </c>
      <c r="D283" s="1">
        <v>13170</v>
      </c>
    </row>
    <row r="284" spans="1:4" x14ac:dyDescent="0.2">
      <c r="A284" t="s">
        <v>116</v>
      </c>
      <c r="B284" t="s">
        <v>100</v>
      </c>
      <c r="C284" t="s">
        <v>138</v>
      </c>
      <c r="D284" s="1">
        <v>12740</v>
      </c>
    </row>
    <row r="285" spans="1:4" x14ac:dyDescent="0.2">
      <c r="A285" t="s">
        <v>116</v>
      </c>
      <c r="B285" t="s">
        <v>100</v>
      </c>
      <c r="C285" t="s">
        <v>138</v>
      </c>
      <c r="D285" s="1">
        <v>13180</v>
      </c>
    </row>
    <row r="286" spans="1:4" x14ac:dyDescent="0.2">
      <c r="A286" t="s">
        <v>116</v>
      </c>
      <c r="B286" t="s">
        <v>100</v>
      </c>
      <c r="C286" t="s">
        <v>138</v>
      </c>
      <c r="D286" s="1">
        <v>4270</v>
      </c>
    </row>
    <row r="287" spans="1:4" x14ac:dyDescent="0.2">
      <c r="A287" t="s">
        <v>116</v>
      </c>
      <c r="B287" t="s">
        <v>100</v>
      </c>
      <c r="C287" t="s">
        <v>138</v>
      </c>
      <c r="D287" s="1">
        <v>13330</v>
      </c>
    </row>
    <row r="288" spans="1:4" x14ac:dyDescent="0.2">
      <c r="A288" t="s">
        <v>116</v>
      </c>
      <c r="B288" t="s">
        <v>100</v>
      </c>
      <c r="C288" t="s">
        <v>138</v>
      </c>
      <c r="D288" s="1">
        <v>13470</v>
      </c>
    </row>
    <row r="289" spans="1:4" x14ac:dyDescent="0.2">
      <c r="A289" t="s">
        <v>116</v>
      </c>
      <c r="B289" t="s">
        <v>100</v>
      </c>
      <c r="C289" t="s">
        <v>138</v>
      </c>
      <c r="D289" s="1">
        <v>13020</v>
      </c>
    </row>
    <row r="290" spans="1:4" x14ac:dyDescent="0.2">
      <c r="A290" t="s">
        <v>116</v>
      </c>
      <c r="B290" t="s">
        <v>100</v>
      </c>
      <c r="C290" t="s">
        <v>138</v>
      </c>
      <c r="D290" s="1">
        <v>13660</v>
      </c>
    </row>
    <row r="291" spans="1:4" x14ac:dyDescent="0.2">
      <c r="A291" t="s">
        <v>116</v>
      </c>
      <c r="B291" t="s">
        <v>100</v>
      </c>
      <c r="C291" t="s">
        <v>138</v>
      </c>
      <c r="D291" s="1">
        <v>4290</v>
      </c>
    </row>
    <row r="292" spans="1:4" x14ac:dyDescent="0.2">
      <c r="A292" t="s">
        <v>116</v>
      </c>
      <c r="B292" t="s">
        <v>100</v>
      </c>
      <c r="C292" t="s">
        <v>138</v>
      </c>
      <c r="D292" s="1">
        <v>13530</v>
      </c>
    </row>
    <row r="293" spans="1:4" x14ac:dyDescent="0.2">
      <c r="A293" t="s">
        <v>116</v>
      </c>
      <c r="B293" t="s">
        <v>100</v>
      </c>
      <c r="C293" t="s">
        <v>139</v>
      </c>
      <c r="D293" s="1">
        <v>6770</v>
      </c>
    </row>
    <row r="294" spans="1:4" x14ac:dyDescent="0.2">
      <c r="A294" t="s">
        <v>116</v>
      </c>
      <c r="B294" t="s">
        <v>100</v>
      </c>
      <c r="C294" t="s">
        <v>139</v>
      </c>
      <c r="D294" s="1">
        <v>15790</v>
      </c>
    </row>
    <row r="295" spans="1:4" x14ac:dyDescent="0.2">
      <c r="A295" t="s">
        <v>116</v>
      </c>
      <c r="B295" t="s">
        <v>100</v>
      </c>
      <c r="C295" t="s">
        <v>138</v>
      </c>
      <c r="D295" s="1">
        <v>8430</v>
      </c>
    </row>
    <row r="296" spans="1:4" x14ac:dyDescent="0.2">
      <c r="A296" t="s">
        <v>116</v>
      </c>
      <c r="B296" t="s">
        <v>100</v>
      </c>
      <c r="C296" t="s">
        <v>139</v>
      </c>
      <c r="D296" s="1">
        <v>5630</v>
      </c>
    </row>
    <row r="297" spans="1:4" x14ac:dyDescent="0.2">
      <c r="A297" t="s">
        <v>116</v>
      </c>
      <c r="B297" t="s">
        <v>100</v>
      </c>
      <c r="C297" t="s">
        <v>138</v>
      </c>
      <c r="D297" s="1">
        <v>13050</v>
      </c>
    </row>
    <row r="298" spans="1:4" x14ac:dyDescent="0.2">
      <c r="A298" t="s">
        <v>116</v>
      </c>
      <c r="B298" t="s">
        <v>100</v>
      </c>
      <c r="C298" t="s">
        <v>138</v>
      </c>
      <c r="D298" s="1">
        <v>12920</v>
      </c>
    </row>
    <row r="299" spans="1:4" x14ac:dyDescent="0.2">
      <c r="A299" t="s">
        <v>116</v>
      </c>
      <c r="B299" t="s">
        <v>100</v>
      </c>
      <c r="C299" t="s">
        <v>138</v>
      </c>
      <c r="D299" s="1">
        <v>12850</v>
      </c>
    </row>
    <row r="300" spans="1:4" x14ac:dyDescent="0.2">
      <c r="A300" t="s">
        <v>116</v>
      </c>
      <c r="B300" t="s">
        <v>100</v>
      </c>
      <c r="C300" t="s">
        <v>138</v>
      </c>
      <c r="D300" s="1">
        <v>4450</v>
      </c>
    </row>
    <row r="301" spans="1:4" x14ac:dyDescent="0.2">
      <c r="A301" t="s">
        <v>117</v>
      </c>
      <c r="B301" t="s">
        <v>100</v>
      </c>
      <c r="C301" t="s">
        <v>138</v>
      </c>
      <c r="D301" s="1">
        <v>13170</v>
      </c>
    </row>
    <row r="302" spans="1:4" x14ac:dyDescent="0.2">
      <c r="A302" t="s">
        <v>117</v>
      </c>
      <c r="B302" t="s">
        <v>100</v>
      </c>
      <c r="C302" t="s">
        <v>138</v>
      </c>
      <c r="D302" s="1">
        <v>12870</v>
      </c>
    </row>
    <row r="303" spans="1:4" x14ac:dyDescent="0.2">
      <c r="A303" t="s">
        <v>117</v>
      </c>
      <c r="B303" t="s">
        <v>100</v>
      </c>
      <c r="C303" t="s">
        <v>138</v>
      </c>
      <c r="D303" s="1">
        <v>12860</v>
      </c>
    </row>
    <row r="304" spans="1:4" x14ac:dyDescent="0.2">
      <c r="A304" t="s">
        <v>117</v>
      </c>
      <c r="B304" t="s">
        <v>100</v>
      </c>
      <c r="C304" t="s">
        <v>138</v>
      </c>
      <c r="D304" s="1">
        <v>12490</v>
      </c>
    </row>
    <row r="305" spans="1:4" x14ac:dyDescent="0.2">
      <c r="A305" t="s">
        <v>117</v>
      </c>
      <c r="B305" t="s">
        <v>100</v>
      </c>
      <c r="C305" t="s">
        <v>138</v>
      </c>
      <c r="D305" s="1">
        <v>4120</v>
      </c>
    </row>
    <row r="306" spans="1:4" x14ac:dyDescent="0.2">
      <c r="A306" t="s">
        <v>117</v>
      </c>
      <c r="B306" t="s">
        <v>100</v>
      </c>
      <c r="C306" t="s">
        <v>138</v>
      </c>
      <c r="D306" s="1">
        <v>12840</v>
      </c>
    </row>
    <row r="307" spans="1:4" x14ac:dyDescent="0.2">
      <c r="A307" t="s">
        <v>117</v>
      </c>
      <c r="B307" t="s">
        <v>100</v>
      </c>
      <c r="C307" t="s">
        <v>138</v>
      </c>
      <c r="D307" s="1">
        <v>13640</v>
      </c>
    </row>
    <row r="308" spans="1:4" x14ac:dyDescent="0.2">
      <c r="A308" t="s">
        <v>117</v>
      </c>
      <c r="B308" t="s">
        <v>100</v>
      </c>
      <c r="C308" t="s">
        <v>138</v>
      </c>
      <c r="D308" s="1">
        <v>15380</v>
      </c>
    </row>
    <row r="309" spans="1:4" x14ac:dyDescent="0.2">
      <c r="A309" t="s">
        <v>117</v>
      </c>
      <c r="B309" t="s">
        <v>100</v>
      </c>
      <c r="C309" t="s">
        <v>140</v>
      </c>
      <c r="D309" s="1">
        <v>4550</v>
      </c>
    </row>
    <row r="310" spans="1:4" x14ac:dyDescent="0.2">
      <c r="A310" t="s">
        <v>117</v>
      </c>
      <c r="B310" t="s">
        <v>100</v>
      </c>
      <c r="C310" t="s">
        <v>140</v>
      </c>
      <c r="D310" s="1">
        <v>6150</v>
      </c>
    </row>
    <row r="311" spans="1:4" x14ac:dyDescent="0.2">
      <c r="A311" t="s">
        <v>117</v>
      </c>
      <c r="B311" t="s">
        <v>141</v>
      </c>
      <c r="C311" t="s">
        <v>138</v>
      </c>
      <c r="D311" s="1">
        <v>13770</v>
      </c>
    </row>
    <row r="312" spans="1:4" x14ac:dyDescent="0.2">
      <c r="A312" t="s">
        <v>117</v>
      </c>
      <c r="B312" t="s">
        <v>137</v>
      </c>
      <c r="C312" t="s">
        <v>139</v>
      </c>
      <c r="D312" s="1">
        <v>4590</v>
      </c>
    </row>
    <row r="313" spans="1:4" x14ac:dyDescent="0.2">
      <c r="A313" t="s">
        <v>117</v>
      </c>
      <c r="B313" t="s">
        <v>141</v>
      </c>
      <c r="C313" t="s">
        <v>139</v>
      </c>
      <c r="D313" s="1">
        <v>4490</v>
      </c>
    </row>
    <row r="314" spans="1:4" x14ac:dyDescent="0.2">
      <c r="A314" t="s">
        <v>118</v>
      </c>
      <c r="B314" t="s">
        <v>137</v>
      </c>
      <c r="C314" t="s">
        <v>139</v>
      </c>
      <c r="D314" s="1">
        <v>2350</v>
      </c>
    </row>
    <row r="315" spans="1:4" x14ac:dyDescent="0.2">
      <c r="A315" t="s">
        <v>118</v>
      </c>
      <c r="B315" t="s">
        <v>141</v>
      </c>
      <c r="C315" t="s">
        <v>138</v>
      </c>
      <c r="D315" s="1">
        <v>4460</v>
      </c>
    </row>
    <row r="316" spans="1:4" x14ac:dyDescent="0.2">
      <c r="A316" t="s">
        <v>118</v>
      </c>
      <c r="B316" t="s">
        <v>141</v>
      </c>
      <c r="C316" t="s">
        <v>138</v>
      </c>
      <c r="D316" s="1">
        <v>4440</v>
      </c>
    </row>
    <row r="317" spans="1:4" x14ac:dyDescent="0.2">
      <c r="A317" t="s">
        <v>118</v>
      </c>
      <c r="B317" t="s">
        <v>141</v>
      </c>
      <c r="C317" t="s">
        <v>138</v>
      </c>
      <c r="D317" s="1">
        <v>12990</v>
      </c>
    </row>
    <row r="318" spans="1:4" x14ac:dyDescent="0.2">
      <c r="A318" t="s">
        <v>119</v>
      </c>
      <c r="B318" t="s">
        <v>141</v>
      </c>
      <c r="C318" t="s">
        <v>138</v>
      </c>
      <c r="D318" s="1">
        <v>12870</v>
      </c>
    </row>
    <row r="319" spans="1:4" x14ac:dyDescent="0.2">
      <c r="A319" t="s">
        <v>119</v>
      </c>
      <c r="B319" t="s">
        <v>141</v>
      </c>
      <c r="C319" t="s">
        <v>138</v>
      </c>
      <c r="D319" s="1">
        <v>3980</v>
      </c>
    </row>
    <row r="320" spans="1:4" x14ac:dyDescent="0.2">
      <c r="A320" t="s">
        <v>119</v>
      </c>
      <c r="B320" t="s">
        <v>141</v>
      </c>
      <c r="C320" t="s">
        <v>138</v>
      </c>
      <c r="D320" s="1">
        <v>12720</v>
      </c>
    </row>
    <row r="321" spans="1:4" x14ac:dyDescent="0.2">
      <c r="A321" t="s">
        <v>119</v>
      </c>
      <c r="B321" t="s">
        <v>141</v>
      </c>
      <c r="C321" t="s">
        <v>138</v>
      </c>
      <c r="D321" s="1">
        <v>12650</v>
      </c>
    </row>
    <row r="322" spans="1:4" x14ac:dyDescent="0.2">
      <c r="A322" t="s">
        <v>119</v>
      </c>
      <c r="B322" t="s">
        <v>141</v>
      </c>
      <c r="C322" t="s">
        <v>138</v>
      </c>
      <c r="D322" s="1">
        <v>12990</v>
      </c>
    </row>
    <row r="323" spans="1:4" x14ac:dyDescent="0.2">
      <c r="A323" t="s">
        <v>119</v>
      </c>
      <c r="B323" t="s">
        <v>141</v>
      </c>
      <c r="C323" t="s">
        <v>138</v>
      </c>
      <c r="D323" s="1">
        <v>12770</v>
      </c>
    </row>
    <row r="324" spans="1:4" x14ac:dyDescent="0.2">
      <c r="A324" t="s">
        <v>119</v>
      </c>
      <c r="B324" t="s">
        <v>137</v>
      </c>
      <c r="C324" t="s">
        <v>139</v>
      </c>
      <c r="D324" s="1">
        <v>4340</v>
      </c>
    </row>
    <row r="325" spans="1:4" x14ac:dyDescent="0.2">
      <c r="A325" t="s">
        <v>119</v>
      </c>
      <c r="B325" t="s">
        <v>137</v>
      </c>
      <c r="C325" t="s">
        <v>139</v>
      </c>
      <c r="D325" s="1">
        <v>13220</v>
      </c>
    </row>
    <row r="326" spans="1:4" x14ac:dyDescent="0.2">
      <c r="A326" t="s">
        <v>119</v>
      </c>
      <c r="B326" t="s">
        <v>141</v>
      </c>
      <c r="C326" t="s">
        <v>138</v>
      </c>
      <c r="D326" s="1">
        <v>12810</v>
      </c>
    </row>
    <row r="327" spans="1:4" x14ac:dyDescent="0.2">
      <c r="A327" t="s">
        <v>119</v>
      </c>
      <c r="B327" t="s">
        <v>137</v>
      </c>
      <c r="C327" t="s">
        <v>139</v>
      </c>
      <c r="D327" s="1">
        <v>13650</v>
      </c>
    </row>
    <row r="328" spans="1:4" x14ac:dyDescent="0.2">
      <c r="A328" t="s">
        <v>119</v>
      </c>
      <c r="B328" t="s">
        <v>141</v>
      </c>
      <c r="C328" t="s">
        <v>138</v>
      </c>
      <c r="D328" s="1">
        <v>12870</v>
      </c>
    </row>
    <row r="329" spans="1:4" x14ac:dyDescent="0.2">
      <c r="A329" t="s">
        <v>119</v>
      </c>
      <c r="B329" t="s">
        <v>137</v>
      </c>
      <c r="C329" t="s">
        <v>139</v>
      </c>
      <c r="D329" s="1">
        <v>13840</v>
      </c>
    </row>
    <row r="330" spans="1:4" x14ac:dyDescent="0.2">
      <c r="A330" t="s">
        <v>119</v>
      </c>
      <c r="B330" t="s">
        <v>141</v>
      </c>
      <c r="C330" t="s">
        <v>138</v>
      </c>
      <c r="D330" s="1">
        <v>13050</v>
      </c>
    </row>
    <row r="331" spans="1:4" x14ac:dyDescent="0.2">
      <c r="A331" t="s">
        <v>119</v>
      </c>
      <c r="B331" t="s">
        <v>137</v>
      </c>
      <c r="C331" t="s">
        <v>139</v>
      </c>
      <c r="D331" s="1">
        <v>13550</v>
      </c>
    </row>
    <row r="332" spans="1:4" x14ac:dyDescent="0.2">
      <c r="A332" t="s">
        <v>119</v>
      </c>
      <c r="B332" t="s">
        <v>137</v>
      </c>
      <c r="C332" t="s">
        <v>139</v>
      </c>
      <c r="D332" s="1">
        <v>4520</v>
      </c>
    </row>
    <row r="333" spans="1:4" x14ac:dyDescent="0.2">
      <c r="A333" t="s">
        <v>119</v>
      </c>
      <c r="B333" t="s">
        <v>137</v>
      </c>
      <c r="C333" t="s">
        <v>139</v>
      </c>
      <c r="D333" s="1">
        <v>4540</v>
      </c>
    </row>
    <row r="334" spans="1:4" x14ac:dyDescent="0.2">
      <c r="A334" t="s">
        <v>119</v>
      </c>
      <c r="B334" t="s">
        <v>141</v>
      </c>
      <c r="C334" t="s">
        <v>138</v>
      </c>
      <c r="D334" s="1">
        <v>13150</v>
      </c>
    </row>
    <row r="335" spans="1:4" x14ac:dyDescent="0.2">
      <c r="A335" t="s">
        <v>119</v>
      </c>
      <c r="B335" t="s">
        <v>141</v>
      </c>
      <c r="C335" t="s">
        <v>138</v>
      </c>
      <c r="D335" s="1">
        <v>13190</v>
      </c>
    </row>
    <row r="336" spans="1:4" x14ac:dyDescent="0.2">
      <c r="A336" t="s">
        <v>119</v>
      </c>
      <c r="B336" t="s">
        <v>137</v>
      </c>
      <c r="C336" t="s">
        <v>139</v>
      </c>
      <c r="D336" s="1">
        <v>4470</v>
      </c>
    </row>
    <row r="337" spans="1:4" x14ac:dyDescent="0.2">
      <c r="A337" t="s">
        <v>119</v>
      </c>
      <c r="B337" t="s">
        <v>141</v>
      </c>
      <c r="C337" t="s">
        <v>138</v>
      </c>
      <c r="D337" s="1">
        <v>8830</v>
      </c>
    </row>
    <row r="338" spans="1:4" x14ac:dyDescent="0.2">
      <c r="A338" t="s">
        <v>119</v>
      </c>
      <c r="B338" t="s">
        <v>137</v>
      </c>
      <c r="C338" t="s">
        <v>139</v>
      </c>
      <c r="D338" s="1">
        <v>8940</v>
      </c>
    </row>
    <row r="339" spans="1:4" x14ac:dyDescent="0.2">
      <c r="A339" t="s">
        <v>119</v>
      </c>
      <c r="B339" t="s">
        <v>137</v>
      </c>
      <c r="C339" t="s">
        <v>139</v>
      </c>
      <c r="D339" s="1">
        <v>4410</v>
      </c>
    </row>
    <row r="340" spans="1:4" x14ac:dyDescent="0.2">
      <c r="A340" t="s">
        <v>120</v>
      </c>
      <c r="B340" t="s">
        <v>141</v>
      </c>
      <c r="C340" t="s">
        <v>138</v>
      </c>
      <c r="D340" s="1">
        <v>13190</v>
      </c>
    </row>
    <row r="341" spans="1:4" x14ac:dyDescent="0.2">
      <c r="A341" t="s">
        <v>120</v>
      </c>
      <c r="B341" t="s">
        <v>137</v>
      </c>
      <c r="C341" t="s">
        <v>139</v>
      </c>
      <c r="D341" s="1">
        <v>4470</v>
      </c>
    </row>
    <row r="342" spans="1:4" x14ac:dyDescent="0.2">
      <c r="A342" t="s">
        <v>120</v>
      </c>
      <c r="B342" t="s">
        <v>137</v>
      </c>
      <c r="C342" t="s">
        <v>139</v>
      </c>
      <c r="D342" s="1">
        <v>4440</v>
      </c>
    </row>
    <row r="343" spans="1:4" x14ac:dyDescent="0.2">
      <c r="A343" t="s">
        <v>120</v>
      </c>
      <c r="B343" t="s">
        <v>141</v>
      </c>
      <c r="C343" t="s">
        <v>138</v>
      </c>
      <c r="D343" s="1">
        <v>12810</v>
      </c>
    </row>
    <row r="344" spans="1:4" x14ac:dyDescent="0.2">
      <c r="A344" t="s">
        <v>120</v>
      </c>
      <c r="B344" t="s">
        <v>141</v>
      </c>
      <c r="C344" t="s">
        <v>138</v>
      </c>
      <c r="D344" s="1">
        <v>12750</v>
      </c>
    </row>
    <row r="345" spans="1:4" x14ac:dyDescent="0.2">
      <c r="A345" t="s">
        <v>120</v>
      </c>
      <c r="B345" t="s">
        <v>137</v>
      </c>
      <c r="C345" t="s">
        <v>139</v>
      </c>
      <c r="D345" s="1">
        <v>4500</v>
      </c>
    </row>
    <row r="346" spans="1:4" x14ac:dyDescent="0.2">
      <c r="A346" t="s">
        <v>120</v>
      </c>
      <c r="B346" t="s">
        <v>141</v>
      </c>
      <c r="C346" t="s">
        <v>138</v>
      </c>
      <c r="D346" s="1">
        <v>12790</v>
      </c>
    </row>
    <row r="347" spans="1:4" x14ac:dyDescent="0.2">
      <c r="A347" t="s">
        <v>120</v>
      </c>
      <c r="B347" t="s">
        <v>137</v>
      </c>
      <c r="C347" t="s">
        <v>139</v>
      </c>
      <c r="D347" s="1">
        <v>4320</v>
      </c>
    </row>
    <row r="348" spans="1:4" x14ac:dyDescent="0.2">
      <c r="A348" t="s">
        <v>120</v>
      </c>
      <c r="B348" t="s">
        <v>141</v>
      </c>
      <c r="C348" t="s">
        <v>138</v>
      </c>
      <c r="D348" s="1">
        <v>12890</v>
      </c>
    </row>
    <row r="349" spans="1:4" x14ac:dyDescent="0.2">
      <c r="A349" t="s">
        <v>120</v>
      </c>
      <c r="B349" t="s">
        <v>141</v>
      </c>
      <c r="C349" t="s">
        <v>138</v>
      </c>
      <c r="D349" s="1">
        <v>12670</v>
      </c>
    </row>
    <row r="350" spans="1:4" x14ac:dyDescent="0.2">
      <c r="A350" t="s">
        <v>120</v>
      </c>
      <c r="B350" t="s">
        <v>141</v>
      </c>
      <c r="C350" t="s">
        <v>138</v>
      </c>
      <c r="D350" s="1">
        <v>12830</v>
      </c>
    </row>
    <row r="351" spans="1:4" x14ac:dyDescent="0.2">
      <c r="A351" t="s">
        <v>120</v>
      </c>
      <c r="B351" t="s">
        <v>137</v>
      </c>
      <c r="C351" t="s">
        <v>139</v>
      </c>
      <c r="D351" s="1">
        <v>9170</v>
      </c>
    </row>
    <row r="352" spans="1:4" x14ac:dyDescent="0.2">
      <c r="A352" t="s">
        <v>120</v>
      </c>
      <c r="B352" t="s">
        <v>141</v>
      </c>
      <c r="C352" t="s">
        <v>138</v>
      </c>
      <c r="D352" s="1">
        <v>12870</v>
      </c>
    </row>
    <row r="353" spans="1:4" x14ac:dyDescent="0.2">
      <c r="A353" t="s">
        <v>120</v>
      </c>
      <c r="B353" t="s">
        <v>137</v>
      </c>
      <c r="C353" t="s">
        <v>139</v>
      </c>
      <c r="D353" s="1">
        <v>4600</v>
      </c>
    </row>
    <row r="354" spans="1:4" x14ac:dyDescent="0.2">
      <c r="A354" t="s">
        <v>120</v>
      </c>
      <c r="B354" t="s">
        <v>141</v>
      </c>
      <c r="C354" t="s">
        <v>138</v>
      </c>
      <c r="D354" s="1">
        <v>13140</v>
      </c>
    </row>
    <row r="355" spans="1:4" x14ac:dyDescent="0.2">
      <c r="A355" t="s">
        <v>120</v>
      </c>
      <c r="B355" t="s">
        <v>141</v>
      </c>
      <c r="C355" t="s">
        <v>138</v>
      </c>
      <c r="D355" s="1">
        <v>13140</v>
      </c>
    </row>
    <row r="356" spans="1:4" x14ac:dyDescent="0.2">
      <c r="A356" t="s">
        <v>120</v>
      </c>
      <c r="B356" t="s">
        <v>141</v>
      </c>
      <c r="C356" t="s">
        <v>138</v>
      </c>
      <c r="D356" s="1">
        <v>16020</v>
      </c>
    </row>
    <row r="357" spans="1:4" x14ac:dyDescent="0.2">
      <c r="A357" t="s">
        <v>120</v>
      </c>
      <c r="B357" t="s">
        <v>137</v>
      </c>
      <c r="C357" t="s">
        <v>139</v>
      </c>
      <c r="D357" s="1">
        <v>9200</v>
      </c>
    </row>
    <row r="358" spans="1:4" x14ac:dyDescent="0.2">
      <c r="A358" t="s">
        <v>120</v>
      </c>
      <c r="B358" t="s">
        <v>137</v>
      </c>
      <c r="C358" t="s">
        <v>139</v>
      </c>
      <c r="D358" s="1">
        <v>4600</v>
      </c>
    </row>
    <row r="359" spans="1:4" x14ac:dyDescent="0.2">
      <c r="A359" t="s">
        <v>120</v>
      </c>
      <c r="B359" t="s">
        <v>141</v>
      </c>
      <c r="C359" t="s">
        <v>138</v>
      </c>
      <c r="D359" s="1">
        <v>13260</v>
      </c>
    </row>
    <row r="360" spans="1:4" x14ac:dyDescent="0.2">
      <c r="A360" t="s">
        <v>120</v>
      </c>
      <c r="B360" t="s">
        <v>141</v>
      </c>
      <c r="C360" t="s">
        <v>138</v>
      </c>
      <c r="D360" s="1">
        <v>13090</v>
      </c>
    </row>
    <row r="361" spans="1:4" x14ac:dyDescent="0.2">
      <c r="A361" t="s">
        <v>120</v>
      </c>
      <c r="B361" t="s">
        <v>141</v>
      </c>
      <c r="C361" t="s">
        <v>138</v>
      </c>
      <c r="D361" s="1">
        <v>13440</v>
      </c>
    </row>
    <row r="362" spans="1:4" x14ac:dyDescent="0.2">
      <c r="A362" t="s">
        <v>120</v>
      </c>
      <c r="B362" t="s">
        <v>137</v>
      </c>
      <c r="C362" t="s">
        <v>139</v>
      </c>
      <c r="D362" s="1">
        <v>9180</v>
      </c>
    </row>
    <row r="363" spans="1:4" x14ac:dyDescent="0.2">
      <c r="A363" t="s">
        <v>120</v>
      </c>
      <c r="B363" t="s">
        <v>137</v>
      </c>
      <c r="C363" t="s">
        <v>139</v>
      </c>
      <c r="D363" s="1">
        <v>4530</v>
      </c>
    </row>
    <row r="364" spans="1:4" x14ac:dyDescent="0.2">
      <c r="A364" t="s">
        <v>120</v>
      </c>
      <c r="B364" t="s">
        <v>141</v>
      </c>
      <c r="C364" t="s">
        <v>138</v>
      </c>
      <c r="D364" s="1">
        <v>13330</v>
      </c>
    </row>
    <row r="365" spans="1:4" x14ac:dyDescent="0.2">
      <c r="A365" t="s">
        <v>120</v>
      </c>
      <c r="B365" t="s">
        <v>141</v>
      </c>
      <c r="C365" t="s">
        <v>138</v>
      </c>
      <c r="D365" s="1">
        <v>13200</v>
      </c>
    </row>
    <row r="366" spans="1:4" x14ac:dyDescent="0.2">
      <c r="A366" t="s">
        <v>121</v>
      </c>
      <c r="B366" t="s">
        <v>141</v>
      </c>
      <c r="C366" t="s">
        <v>138</v>
      </c>
      <c r="D366" s="1">
        <v>13090</v>
      </c>
    </row>
    <row r="367" spans="1:4" x14ac:dyDescent="0.2">
      <c r="A367" t="s">
        <v>121</v>
      </c>
      <c r="B367" t="s">
        <v>137</v>
      </c>
      <c r="C367" t="s">
        <v>139</v>
      </c>
      <c r="D367" s="1">
        <v>9140</v>
      </c>
    </row>
    <row r="368" spans="1:4" x14ac:dyDescent="0.2">
      <c r="A368" t="s">
        <v>121</v>
      </c>
      <c r="B368" t="s">
        <v>141</v>
      </c>
      <c r="C368" t="s">
        <v>138</v>
      </c>
      <c r="D368" s="1">
        <v>12870</v>
      </c>
    </row>
    <row r="369" spans="1:4" x14ac:dyDescent="0.2">
      <c r="A369" t="s">
        <v>121</v>
      </c>
      <c r="B369" t="s">
        <v>141</v>
      </c>
      <c r="C369" t="s">
        <v>138</v>
      </c>
      <c r="D369" s="1">
        <v>12800</v>
      </c>
    </row>
    <row r="370" spans="1:4" x14ac:dyDescent="0.2">
      <c r="A370" t="s">
        <v>121</v>
      </c>
      <c r="B370" t="s">
        <v>137</v>
      </c>
      <c r="C370" t="s">
        <v>139</v>
      </c>
      <c r="D370" s="1">
        <v>4690</v>
      </c>
    </row>
    <row r="371" spans="1:4" x14ac:dyDescent="0.2">
      <c r="A371" t="s">
        <v>121</v>
      </c>
      <c r="B371" t="s">
        <v>141</v>
      </c>
      <c r="C371" t="s">
        <v>138</v>
      </c>
      <c r="D371" s="1">
        <v>12810</v>
      </c>
    </row>
    <row r="372" spans="1:4" x14ac:dyDescent="0.2">
      <c r="A372" t="s">
        <v>121</v>
      </c>
      <c r="B372" t="s">
        <v>141</v>
      </c>
      <c r="C372" t="s">
        <v>138</v>
      </c>
      <c r="D372" s="1">
        <v>12780</v>
      </c>
    </row>
    <row r="373" spans="1:4" x14ac:dyDescent="0.2">
      <c r="A373" t="s">
        <v>121</v>
      </c>
      <c r="B373" t="s">
        <v>141</v>
      </c>
      <c r="C373" t="s">
        <v>138</v>
      </c>
      <c r="D373" s="1">
        <v>12960</v>
      </c>
    </row>
    <row r="374" spans="1:4" x14ac:dyDescent="0.2">
      <c r="A374" t="s">
        <v>121</v>
      </c>
      <c r="B374" t="s">
        <v>137</v>
      </c>
      <c r="C374" t="s">
        <v>139</v>
      </c>
      <c r="D374" s="1">
        <v>11140</v>
      </c>
    </row>
    <row r="375" spans="1:4" x14ac:dyDescent="0.2">
      <c r="A375" t="s">
        <v>121</v>
      </c>
      <c r="B375" t="s">
        <v>141</v>
      </c>
      <c r="C375" t="s">
        <v>138</v>
      </c>
      <c r="D375" s="1">
        <v>13070</v>
      </c>
    </row>
    <row r="376" spans="1:4" x14ac:dyDescent="0.2">
      <c r="A376" t="s">
        <v>121</v>
      </c>
      <c r="B376" t="s">
        <v>141</v>
      </c>
      <c r="C376" t="s">
        <v>138</v>
      </c>
      <c r="D376" s="1">
        <v>13130</v>
      </c>
    </row>
    <row r="377" spans="1:4" x14ac:dyDescent="0.2">
      <c r="A377" t="s">
        <v>121</v>
      </c>
      <c r="B377" t="s">
        <v>137</v>
      </c>
      <c r="C377" t="s">
        <v>139</v>
      </c>
      <c r="D377" s="1">
        <v>4550</v>
      </c>
    </row>
    <row r="378" spans="1:4" x14ac:dyDescent="0.2">
      <c r="A378" t="s">
        <v>121</v>
      </c>
      <c r="B378" t="s">
        <v>141</v>
      </c>
      <c r="C378" t="s">
        <v>138</v>
      </c>
      <c r="D378" s="1">
        <v>13290</v>
      </c>
    </row>
    <row r="379" spans="1:4" x14ac:dyDescent="0.2">
      <c r="A379" t="s">
        <v>121</v>
      </c>
      <c r="B379" t="s">
        <v>141</v>
      </c>
      <c r="C379" t="s">
        <v>138</v>
      </c>
      <c r="D379" s="1">
        <v>13230</v>
      </c>
    </row>
    <row r="380" spans="1:4" x14ac:dyDescent="0.2">
      <c r="A380" t="s">
        <v>121</v>
      </c>
      <c r="B380" t="s">
        <v>137</v>
      </c>
      <c r="C380" t="s">
        <v>139</v>
      </c>
      <c r="D380" s="1">
        <v>9100</v>
      </c>
    </row>
    <row r="381" spans="1:4" x14ac:dyDescent="0.2">
      <c r="A381" t="s">
        <v>121</v>
      </c>
      <c r="B381" t="s">
        <v>141</v>
      </c>
      <c r="C381" t="s">
        <v>138</v>
      </c>
      <c r="D381" s="1">
        <v>13140</v>
      </c>
    </row>
    <row r="382" spans="1:4" x14ac:dyDescent="0.2">
      <c r="A382" t="s">
        <v>121</v>
      </c>
      <c r="B382" t="s">
        <v>141</v>
      </c>
      <c r="C382" t="s">
        <v>138</v>
      </c>
      <c r="D382" s="1">
        <v>13230</v>
      </c>
    </row>
    <row r="383" spans="1:4" x14ac:dyDescent="0.2">
      <c r="A383" t="s">
        <v>121</v>
      </c>
      <c r="B383" t="s">
        <v>137</v>
      </c>
      <c r="C383" t="s">
        <v>139</v>
      </c>
      <c r="D383" s="1">
        <v>4570</v>
      </c>
    </row>
    <row r="384" spans="1:4" x14ac:dyDescent="0.2">
      <c r="A384" t="s">
        <v>121</v>
      </c>
      <c r="B384" t="s">
        <v>141</v>
      </c>
      <c r="C384" t="s">
        <v>139</v>
      </c>
      <c r="D384" s="1">
        <v>13480</v>
      </c>
    </row>
    <row r="385" spans="1:4" x14ac:dyDescent="0.2">
      <c r="A385" t="s">
        <v>121</v>
      </c>
      <c r="B385" t="s">
        <v>137</v>
      </c>
      <c r="C385" t="s">
        <v>139</v>
      </c>
      <c r="D385" s="1">
        <v>9060</v>
      </c>
    </row>
    <row r="386" spans="1:4" x14ac:dyDescent="0.2">
      <c r="A386" t="s">
        <v>121</v>
      </c>
      <c r="B386" t="s">
        <v>141</v>
      </c>
      <c r="C386" t="s">
        <v>139</v>
      </c>
      <c r="D386" s="1">
        <v>13390</v>
      </c>
    </row>
    <row r="387" spans="1:4" x14ac:dyDescent="0.2">
      <c r="A387" t="s">
        <v>121</v>
      </c>
      <c r="B387" t="s">
        <v>137</v>
      </c>
      <c r="C387" t="s">
        <v>139</v>
      </c>
      <c r="D387" s="1">
        <v>4530</v>
      </c>
    </row>
    <row r="388" spans="1:4" x14ac:dyDescent="0.2">
      <c r="A388" t="s">
        <v>121</v>
      </c>
      <c r="B388" t="s">
        <v>137</v>
      </c>
      <c r="C388" t="s">
        <v>139</v>
      </c>
      <c r="D388" s="1">
        <v>8970</v>
      </c>
    </row>
    <row r="389" spans="1:4" x14ac:dyDescent="0.2">
      <c r="A389" t="s">
        <v>121</v>
      </c>
      <c r="B389" t="s">
        <v>141</v>
      </c>
      <c r="C389" t="s">
        <v>139</v>
      </c>
      <c r="D389" s="1">
        <v>16590</v>
      </c>
    </row>
    <row r="390" spans="1:4" x14ac:dyDescent="0.2">
      <c r="A390" t="s">
        <v>122</v>
      </c>
      <c r="B390" t="s">
        <v>137</v>
      </c>
      <c r="C390" t="s">
        <v>139</v>
      </c>
      <c r="D390" s="1">
        <v>4510</v>
      </c>
    </row>
    <row r="391" spans="1:4" x14ac:dyDescent="0.2">
      <c r="A391" t="s">
        <v>122</v>
      </c>
      <c r="B391" t="s">
        <v>141</v>
      </c>
      <c r="C391" t="s">
        <v>139</v>
      </c>
      <c r="D391" s="1">
        <v>13080</v>
      </c>
    </row>
    <row r="392" spans="1:4" x14ac:dyDescent="0.2">
      <c r="A392" t="s">
        <v>122</v>
      </c>
      <c r="B392" t="s">
        <v>141</v>
      </c>
      <c r="C392" t="s">
        <v>139</v>
      </c>
      <c r="D392" s="1">
        <v>13050</v>
      </c>
    </row>
    <row r="393" spans="1:4" x14ac:dyDescent="0.2">
      <c r="A393" t="s">
        <v>122</v>
      </c>
      <c r="B393" t="s">
        <v>137</v>
      </c>
      <c r="C393" t="s">
        <v>139</v>
      </c>
      <c r="D393" s="1">
        <v>9190</v>
      </c>
    </row>
    <row r="394" spans="1:4" x14ac:dyDescent="0.2">
      <c r="A394" t="s">
        <v>122</v>
      </c>
      <c r="B394" t="s">
        <v>137</v>
      </c>
      <c r="C394" t="s">
        <v>139</v>
      </c>
      <c r="D394" s="1">
        <v>4510</v>
      </c>
    </row>
    <row r="395" spans="1:4" x14ac:dyDescent="0.2">
      <c r="A395" t="s">
        <v>122</v>
      </c>
      <c r="B395" t="s">
        <v>141</v>
      </c>
      <c r="C395" t="s">
        <v>139</v>
      </c>
      <c r="D395" s="1">
        <v>13040</v>
      </c>
    </row>
    <row r="396" spans="1:4" x14ac:dyDescent="0.2">
      <c r="A396" t="s">
        <v>122</v>
      </c>
      <c r="B396" t="str">
        <f>+B395</f>
        <v>Агролидер</v>
      </c>
      <c r="C396" t="s">
        <v>139</v>
      </c>
      <c r="D396" s="1">
        <v>13090</v>
      </c>
    </row>
    <row r="397" spans="1:4" x14ac:dyDescent="0.2">
      <c r="A397" t="s">
        <v>122</v>
      </c>
      <c r="B397" t="s">
        <v>137</v>
      </c>
      <c r="C397" t="s">
        <v>139</v>
      </c>
      <c r="D397" s="1">
        <v>8940</v>
      </c>
    </row>
    <row r="398" spans="1:4" x14ac:dyDescent="0.2">
      <c r="A398" t="s">
        <v>122</v>
      </c>
      <c r="B398" t="s">
        <v>137</v>
      </c>
      <c r="C398" t="s">
        <v>139</v>
      </c>
      <c r="D398" s="1">
        <v>13380</v>
      </c>
    </row>
    <row r="399" spans="1:4" x14ac:dyDescent="0.2">
      <c r="A399" t="s">
        <v>122</v>
      </c>
      <c r="B399" t="s">
        <v>137</v>
      </c>
      <c r="C399" t="s">
        <v>139</v>
      </c>
      <c r="D399" s="1">
        <v>7330</v>
      </c>
    </row>
    <row r="400" spans="1:4" x14ac:dyDescent="0.2">
      <c r="A400" t="s">
        <v>122</v>
      </c>
      <c r="B400" t="s">
        <v>141</v>
      </c>
      <c r="C400" t="s">
        <v>139</v>
      </c>
      <c r="D400" s="1">
        <v>12970</v>
      </c>
    </row>
    <row r="401" spans="1:4" x14ac:dyDescent="0.2">
      <c r="A401" t="s">
        <v>122</v>
      </c>
      <c r="B401" t="s">
        <v>137</v>
      </c>
      <c r="C401" t="s">
        <v>138</v>
      </c>
      <c r="D401" s="1">
        <v>4530</v>
      </c>
    </row>
    <row r="402" spans="1:4" x14ac:dyDescent="0.2">
      <c r="A402" t="s">
        <v>122</v>
      </c>
      <c r="B402" t="s">
        <v>141</v>
      </c>
      <c r="C402" t="s">
        <v>139</v>
      </c>
      <c r="D402" s="1">
        <v>13190</v>
      </c>
    </row>
    <row r="403" spans="1:4" x14ac:dyDescent="0.2">
      <c r="A403" t="s">
        <v>122</v>
      </c>
      <c r="B403" t="s">
        <v>137</v>
      </c>
      <c r="C403" t="s">
        <v>138</v>
      </c>
      <c r="D403" s="1">
        <v>4660</v>
      </c>
    </row>
    <row r="404" spans="1:4" x14ac:dyDescent="0.2">
      <c r="A404" t="s">
        <v>122</v>
      </c>
      <c r="B404" t="s">
        <v>137</v>
      </c>
      <c r="C404" t="s">
        <v>138</v>
      </c>
      <c r="D404" s="1">
        <v>4710</v>
      </c>
    </row>
    <row r="405" spans="1:4" x14ac:dyDescent="0.2">
      <c r="A405" t="s">
        <v>122</v>
      </c>
      <c r="B405" t="s">
        <v>137</v>
      </c>
      <c r="C405" t="s">
        <v>138</v>
      </c>
      <c r="D405" s="1">
        <v>9240</v>
      </c>
    </row>
    <row r="406" spans="1:4" x14ac:dyDescent="0.2">
      <c r="A406" t="s">
        <v>122</v>
      </c>
      <c r="B406" t="s">
        <v>141</v>
      </c>
      <c r="C406" t="s">
        <v>138</v>
      </c>
      <c r="D406" s="1">
        <v>16090</v>
      </c>
    </row>
    <row r="407" spans="1:4" x14ac:dyDescent="0.2">
      <c r="A407" t="s">
        <v>122</v>
      </c>
      <c r="B407" t="s">
        <v>137</v>
      </c>
      <c r="C407" t="s">
        <v>138</v>
      </c>
      <c r="D407" s="1">
        <v>9060</v>
      </c>
    </row>
    <row r="408" spans="1:4" x14ac:dyDescent="0.2">
      <c r="A408" t="s">
        <v>122</v>
      </c>
      <c r="B408" t="s">
        <v>137</v>
      </c>
      <c r="C408" t="s">
        <v>138</v>
      </c>
      <c r="D408" s="1">
        <v>4600</v>
      </c>
    </row>
    <row r="409" spans="1:4" x14ac:dyDescent="0.2">
      <c r="A409" t="s">
        <v>122</v>
      </c>
      <c r="B409" t="s">
        <v>137</v>
      </c>
      <c r="C409" t="s">
        <v>138</v>
      </c>
      <c r="D409" s="1">
        <v>9170</v>
      </c>
    </row>
    <row r="410" spans="1:4" x14ac:dyDescent="0.2">
      <c r="A410" t="s">
        <v>122</v>
      </c>
      <c r="B410" t="s">
        <v>141</v>
      </c>
      <c r="C410" t="s">
        <v>138</v>
      </c>
      <c r="D410" s="1">
        <v>9250</v>
      </c>
    </row>
    <row r="411" spans="1:4" x14ac:dyDescent="0.2">
      <c r="A411" t="s">
        <v>122</v>
      </c>
      <c r="B411" t="s">
        <v>137</v>
      </c>
      <c r="C411" t="s">
        <v>138</v>
      </c>
      <c r="D411" s="1">
        <v>13230</v>
      </c>
    </row>
    <row r="412" spans="1:4" x14ac:dyDescent="0.2">
      <c r="A412" t="s">
        <v>122</v>
      </c>
      <c r="B412" t="s">
        <v>137</v>
      </c>
      <c r="C412" t="s">
        <v>138</v>
      </c>
      <c r="D412" s="1">
        <v>4590</v>
      </c>
    </row>
    <row r="413" spans="1:4" x14ac:dyDescent="0.2">
      <c r="A413" t="s">
        <v>122</v>
      </c>
      <c r="B413" t="s">
        <v>137</v>
      </c>
      <c r="C413" t="s">
        <v>138</v>
      </c>
      <c r="D413" s="1">
        <v>17540</v>
      </c>
    </row>
    <row r="414" spans="1:4" x14ac:dyDescent="0.2">
      <c r="A414" t="s">
        <v>123</v>
      </c>
      <c r="B414" t="s">
        <v>137</v>
      </c>
      <c r="C414" t="s">
        <v>138</v>
      </c>
      <c r="D414" s="1">
        <v>17580</v>
      </c>
    </row>
    <row r="415" spans="1:4" x14ac:dyDescent="0.2">
      <c r="A415" t="s">
        <v>123</v>
      </c>
      <c r="B415" t="s">
        <v>137</v>
      </c>
      <c r="C415" t="s">
        <v>138</v>
      </c>
      <c r="D415" s="1">
        <v>4460</v>
      </c>
    </row>
    <row r="416" spans="1:4" x14ac:dyDescent="0.2">
      <c r="A416" t="s">
        <v>123</v>
      </c>
      <c r="B416" t="s">
        <v>137</v>
      </c>
      <c r="C416" t="s">
        <v>138</v>
      </c>
      <c r="D416" s="1">
        <v>17680</v>
      </c>
    </row>
    <row r="417" spans="1:4" x14ac:dyDescent="0.2">
      <c r="A417" t="s">
        <v>123</v>
      </c>
      <c r="B417" t="s">
        <v>141</v>
      </c>
      <c r="C417" t="s">
        <v>138</v>
      </c>
      <c r="D417" s="1">
        <v>8800</v>
      </c>
    </row>
    <row r="418" spans="1:4" x14ac:dyDescent="0.2">
      <c r="A418" t="s">
        <v>123</v>
      </c>
      <c r="B418" t="s">
        <v>137</v>
      </c>
      <c r="C418" t="s">
        <v>138</v>
      </c>
      <c r="D418" s="1">
        <v>4430</v>
      </c>
    </row>
    <row r="419" spans="1:4" x14ac:dyDescent="0.2">
      <c r="A419" t="s">
        <v>123</v>
      </c>
      <c r="B419" t="s">
        <v>141</v>
      </c>
      <c r="C419" t="s">
        <v>138</v>
      </c>
      <c r="D419" s="1">
        <v>8530</v>
      </c>
    </row>
    <row r="420" spans="1:4" x14ac:dyDescent="0.2">
      <c r="A420" t="s">
        <v>123</v>
      </c>
      <c r="B420" t="s">
        <v>137</v>
      </c>
      <c r="C420" t="s">
        <v>138</v>
      </c>
      <c r="D420" s="1">
        <v>17850</v>
      </c>
    </row>
    <row r="421" spans="1:4" x14ac:dyDescent="0.2">
      <c r="A421" t="s">
        <v>123</v>
      </c>
      <c r="B421" t="s">
        <v>137</v>
      </c>
      <c r="C421" t="s">
        <v>138</v>
      </c>
      <c r="D421" s="1">
        <v>18010</v>
      </c>
    </row>
    <row r="422" spans="1:4" x14ac:dyDescent="0.2">
      <c r="A422" t="s">
        <v>123</v>
      </c>
      <c r="B422" t="s">
        <v>141</v>
      </c>
      <c r="C422" t="s">
        <v>138</v>
      </c>
      <c r="D422" s="1">
        <v>8520</v>
      </c>
    </row>
    <row r="423" spans="1:4" x14ac:dyDescent="0.2">
      <c r="A423" t="s">
        <v>123</v>
      </c>
      <c r="B423" t="s">
        <v>137</v>
      </c>
      <c r="C423" t="s">
        <v>138</v>
      </c>
      <c r="D423" s="1">
        <v>13630</v>
      </c>
    </row>
    <row r="424" spans="1:4" x14ac:dyDescent="0.2">
      <c r="A424" t="s">
        <v>123</v>
      </c>
      <c r="B424" t="s">
        <v>141</v>
      </c>
      <c r="C424" t="s">
        <v>138</v>
      </c>
      <c r="D424" s="1">
        <v>8710</v>
      </c>
    </row>
    <row r="425" spans="1:4" x14ac:dyDescent="0.2">
      <c r="A425" t="s">
        <v>123</v>
      </c>
      <c r="B425" t="s">
        <v>137</v>
      </c>
      <c r="C425" t="s">
        <v>138</v>
      </c>
      <c r="D425" s="1">
        <v>10510</v>
      </c>
    </row>
    <row r="426" spans="1:4" x14ac:dyDescent="0.2">
      <c r="A426" t="s">
        <v>123</v>
      </c>
      <c r="B426" t="s">
        <v>141</v>
      </c>
      <c r="C426" t="s">
        <v>138</v>
      </c>
      <c r="D426" s="1">
        <v>8790</v>
      </c>
    </row>
    <row r="427" spans="1:4" x14ac:dyDescent="0.2">
      <c r="A427" t="s">
        <v>123</v>
      </c>
      <c r="B427" t="s">
        <v>141</v>
      </c>
      <c r="C427" t="s">
        <v>138</v>
      </c>
      <c r="D427" s="1">
        <v>8810</v>
      </c>
    </row>
    <row r="428" spans="1:4" x14ac:dyDescent="0.2">
      <c r="A428" t="s">
        <v>123</v>
      </c>
      <c r="B428" t="s">
        <v>137</v>
      </c>
      <c r="C428" t="s">
        <v>138</v>
      </c>
      <c r="D428" s="1">
        <v>10110</v>
      </c>
    </row>
    <row r="429" spans="1:4" x14ac:dyDescent="0.2">
      <c r="A429" t="s">
        <v>123</v>
      </c>
      <c r="B429" t="s">
        <v>137</v>
      </c>
      <c r="C429" t="s">
        <v>138</v>
      </c>
      <c r="D429" s="1">
        <v>13890</v>
      </c>
    </row>
    <row r="430" spans="1:4" x14ac:dyDescent="0.2">
      <c r="A430" t="s">
        <v>123</v>
      </c>
      <c r="B430" t="s">
        <v>141</v>
      </c>
      <c r="C430" t="s">
        <v>138</v>
      </c>
      <c r="D430" s="1">
        <v>8810</v>
      </c>
    </row>
    <row r="431" spans="1:4" x14ac:dyDescent="0.2">
      <c r="A431" t="s">
        <v>123</v>
      </c>
      <c r="B431" t="s">
        <v>141</v>
      </c>
      <c r="C431" t="s">
        <v>138</v>
      </c>
      <c r="D431" s="1">
        <v>8750</v>
      </c>
    </row>
    <row r="432" spans="1:4" x14ac:dyDescent="0.2">
      <c r="A432" t="s">
        <v>123</v>
      </c>
      <c r="B432" t="s">
        <v>137</v>
      </c>
      <c r="C432" t="s">
        <v>138</v>
      </c>
      <c r="D432" s="1">
        <v>8710</v>
      </c>
    </row>
    <row r="433" spans="1:4" x14ac:dyDescent="0.2">
      <c r="A433" t="s">
        <v>123</v>
      </c>
      <c r="B433" t="s">
        <v>142</v>
      </c>
      <c r="C433" t="s">
        <v>136</v>
      </c>
      <c r="D433" s="1">
        <v>13770</v>
      </c>
    </row>
    <row r="434" spans="1:4" x14ac:dyDescent="0.2">
      <c r="A434" t="s">
        <v>123</v>
      </c>
      <c r="B434" t="s">
        <v>137</v>
      </c>
      <c r="C434" t="s">
        <v>138</v>
      </c>
      <c r="D434" s="1">
        <v>6630</v>
      </c>
    </row>
    <row r="435" spans="1:4" x14ac:dyDescent="0.2">
      <c r="A435" t="s">
        <v>123</v>
      </c>
      <c r="B435" t="s">
        <v>142</v>
      </c>
      <c r="C435" t="s">
        <v>136</v>
      </c>
      <c r="D435" s="1">
        <v>13410</v>
      </c>
    </row>
    <row r="436" spans="1:4" x14ac:dyDescent="0.2">
      <c r="A436" t="s">
        <v>124</v>
      </c>
      <c r="B436" t="s">
        <v>142</v>
      </c>
      <c r="C436" t="s">
        <v>136</v>
      </c>
      <c r="D436" s="1">
        <v>13370</v>
      </c>
    </row>
    <row r="437" spans="1:4" x14ac:dyDescent="0.2">
      <c r="A437" t="s">
        <v>124</v>
      </c>
      <c r="B437" t="s">
        <v>137</v>
      </c>
      <c r="C437" t="s">
        <v>138</v>
      </c>
      <c r="D437" s="1">
        <v>8730</v>
      </c>
    </row>
    <row r="438" spans="1:4" x14ac:dyDescent="0.2">
      <c r="A438" t="s">
        <v>124</v>
      </c>
      <c r="B438" t="s">
        <v>141</v>
      </c>
      <c r="C438" t="s">
        <v>138</v>
      </c>
      <c r="D438" s="1">
        <v>13190</v>
      </c>
    </row>
    <row r="439" spans="1:4" x14ac:dyDescent="0.2">
      <c r="A439" t="s">
        <v>124</v>
      </c>
      <c r="B439" t="s">
        <v>137</v>
      </c>
      <c r="C439" t="s">
        <v>138</v>
      </c>
      <c r="D439" s="1">
        <v>2220</v>
      </c>
    </row>
    <row r="440" spans="1:4" x14ac:dyDescent="0.2">
      <c r="A440" t="s">
        <v>124</v>
      </c>
      <c r="B440" t="s">
        <v>141</v>
      </c>
      <c r="C440" t="s">
        <v>138</v>
      </c>
      <c r="D440" s="1">
        <v>12930</v>
      </c>
    </row>
    <row r="441" spans="1:4" x14ac:dyDescent="0.2">
      <c r="A441" t="s">
        <v>124</v>
      </c>
      <c r="B441" t="s">
        <v>142</v>
      </c>
      <c r="C441" t="s">
        <v>136</v>
      </c>
      <c r="D441" s="1">
        <v>13290</v>
      </c>
    </row>
    <row r="442" spans="1:4" x14ac:dyDescent="0.2">
      <c r="A442" t="s">
        <v>124</v>
      </c>
      <c r="B442" t="s">
        <v>141</v>
      </c>
      <c r="C442" t="s">
        <v>138</v>
      </c>
      <c r="D442" s="1">
        <v>12840</v>
      </c>
    </row>
    <row r="443" spans="1:4" x14ac:dyDescent="0.2">
      <c r="A443" t="s">
        <v>124</v>
      </c>
      <c r="B443" t="s">
        <v>137</v>
      </c>
      <c r="C443" t="s">
        <v>138</v>
      </c>
      <c r="D443" s="1">
        <v>12280</v>
      </c>
    </row>
    <row r="444" spans="1:4" x14ac:dyDescent="0.2">
      <c r="A444" t="s">
        <v>124</v>
      </c>
      <c r="B444" t="s">
        <v>141</v>
      </c>
      <c r="C444" t="s">
        <v>138</v>
      </c>
      <c r="D444" s="1">
        <v>12770</v>
      </c>
    </row>
    <row r="445" spans="1:4" x14ac:dyDescent="0.2">
      <c r="A445" t="s">
        <v>124</v>
      </c>
      <c r="B445" t="s">
        <v>142</v>
      </c>
      <c r="C445" t="s">
        <v>136</v>
      </c>
      <c r="D445" s="1">
        <v>13200</v>
      </c>
    </row>
    <row r="446" spans="1:4" x14ac:dyDescent="0.2">
      <c r="A446" t="s">
        <v>124</v>
      </c>
      <c r="B446" t="s">
        <v>137</v>
      </c>
      <c r="C446" t="s">
        <v>140</v>
      </c>
      <c r="D446" s="1">
        <v>4150</v>
      </c>
    </row>
    <row r="447" spans="1:4" x14ac:dyDescent="0.2">
      <c r="A447" t="s">
        <v>124</v>
      </c>
      <c r="B447" t="s">
        <v>137</v>
      </c>
      <c r="C447" t="s">
        <v>140</v>
      </c>
      <c r="D447" s="1">
        <v>4280</v>
      </c>
    </row>
    <row r="448" spans="1:4" x14ac:dyDescent="0.2">
      <c r="A448" t="s">
        <v>124</v>
      </c>
      <c r="B448" t="s">
        <v>141</v>
      </c>
      <c r="C448" t="s">
        <v>138</v>
      </c>
      <c r="D448" s="1">
        <v>13250</v>
      </c>
    </row>
    <row r="449" spans="1:4" x14ac:dyDescent="0.2">
      <c r="A449" t="s">
        <v>124</v>
      </c>
      <c r="B449" t="s">
        <v>137</v>
      </c>
      <c r="C449" t="s">
        <v>140</v>
      </c>
      <c r="D449" s="1">
        <v>3970</v>
      </c>
    </row>
    <row r="450" spans="1:4" x14ac:dyDescent="0.2">
      <c r="A450" t="s">
        <v>124</v>
      </c>
      <c r="B450" t="s">
        <v>137</v>
      </c>
      <c r="C450" t="s">
        <v>138</v>
      </c>
      <c r="D450" s="1">
        <v>13180</v>
      </c>
    </row>
    <row r="451" spans="1:4" x14ac:dyDescent="0.2">
      <c r="A451" t="s">
        <v>124</v>
      </c>
      <c r="B451" t="s">
        <v>141</v>
      </c>
      <c r="C451" t="s">
        <v>138</v>
      </c>
      <c r="D451" s="1">
        <v>13030</v>
      </c>
    </row>
    <row r="452" spans="1:4" x14ac:dyDescent="0.2">
      <c r="A452" t="s">
        <v>124</v>
      </c>
      <c r="B452" t="s">
        <v>137</v>
      </c>
      <c r="C452" t="s">
        <v>140</v>
      </c>
      <c r="D452" s="1">
        <v>4360</v>
      </c>
    </row>
    <row r="453" spans="1:4" x14ac:dyDescent="0.2">
      <c r="A453" t="s">
        <v>124</v>
      </c>
      <c r="B453" t="s">
        <v>137</v>
      </c>
      <c r="C453" t="s">
        <v>140</v>
      </c>
      <c r="D453" s="1">
        <v>4480</v>
      </c>
    </row>
    <row r="454" spans="1:4" x14ac:dyDescent="0.2">
      <c r="A454" t="s">
        <v>124</v>
      </c>
      <c r="B454" t="s">
        <v>141</v>
      </c>
      <c r="C454" t="s">
        <v>138</v>
      </c>
      <c r="D454" s="1">
        <v>13180</v>
      </c>
    </row>
    <row r="455" spans="1:4" x14ac:dyDescent="0.2">
      <c r="A455" t="s">
        <v>124</v>
      </c>
      <c r="B455" t="s">
        <v>141</v>
      </c>
      <c r="C455" t="s">
        <v>138</v>
      </c>
      <c r="D455" s="1">
        <v>13020</v>
      </c>
    </row>
    <row r="456" spans="1:4" x14ac:dyDescent="0.2">
      <c r="A456" t="s">
        <v>124</v>
      </c>
      <c r="B456" t="s">
        <v>141</v>
      </c>
      <c r="C456" t="s">
        <v>138</v>
      </c>
      <c r="D456" s="1">
        <v>13370</v>
      </c>
    </row>
    <row r="457" spans="1:4" x14ac:dyDescent="0.2">
      <c r="A457" t="s">
        <v>124</v>
      </c>
      <c r="B457" t="s">
        <v>142</v>
      </c>
      <c r="C457" t="s">
        <v>136</v>
      </c>
      <c r="D457" s="1">
        <v>12440</v>
      </c>
    </row>
    <row r="458" spans="1:4" x14ac:dyDescent="0.2">
      <c r="A458" t="s">
        <v>124</v>
      </c>
      <c r="B458" t="s">
        <v>141</v>
      </c>
      <c r="C458" t="s">
        <v>138</v>
      </c>
      <c r="D458" s="1">
        <v>13240</v>
      </c>
    </row>
    <row r="459" spans="1:4" x14ac:dyDescent="0.2">
      <c r="A459" t="s">
        <v>124</v>
      </c>
      <c r="B459" t="s">
        <v>141</v>
      </c>
      <c r="C459" t="s">
        <v>138</v>
      </c>
      <c r="D459" s="1">
        <v>12990</v>
      </c>
    </row>
    <row r="460" spans="1:4" x14ac:dyDescent="0.2">
      <c r="A460" t="s">
        <v>125</v>
      </c>
      <c r="B460" t="s">
        <v>142</v>
      </c>
      <c r="C460" t="s">
        <v>136</v>
      </c>
      <c r="D460" s="1">
        <v>14590</v>
      </c>
    </row>
    <row r="461" spans="1:4" x14ac:dyDescent="0.2">
      <c r="A461" t="s">
        <v>125</v>
      </c>
      <c r="B461" t="s">
        <v>142</v>
      </c>
      <c r="C461" t="s">
        <v>136</v>
      </c>
      <c r="D461" s="1">
        <v>13020</v>
      </c>
    </row>
    <row r="462" spans="1:4" x14ac:dyDescent="0.2">
      <c r="A462" t="s">
        <v>125</v>
      </c>
      <c r="B462" t="s">
        <v>142</v>
      </c>
      <c r="C462" t="s">
        <v>136</v>
      </c>
      <c r="D462" s="1">
        <v>12660</v>
      </c>
    </row>
    <row r="463" spans="1:4" x14ac:dyDescent="0.2">
      <c r="A463" t="s">
        <v>125</v>
      </c>
      <c r="B463" t="s">
        <v>142</v>
      </c>
      <c r="C463" t="s">
        <v>136</v>
      </c>
      <c r="D463" s="1">
        <v>8810</v>
      </c>
    </row>
    <row r="464" spans="1:4" x14ac:dyDescent="0.2">
      <c r="A464" t="s">
        <v>125</v>
      </c>
      <c r="B464" t="s">
        <v>142</v>
      </c>
      <c r="C464" t="s">
        <v>136</v>
      </c>
      <c r="D464" s="1">
        <v>13240</v>
      </c>
    </row>
    <row r="465" spans="1:4" x14ac:dyDescent="0.2">
      <c r="A465" t="s">
        <v>125</v>
      </c>
      <c r="B465" t="s">
        <v>142</v>
      </c>
      <c r="C465" t="s">
        <v>136</v>
      </c>
      <c r="D465" s="1">
        <v>13360</v>
      </c>
    </row>
    <row r="466" spans="1:4" x14ac:dyDescent="0.2">
      <c r="A466" t="s">
        <v>125</v>
      </c>
      <c r="B466" t="s">
        <v>142</v>
      </c>
      <c r="C466" t="s">
        <v>136</v>
      </c>
      <c r="D466" s="1">
        <v>14600</v>
      </c>
    </row>
    <row r="467" spans="1:4" x14ac:dyDescent="0.2">
      <c r="A467" t="s">
        <v>125</v>
      </c>
      <c r="B467" t="s">
        <v>141</v>
      </c>
      <c r="C467" t="s">
        <v>138</v>
      </c>
      <c r="D467" s="1">
        <v>15280</v>
      </c>
    </row>
    <row r="468" spans="1:4" x14ac:dyDescent="0.2">
      <c r="A468" t="s">
        <v>126</v>
      </c>
      <c r="B468" t="s">
        <v>142</v>
      </c>
      <c r="C468" t="s">
        <v>136</v>
      </c>
      <c r="D468" s="1">
        <v>14390</v>
      </c>
    </row>
    <row r="469" spans="1:4" x14ac:dyDescent="0.2">
      <c r="A469" t="s">
        <v>126</v>
      </c>
      <c r="B469" t="s">
        <v>142</v>
      </c>
      <c r="C469" t="s">
        <v>136</v>
      </c>
      <c r="D469" s="1">
        <v>11220</v>
      </c>
    </row>
    <row r="470" spans="1:4" x14ac:dyDescent="0.2">
      <c r="A470" t="s">
        <v>126</v>
      </c>
      <c r="B470" t="s">
        <v>141</v>
      </c>
      <c r="C470" t="s">
        <v>138</v>
      </c>
      <c r="D470" s="1">
        <v>15310</v>
      </c>
    </row>
    <row r="471" spans="1:4" x14ac:dyDescent="0.2">
      <c r="A471" t="s">
        <v>126</v>
      </c>
      <c r="B471" t="s">
        <v>141</v>
      </c>
      <c r="C471" t="s">
        <v>138</v>
      </c>
      <c r="D471" s="1">
        <v>15110</v>
      </c>
    </row>
    <row r="472" spans="1:4" x14ac:dyDescent="0.2">
      <c r="A472" t="s">
        <v>126</v>
      </c>
      <c r="B472" t="s">
        <v>141</v>
      </c>
      <c r="C472" t="s">
        <v>138</v>
      </c>
      <c r="D472" s="1">
        <v>15140</v>
      </c>
    </row>
    <row r="473" spans="1:4" x14ac:dyDescent="0.2">
      <c r="A473" t="s">
        <v>126</v>
      </c>
      <c r="B473" t="s">
        <v>142</v>
      </c>
      <c r="C473" t="s">
        <v>136</v>
      </c>
      <c r="D473" s="1">
        <v>14540</v>
      </c>
    </row>
    <row r="474" spans="1:4" x14ac:dyDescent="0.2">
      <c r="A474" t="s">
        <v>126</v>
      </c>
      <c r="B474" t="s">
        <v>142</v>
      </c>
      <c r="C474" t="s">
        <v>138</v>
      </c>
      <c r="D474" s="1">
        <v>13760</v>
      </c>
    </row>
    <row r="475" spans="1:4" x14ac:dyDescent="0.2">
      <c r="A475" t="s">
        <v>126</v>
      </c>
      <c r="B475" t="s">
        <v>142</v>
      </c>
      <c r="C475" t="s">
        <v>138</v>
      </c>
      <c r="D475" s="1">
        <v>13530</v>
      </c>
    </row>
    <row r="476" spans="1:4" x14ac:dyDescent="0.2">
      <c r="A476" t="s">
        <v>126</v>
      </c>
      <c r="B476" t="s">
        <v>142</v>
      </c>
      <c r="C476" t="s">
        <v>138</v>
      </c>
      <c r="D476" s="1">
        <v>13550</v>
      </c>
    </row>
    <row r="477" spans="1:4" x14ac:dyDescent="0.2">
      <c r="A477" t="s">
        <v>126</v>
      </c>
      <c r="B477" t="s">
        <v>142</v>
      </c>
      <c r="C477" t="s">
        <v>138</v>
      </c>
      <c r="D477" s="1">
        <v>13280</v>
      </c>
    </row>
    <row r="478" spans="1:4" x14ac:dyDescent="0.2">
      <c r="A478" t="s">
        <v>126</v>
      </c>
      <c r="B478" t="s">
        <v>142</v>
      </c>
      <c r="C478" t="s">
        <v>138</v>
      </c>
      <c r="D478" s="1">
        <v>13290</v>
      </c>
    </row>
    <row r="479" spans="1:4" x14ac:dyDescent="0.2">
      <c r="A479" t="s">
        <v>126</v>
      </c>
      <c r="B479" t="s">
        <v>142</v>
      </c>
      <c r="C479" t="s">
        <v>138</v>
      </c>
      <c r="D479" s="1">
        <v>13570</v>
      </c>
    </row>
    <row r="480" spans="1:4" x14ac:dyDescent="0.2">
      <c r="A480" t="s">
        <v>126</v>
      </c>
      <c r="B480" t="s">
        <v>142</v>
      </c>
      <c r="C480" t="s">
        <v>138</v>
      </c>
      <c r="D480" s="1">
        <v>13020</v>
      </c>
    </row>
    <row r="481" spans="1:4" x14ac:dyDescent="0.2">
      <c r="A481" t="s">
        <v>127</v>
      </c>
      <c r="B481" t="s">
        <v>142</v>
      </c>
      <c r="C481" t="s">
        <v>138</v>
      </c>
      <c r="D481" s="1">
        <v>12950</v>
      </c>
    </row>
    <row r="482" spans="1:4" x14ac:dyDescent="0.2">
      <c r="A482" t="s">
        <v>127</v>
      </c>
      <c r="B482" t="s">
        <v>142</v>
      </c>
      <c r="C482" t="s">
        <v>138</v>
      </c>
      <c r="D482" s="1">
        <v>12710</v>
      </c>
    </row>
    <row r="483" spans="1:4" x14ac:dyDescent="0.2">
      <c r="A483" t="s">
        <v>127</v>
      </c>
      <c r="B483" t="s">
        <v>142</v>
      </c>
      <c r="C483" t="s">
        <v>138</v>
      </c>
      <c r="D483" s="1">
        <v>12910</v>
      </c>
    </row>
    <row r="484" spans="1:4" x14ac:dyDescent="0.2">
      <c r="A484" t="s">
        <v>127</v>
      </c>
      <c r="B484" t="s">
        <v>142</v>
      </c>
      <c r="C484" t="s">
        <v>138</v>
      </c>
      <c r="D484" s="1">
        <v>12770</v>
      </c>
    </row>
    <row r="485" spans="1:4" x14ac:dyDescent="0.2">
      <c r="A485" t="s">
        <v>127</v>
      </c>
      <c r="B485" t="s">
        <v>142</v>
      </c>
      <c r="C485" t="s">
        <v>138</v>
      </c>
      <c r="D485" s="1">
        <v>12710</v>
      </c>
    </row>
    <row r="486" spans="1:4" x14ac:dyDescent="0.2">
      <c r="A486" t="s">
        <v>127</v>
      </c>
      <c r="B486" t="s">
        <v>142</v>
      </c>
      <c r="C486" t="s">
        <v>138</v>
      </c>
      <c r="D486" s="1">
        <v>12870</v>
      </c>
    </row>
    <row r="487" spans="1:4" x14ac:dyDescent="0.2">
      <c r="A487" t="s">
        <v>127</v>
      </c>
      <c r="B487" t="s">
        <v>142</v>
      </c>
      <c r="C487" t="s">
        <v>138</v>
      </c>
      <c r="D487" s="1">
        <v>12690</v>
      </c>
    </row>
    <row r="488" spans="1:4" x14ac:dyDescent="0.2">
      <c r="A488" t="s">
        <v>127</v>
      </c>
      <c r="B488" t="s">
        <v>142</v>
      </c>
      <c r="C488" t="s">
        <v>138</v>
      </c>
      <c r="D488" s="1">
        <v>12760</v>
      </c>
    </row>
    <row r="489" spans="1:4" x14ac:dyDescent="0.2">
      <c r="A489" t="s">
        <v>127</v>
      </c>
      <c r="B489" t="s">
        <v>142</v>
      </c>
      <c r="C489" t="s">
        <v>138</v>
      </c>
      <c r="D489" s="1">
        <v>13220</v>
      </c>
    </row>
    <row r="490" spans="1:4" x14ac:dyDescent="0.2">
      <c r="A490" t="s">
        <v>127</v>
      </c>
      <c r="B490" t="s">
        <v>142</v>
      </c>
      <c r="C490" t="s">
        <v>138</v>
      </c>
      <c r="D490" s="1">
        <v>12710</v>
      </c>
    </row>
    <row r="491" spans="1:4" x14ac:dyDescent="0.2">
      <c r="A491" t="s">
        <v>127</v>
      </c>
      <c r="B491" t="s">
        <v>142</v>
      </c>
      <c r="C491" t="s">
        <v>138</v>
      </c>
      <c r="D491" s="1">
        <v>12760</v>
      </c>
    </row>
    <row r="492" spans="1:4" x14ac:dyDescent="0.2">
      <c r="A492" t="s">
        <v>127</v>
      </c>
      <c r="B492" t="s">
        <v>142</v>
      </c>
      <c r="C492" t="s">
        <v>138</v>
      </c>
      <c r="D492" s="1">
        <v>12910</v>
      </c>
    </row>
    <row r="493" spans="1:4" x14ac:dyDescent="0.2">
      <c r="A493" t="s">
        <v>127</v>
      </c>
      <c r="B493" t="s">
        <v>142</v>
      </c>
      <c r="C493" t="s">
        <v>138</v>
      </c>
      <c r="D493" s="1">
        <v>13350</v>
      </c>
    </row>
    <row r="494" spans="1:4" x14ac:dyDescent="0.2">
      <c r="A494" t="s">
        <v>127</v>
      </c>
      <c r="B494" t="s">
        <v>142</v>
      </c>
      <c r="C494" t="s">
        <v>138</v>
      </c>
      <c r="D494" s="1">
        <v>12880</v>
      </c>
    </row>
    <row r="495" spans="1:4" x14ac:dyDescent="0.2">
      <c r="A495" t="s">
        <v>127</v>
      </c>
      <c r="B495" t="s">
        <v>142</v>
      </c>
      <c r="C495" t="s">
        <v>138</v>
      </c>
      <c r="D495" s="1">
        <v>13010</v>
      </c>
    </row>
    <row r="496" spans="1:4" x14ac:dyDescent="0.2">
      <c r="A496" t="s">
        <v>127</v>
      </c>
      <c r="B496" t="s">
        <v>142</v>
      </c>
      <c r="C496" t="s">
        <v>138</v>
      </c>
      <c r="D496" s="1">
        <v>13530</v>
      </c>
    </row>
    <row r="497" spans="1:4" x14ac:dyDescent="0.2">
      <c r="A497" t="s">
        <v>127</v>
      </c>
      <c r="B497" t="s">
        <v>142</v>
      </c>
      <c r="C497" t="s">
        <v>138</v>
      </c>
      <c r="D497" s="1">
        <v>12940</v>
      </c>
    </row>
    <row r="498" spans="1:4" x14ac:dyDescent="0.2">
      <c r="A498" t="s">
        <v>127</v>
      </c>
      <c r="B498" t="s">
        <v>142</v>
      </c>
      <c r="C498" t="s">
        <v>138</v>
      </c>
      <c r="D498" s="1">
        <v>13030</v>
      </c>
    </row>
    <row r="499" spans="1:4" x14ac:dyDescent="0.2">
      <c r="A499" t="s">
        <v>127</v>
      </c>
      <c r="B499" t="s">
        <v>142</v>
      </c>
      <c r="C499" t="s">
        <v>138</v>
      </c>
      <c r="D499" s="1">
        <v>13220</v>
      </c>
    </row>
    <row r="500" spans="1:4" x14ac:dyDescent="0.2">
      <c r="A500" t="s">
        <v>127</v>
      </c>
      <c r="B500" t="s">
        <v>142</v>
      </c>
      <c r="C500" t="s">
        <v>138</v>
      </c>
      <c r="D500" s="1">
        <v>13040</v>
      </c>
    </row>
    <row r="501" spans="1:4" x14ac:dyDescent="0.2">
      <c r="A501" t="s">
        <v>127</v>
      </c>
      <c r="B501" t="s">
        <v>142</v>
      </c>
      <c r="C501" t="s">
        <v>138</v>
      </c>
      <c r="D501" s="1">
        <v>12100</v>
      </c>
    </row>
    <row r="502" spans="1:4" x14ac:dyDescent="0.2">
      <c r="A502" t="s">
        <v>128</v>
      </c>
      <c r="B502" t="s">
        <v>142</v>
      </c>
      <c r="C502" t="s">
        <v>138</v>
      </c>
      <c r="D502" s="1">
        <v>12830</v>
      </c>
    </row>
    <row r="503" spans="1:4" x14ac:dyDescent="0.2">
      <c r="A503" t="s">
        <v>128</v>
      </c>
      <c r="B503" t="s">
        <v>142</v>
      </c>
      <c r="C503" t="s">
        <v>138</v>
      </c>
      <c r="D503" s="1">
        <v>13090</v>
      </c>
    </row>
    <row r="504" spans="1:4" x14ac:dyDescent="0.2">
      <c r="A504" t="s">
        <v>128</v>
      </c>
      <c r="B504" t="s">
        <v>142</v>
      </c>
      <c r="C504" t="s">
        <v>138</v>
      </c>
      <c r="D504" s="1">
        <v>12860</v>
      </c>
    </row>
    <row r="505" spans="1:4" x14ac:dyDescent="0.2">
      <c r="A505" t="s">
        <v>128</v>
      </c>
      <c r="B505" t="s">
        <v>142</v>
      </c>
      <c r="C505" t="s">
        <v>138</v>
      </c>
      <c r="D505" s="1">
        <v>12850</v>
      </c>
    </row>
    <row r="506" spans="1:4" x14ac:dyDescent="0.2">
      <c r="A506" t="s">
        <v>128</v>
      </c>
      <c r="B506" t="s">
        <v>142</v>
      </c>
      <c r="C506" t="s">
        <v>138</v>
      </c>
      <c r="D506" s="1">
        <v>12870</v>
      </c>
    </row>
    <row r="507" spans="1:4" x14ac:dyDescent="0.2">
      <c r="A507" t="s">
        <v>128</v>
      </c>
      <c r="B507" t="s">
        <v>142</v>
      </c>
      <c r="C507" t="s">
        <v>138</v>
      </c>
      <c r="D507" s="1">
        <v>12730</v>
      </c>
    </row>
    <row r="508" spans="1:4" x14ac:dyDescent="0.2">
      <c r="A508" t="s">
        <v>128</v>
      </c>
      <c r="B508" t="s">
        <v>142</v>
      </c>
      <c r="C508" t="s">
        <v>138</v>
      </c>
      <c r="D508" s="1">
        <v>12800</v>
      </c>
    </row>
    <row r="509" spans="1:4" x14ac:dyDescent="0.2">
      <c r="A509" t="s">
        <v>128</v>
      </c>
      <c r="B509" t="s">
        <v>142</v>
      </c>
      <c r="C509" t="s">
        <v>138</v>
      </c>
      <c r="D509" s="1">
        <v>13140</v>
      </c>
    </row>
    <row r="510" spans="1:4" x14ac:dyDescent="0.2">
      <c r="A510" t="s">
        <v>128</v>
      </c>
      <c r="B510" t="s">
        <v>142</v>
      </c>
      <c r="C510" t="s">
        <v>138</v>
      </c>
      <c r="D510" s="1">
        <v>12830</v>
      </c>
    </row>
    <row r="511" spans="1:4" x14ac:dyDescent="0.2">
      <c r="A511" t="s">
        <v>128</v>
      </c>
      <c r="B511" t="s">
        <v>137</v>
      </c>
      <c r="C511" t="s">
        <v>135</v>
      </c>
      <c r="D511" s="1">
        <v>4490</v>
      </c>
    </row>
    <row r="512" spans="1:4" x14ac:dyDescent="0.2">
      <c r="A512" t="s">
        <v>128</v>
      </c>
      <c r="B512" t="s">
        <v>142</v>
      </c>
      <c r="C512" t="s">
        <v>138</v>
      </c>
      <c r="D512" s="1">
        <v>12820</v>
      </c>
    </row>
    <row r="513" spans="1:4" x14ac:dyDescent="0.2">
      <c r="A513" t="s">
        <v>128</v>
      </c>
      <c r="B513" t="s">
        <v>142</v>
      </c>
      <c r="C513" t="s">
        <v>138</v>
      </c>
      <c r="D513" s="1">
        <v>12730</v>
      </c>
    </row>
    <row r="514" spans="1:4" x14ac:dyDescent="0.2">
      <c r="A514" t="s">
        <v>128</v>
      </c>
      <c r="B514" t="s">
        <v>137</v>
      </c>
      <c r="C514" t="s">
        <v>135</v>
      </c>
      <c r="D514" s="1">
        <v>3910</v>
      </c>
    </row>
    <row r="515" spans="1:4" x14ac:dyDescent="0.2">
      <c r="A515" t="s">
        <v>128</v>
      </c>
      <c r="B515" t="s">
        <v>142</v>
      </c>
      <c r="C515" t="s">
        <v>138</v>
      </c>
      <c r="D515" s="1">
        <v>13180</v>
      </c>
    </row>
    <row r="516" spans="1:4" x14ac:dyDescent="0.2">
      <c r="A516" t="s">
        <v>128</v>
      </c>
      <c r="B516" t="s">
        <v>142</v>
      </c>
      <c r="C516" t="s">
        <v>138</v>
      </c>
      <c r="D516" s="1">
        <v>12730</v>
      </c>
    </row>
    <row r="517" spans="1:4" x14ac:dyDescent="0.2">
      <c r="A517" t="s">
        <v>128</v>
      </c>
      <c r="B517" t="s">
        <v>142</v>
      </c>
      <c r="C517" t="s">
        <v>138</v>
      </c>
      <c r="D517" s="1">
        <v>12740</v>
      </c>
    </row>
    <row r="518" spans="1:4" x14ac:dyDescent="0.2">
      <c r="A518" t="s">
        <v>128</v>
      </c>
      <c r="B518" t="s">
        <v>137</v>
      </c>
      <c r="C518" t="s">
        <v>135</v>
      </c>
      <c r="D518" s="1">
        <v>8550</v>
      </c>
    </row>
    <row r="519" spans="1:4" x14ac:dyDescent="0.2">
      <c r="A519" t="s">
        <v>128</v>
      </c>
      <c r="B519" t="s">
        <v>142</v>
      </c>
      <c r="C519" t="s">
        <v>138</v>
      </c>
      <c r="D519" s="1">
        <v>15180</v>
      </c>
    </row>
    <row r="520" spans="1:4" x14ac:dyDescent="0.2">
      <c r="A520" t="s">
        <v>128</v>
      </c>
      <c r="B520" t="s">
        <v>137</v>
      </c>
      <c r="C520" t="s">
        <v>135</v>
      </c>
      <c r="D520" s="1">
        <v>4150</v>
      </c>
    </row>
    <row r="521" spans="1:4" x14ac:dyDescent="0.2">
      <c r="A521" t="s">
        <v>128</v>
      </c>
      <c r="B521" t="s">
        <v>142</v>
      </c>
      <c r="C521" t="s">
        <v>143</v>
      </c>
      <c r="D521" s="1">
        <v>13240</v>
      </c>
    </row>
    <row r="522" spans="1:4" x14ac:dyDescent="0.2">
      <c r="A522" t="s">
        <v>128</v>
      </c>
      <c r="B522" t="s">
        <v>142</v>
      </c>
      <c r="C522" t="s">
        <v>136</v>
      </c>
      <c r="D522" s="1">
        <v>13740</v>
      </c>
    </row>
    <row r="523" spans="1:4" x14ac:dyDescent="0.2">
      <c r="A523" t="s">
        <v>129</v>
      </c>
      <c r="B523" t="s">
        <v>137</v>
      </c>
      <c r="C523" t="s">
        <v>135</v>
      </c>
      <c r="D523" s="1">
        <v>8430</v>
      </c>
    </row>
    <row r="524" spans="1:4" x14ac:dyDescent="0.2">
      <c r="A524" t="s">
        <v>129</v>
      </c>
      <c r="B524" t="s">
        <v>142</v>
      </c>
      <c r="C524" t="s">
        <v>143</v>
      </c>
      <c r="D524" s="1">
        <v>13540</v>
      </c>
    </row>
    <row r="525" spans="1:4" x14ac:dyDescent="0.2">
      <c r="A525" t="s">
        <v>129</v>
      </c>
      <c r="B525" t="s">
        <v>137</v>
      </c>
      <c r="C525" t="s">
        <v>135</v>
      </c>
      <c r="D525" s="1">
        <v>4220</v>
      </c>
    </row>
    <row r="526" spans="1:4" x14ac:dyDescent="0.2">
      <c r="A526" t="s">
        <v>129</v>
      </c>
      <c r="B526" t="s">
        <v>142</v>
      </c>
      <c r="C526" t="s">
        <v>143</v>
      </c>
      <c r="D526" s="1">
        <v>12440</v>
      </c>
    </row>
    <row r="527" spans="1:4" x14ac:dyDescent="0.2">
      <c r="A527" t="s">
        <v>129</v>
      </c>
      <c r="B527" t="s">
        <v>137</v>
      </c>
      <c r="C527" t="s">
        <v>135</v>
      </c>
      <c r="D527" s="1">
        <v>8260</v>
      </c>
    </row>
    <row r="528" spans="1:4" x14ac:dyDescent="0.2">
      <c r="A528" t="s">
        <v>129</v>
      </c>
      <c r="B528" t="s">
        <v>142</v>
      </c>
      <c r="C528" t="s">
        <v>143</v>
      </c>
      <c r="D528" s="1">
        <v>11570</v>
      </c>
    </row>
    <row r="529" spans="1:4" x14ac:dyDescent="0.2">
      <c r="A529" t="s">
        <v>129</v>
      </c>
      <c r="B529" t="s">
        <v>137</v>
      </c>
      <c r="C529" t="s">
        <v>135</v>
      </c>
      <c r="D529" s="1">
        <v>8360</v>
      </c>
    </row>
    <row r="530" spans="1:4" x14ac:dyDescent="0.2">
      <c r="A530" t="s">
        <v>129</v>
      </c>
      <c r="B530" t="s">
        <v>137</v>
      </c>
      <c r="C530" t="s">
        <v>135</v>
      </c>
      <c r="D530" s="1">
        <v>4170</v>
      </c>
    </row>
    <row r="531" spans="1:4" x14ac:dyDescent="0.2">
      <c r="A531" t="s">
        <v>129</v>
      </c>
      <c r="B531" t="s">
        <v>137</v>
      </c>
      <c r="C531" t="s">
        <v>135</v>
      </c>
      <c r="D531" s="1">
        <v>7350</v>
      </c>
    </row>
    <row r="532" spans="1:4" x14ac:dyDescent="0.2">
      <c r="A532" t="s">
        <v>129</v>
      </c>
      <c r="B532" t="s">
        <v>137</v>
      </c>
      <c r="C532" t="s">
        <v>135</v>
      </c>
      <c r="D532" s="1">
        <v>6900</v>
      </c>
    </row>
    <row r="533" spans="1:4" x14ac:dyDescent="0.2">
      <c r="A533" t="s">
        <v>129</v>
      </c>
      <c r="B533" t="s">
        <v>137</v>
      </c>
      <c r="C533" t="s">
        <v>135</v>
      </c>
      <c r="D533" s="1">
        <v>6900</v>
      </c>
    </row>
    <row r="534" spans="1:4" x14ac:dyDescent="0.2">
      <c r="A534" t="s">
        <v>129</v>
      </c>
      <c r="B534" t="s">
        <v>142</v>
      </c>
      <c r="C534" t="s">
        <v>143</v>
      </c>
      <c r="D534" s="1">
        <v>14000</v>
      </c>
    </row>
    <row r="535" spans="1:4" x14ac:dyDescent="0.2">
      <c r="A535" t="s">
        <v>129</v>
      </c>
      <c r="B535" t="s">
        <v>137</v>
      </c>
      <c r="C535" t="s">
        <v>136</v>
      </c>
      <c r="D535" s="1">
        <v>9080</v>
      </c>
    </row>
    <row r="536" spans="1:4" x14ac:dyDescent="0.2">
      <c r="A536" t="s">
        <v>129</v>
      </c>
      <c r="B536" t="s">
        <v>142</v>
      </c>
      <c r="C536" t="s">
        <v>136</v>
      </c>
      <c r="D536" s="1">
        <v>13960</v>
      </c>
    </row>
    <row r="537" spans="1:4" x14ac:dyDescent="0.2">
      <c r="A537" t="s">
        <v>129</v>
      </c>
      <c r="B537" t="s">
        <v>137</v>
      </c>
      <c r="C537" t="s">
        <v>136</v>
      </c>
      <c r="D537" s="1">
        <v>9030</v>
      </c>
    </row>
    <row r="538" spans="1:4" x14ac:dyDescent="0.2">
      <c r="A538" t="s">
        <v>129</v>
      </c>
      <c r="B538" t="s">
        <v>142</v>
      </c>
      <c r="C538" t="s">
        <v>136</v>
      </c>
      <c r="D538" s="1">
        <v>13900</v>
      </c>
    </row>
    <row r="539" spans="1:4" x14ac:dyDescent="0.2">
      <c r="A539" t="s">
        <v>129</v>
      </c>
      <c r="B539" t="s">
        <v>142</v>
      </c>
      <c r="C539" t="s">
        <v>136</v>
      </c>
      <c r="D539" s="1">
        <v>13720</v>
      </c>
    </row>
    <row r="540" spans="1:4" x14ac:dyDescent="0.2">
      <c r="A540" t="s">
        <v>129</v>
      </c>
      <c r="B540" t="s">
        <v>137</v>
      </c>
      <c r="C540" t="s">
        <v>136</v>
      </c>
      <c r="D540" s="1">
        <v>13590</v>
      </c>
    </row>
    <row r="541" spans="1:4" x14ac:dyDescent="0.2">
      <c r="A541" t="s">
        <v>129</v>
      </c>
      <c r="B541" t="s">
        <v>142</v>
      </c>
      <c r="C541" t="s">
        <v>136</v>
      </c>
      <c r="D541" s="1">
        <v>13920</v>
      </c>
    </row>
    <row r="542" spans="1:4" x14ac:dyDescent="0.2">
      <c r="A542" t="s">
        <v>129</v>
      </c>
      <c r="B542" t="s">
        <v>137</v>
      </c>
      <c r="C542" t="s">
        <v>136</v>
      </c>
      <c r="D542" s="1">
        <v>13170</v>
      </c>
    </row>
    <row r="543" spans="1:4" x14ac:dyDescent="0.2">
      <c r="A543" t="s">
        <v>129</v>
      </c>
      <c r="B543" t="s">
        <v>142</v>
      </c>
      <c r="C543" t="s">
        <v>136</v>
      </c>
      <c r="D543" s="1">
        <v>13470</v>
      </c>
    </row>
    <row r="544" spans="1:4" x14ac:dyDescent="0.2">
      <c r="A544" t="s">
        <v>130</v>
      </c>
      <c r="B544" t="s">
        <v>137</v>
      </c>
      <c r="C544" t="s">
        <v>136</v>
      </c>
      <c r="D544" s="1">
        <v>13100</v>
      </c>
    </row>
    <row r="545" spans="1:4" x14ac:dyDescent="0.2">
      <c r="A545" t="s">
        <v>130</v>
      </c>
      <c r="B545" t="s">
        <v>142</v>
      </c>
      <c r="C545" t="s">
        <v>136</v>
      </c>
      <c r="D545" s="1">
        <v>13070</v>
      </c>
    </row>
    <row r="546" spans="1:4" x14ac:dyDescent="0.2">
      <c r="A546" t="s">
        <v>130</v>
      </c>
      <c r="B546" t="s">
        <v>142</v>
      </c>
      <c r="C546" t="s">
        <v>136</v>
      </c>
      <c r="D546" s="1">
        <v>13210</v>
      </c>
    </row>
    <row r="547" spans="1:4" x14ac:dyDescent="0.2">
      <c r="A547" t="s">
        <v>130</v>
      </c>
      <c r="B547" t="s">
        <v>137</v>
      </c>
      <c r="C547" t="s">
        <v>136</v>
      </c>
      <c r="D547" s="1">
        <v>13080</v>
      </c>
    </row>
    <row r="548" spans="1:4" x14ac:dyDescent="0.2">
      <c r="A548" t="s">
        <v>130</v>
      </c>
      <c r="B548" t="s">
        <v>142</v>
      </c>
      <c r="C548" t="s">
        <v>136</v>
      </c>
      <c r="D548" s="1">
        <v>13110</v>
      </c>
    </row>
    <row r="549" spans="1:4" x14ac:dyDescent="0.2">
      <c r="A549" t="s">
        <v>130</v>
      </c>
      <c r="B549" t="s">
        <v>142</v>
      </c>
      <c r="C549" t="s">
        <v>136</v>
      </c>
      <c r="D549" s="1">
        <v>13130</v>
      </c>
    </row>
    <row r="550" spans="1:4" x14ac:dyDescent="0.2">
      <c r="A550" t="s">
        <v>130</v>
      </c>
      <c r="B550" t="s">
        <v>137</v>
      </c>
      <c r="C550" t="s">
        <v>136</v>
      </c>
      <c r="D550" s="1">
        <v>13360</v>
      </c>
    </row>
    <row r="551" spans="1:4" x14ac:dyDescent="0.2">
      <c r="A551" t="s">
        <v>130</v>
      </c>
      <c r="B551" t="s">
        <v>142</v>
      </c>
      <c r="C551" t="s">
        <v>136</v>
      </c>
      <c r="D551" s="1">
        <v>13520</v>
      </c>
    </row>
    <row r="552" spans="1:4" x14ac:dyDescent="0.2">
      <c r="A552" t="s">
        <v>130</v>
      </c>
      <c r="B552" t="s">
        <v>142</v>
      </c>
      <c r="C552" t="s">
        <v>136</v>
      </c>
      <c r="D552" s="1">
        <v>11150</v>
      </c>
    </row>
    <row r="553" spans="1:4" x14ac:dyDescent="0.2">
      <c r="A553" t="s">
        <v>130</v>
      </c>
      <c r="B553" t="s">
        <v>137</v>
      </c>
      <c r="C553" t="s">
        <v>136</v>
      </c>
      <c r="D553" s="1">
        <v>12670</v>
      </c>
    </row>
    <row r="554" spans="1:4" x14ac:dyDescent="0.2">
      <c r="A554" t="s">
        <v>130</v>
      </c>
      <c r="B554" t="s">
        <v>137</v>
      </c>
      <c r="C554" t="s">
        <v>136</v>
      </c>
      <c r="D554" s="1">
        <v>13500</v>
      </c>
    </row>
    <row r="555" spans="1:4" x14ac:dyDescent="0.2">
      <c r="A555" t="s">
        <v>130</v>
      </c>
      <c r="B555" t="s">
        <v>142</v>
      </c>
      <c r="C555" t="s">
        <v>136</v>
      </c>
      <c r="D555" s="1">
        <v>15040</v>
      </c>
    </row>
    <row r="556" spans="1:4" x14ac:dyDescent="0.2">
      <c r="A556" t="s">
        <v>130</v>
      </c>
      <c r="B556" t="s">
        <v>137</v>
      </c>
      <c r="C556" t="s">
        <v>136</v>
      </c>
      <c r="D556" s="1">
        <v>14610</v>
      </c>
    </row>
    <row r="557" spans="1:4" x14ac:dyDescent="0.2">
      <c r="A557" t="s">
        <v>130</v>
      </c>
      <c r="B557" t="s">
        <v>142</v>
      </c>
      <c r="C557" t="s">
        <v>136</v>
      </c>
      <c r="D557" s="1">
        <v>9250</v>
      </c>
    </row>
    <row r="558" spans="1:4" x14ac:dyDescent="0.2">
      <c r="A558" t="s">
        <v>130</v>
      </c>
      <c r="B558" t="s">
        <v>137</v>
      </c>
      <c r="C558" t="s">
        <v>136</v>
      </c>
      <c r="D558" s="1">
        <v>12820</v>
      </c>
    </row>
    <row r="559" spans="1:4" x14ac:dyDescent="0.2">
      <c r="A559" t="s">
        <v>130</v>
      </c>
      <c r="B559" t="s">
        <v>142</v>
      </c>
      <c r="C559" t="s">
        <v>136</v>
      </c>
      <c r="D559" s="1">
        <v>9180</v>
      </c>
    </row>
    <row r="560" spans="1:4" x14ac:dyDescent="0.2">
      <c r="A560" t="s">
        <v>130</v>
      </c>
      <c r="B560" t="s">
        <v>137</v>
      </c>
      <c r="C560" t="s">
        <v>136</v>
      </c>
      <c r="D560" s="1">
        <v>13170</v>
      </c>
    </row>
    <row r="561" spans="1:4" x14ac:dyDescent="0.2">
      <c r="A561" t="s">
        <v>130</v>
      </c>
      <c r="B561" t="s">
        <v>142</v>
      </c>
      <c r="C561" t="s">
        <v>136</v>
      </c>
      <c r="D561" s="1">
        <v>9160</v>
      </c>
    </row>
    <row r="562" spans="1:4" x14ac:dyDescent="0.2">
      <c r="A562" t="s">
        <v>130</v>
      </c>
      <c r="B562" t="s">
        <v>137</v>
      </c>
      <c r="C562" t="s">
        <v>136</v>
      </c>
      <c r="D562" s="1">
        <v>13150</v>
      </c>
    </row>
    <row r="563" spans="1:4" x14ac:dyDescent="0.2">
      <c r="A563" t="s">
        <v>130</v>
      </c>
      <c r="B563" t="s">
        <v>142</v>
      </c>
      <c r="C563" t="s">
        <v>136</v>
      </c>
      <c r="D563" s="1">
        <v>8990</v>
      </c>
    </row>
    <row r="564" spans="1:4" x14ac:dyDescent="0.2">
      <c r="A564" t="s">
        <v>130</v>
      </c>
      <c r="B564" t="s">
        <v>137</v>
      </c>
      <c r="C564" t="s">
        <v>136</v>
      </c>
      <c r="D564" s="1">
        <v>13490</v>
      </c>
    </row>
    <row r="565" spans="1:4" x14ac:dyDescent="0.2">
      <c r="A565" t="s">
        <v>130</v>
      </c>
      <c r="B565" t="s">
        <v>142</v>
      </c>
      <c r="C565" t="s">
        <v>136</v>
      </c>
      <c r="D565" s="1">
        <v>13880</v>
      </c>
    </row>
    <row r="566" spans="1:4" x14ac:dyDescent="0.2">
      <c r="A566" t="s">
        <v>131</v>
      </c>
      <c r="B566" t="s">
        <v>137</v>
      </c>
      <c r="C566" t="s">
        <v>136</v>
      </c>
      <c r="D566" s="1">
        <v>13140</v>
      </c>
    </row>
    <row r="567" spans="1:4" x14ac:dyDescent="0.2">
      <c r="A567" t="s">
        <v>131</v>
      </c>
      <c r="B567" t="s">
        <v>142</v>
      </c>
      <c r="C567" t="s">
        <v>136</v>
      </c>
      <c r="D567" s="1">
        <v>13460</v>
      </c>
    </row>
    <row r="568" spans="1:4" x14ac:dyDescent="0.2">
      <c r="A568" t="s">
        <v>131</v>
      </c>
      <c r="B568" t="s">
        <v>137</v>
      </c>
      <c r="C568" t="s">
        <v>136</v>
      </c>
      <c r="D568" s="1">
        <v>13550</v>
      </c>
    </row>
    <row r="569" spans="1:4" x14ac:dyDescent="0.2">
      <c r="A569" t="s">
        <v>131</v>
      </c>
      <c r="B569" t="s">
        <v>142</v>
      </c>
      <c r="C569" t="s">
        <v>136</v>
      </c>
      <c r="D569" s="1">
        <v>13800</v>
      </c>
    </row>
    <row r="570" spans="1:4" x14ac:dyDescent="0.2">
      <c r="A570" t="s">
        <v>131</v>
      </c>
      <c r="B570" t="s">
        <v>137</v>
      </c>
      <c r="C570" t="s">
        <v>136</v>
      </c>
      <c r="D570" s="1">
        <v>13050</v>
      </c>
    </row>
    <row r="571" spans="1:4" x14ac:dyDescent="0.2">
      <c r="A571" t="s">
        <v>131</v>
      </c>
      <c r="B571" t="s">
        <v>142</v>
      </c>
      <c r="C571" t="s">
        <v>136</v>
      </c>
      <c r="D571" s="1">
        <v>13850</v>
      </c>
    </row>
    <row r="572" spans="1:4" x14ac:dyDescent="0.2">
      <c r="A572" t="s">
        <v>131</v>
      </c>
      <c r="B572" t="s">
        <v>142</v>
      </c>
      <c r="C572" t="s">
        <v>136</v>
      </c>
      <c r="D572" s="1">
        <v>13830</v>
      </c>
    </row>
    <row r="573" spans="1:4" x14ac:dyDescent="0.2">
      <c r="A573" t="s">
        <v>131</v>
      </c>
      <c r="B573" t="s">
        <v>137</v>
      </c>
      <c r="C573" t="s">
        <v>136</v>
      </c>
      <c r="D573" s="1">
        <v>13740</v>
      </c>
    </row>
    <row r="574" spans="1:4" x14ac:dyDescent="0.2">
      <c r="A574" t="s">
        <v>131</v>
      </c>
      <c r="B574" t="s">
        <v>137</v>
      </c>
      <c r="C574" t="s">
        <v>136</v>
      </c>
      <c r="D574" s="1">
        <v>4550</v>
      </c>
    </row>
    <row r="575" spans="1:4" x14ac:dyDescent="0.2">
      <c r="A575" t="s">
        <v>131</v>
      </c>
      <c r="B575" t="s">
        <v>137</v>
      </c>
      <c r="C575" t="s">
        <v>136</v>
      </c>
      <c r="D575" s="1">
        <v>9140</v>
      </c>
    </row>
    <row r="576" spans="1:4" x14ac:dyDescent="0.2">
      <c r="A576" t="s">
        <v>131</v>
      </c>
      <c r="B576" t="s">
        <v>142</v>
      </c>
      <c r="C576" t="s">
        <v>136</v>
      </c>
      <c r="D576" s="1">
        <v>13600</v>
      </c>
    </row>
    <row r="577" spans="1:4" x14ac:dyDescent="0.2">
      <c r="A577" t="s">
        <v>131</v>
      </c>
      <c r="B577" t="s">
        <v>142</v>
      </c>
      <c r="C577" t="s">
        <v>136</v>
      </c>
      <c r="D577" s="1">
        <v>13970</v>
      </c>
    </row>
    <row r="578" spans="1:4" x14ac:dyDescent="0.2">
      <c r="A578" t="s">
        <v>131</v>
      </c>
      <c r="B578" t="s">
        <v>137</v>
      </c>
      <c r="C578" t="s">
        <v>136</v>
      </c>
      <c r="D578" s="1">
        <v>13670</v>
      </c>
    </row>
    <row r="579" spans="1:4" x14ac:dyDescent="0.2">
      <c r="A579" t="s">
        <v>131</v>
      </c>
      <c r="B579" t="s">
        <v>137</v>
      </c>
      <c r="C579" t="s">
        <v>136</v>
      </c>
      <c r="D579" s="1">
        <v>4520</v>
      </c>
    </row>
    <row r="580" spans="1:4" x14ac:dyDescent="0.2">
      <c r="A580" t="s">
        <v>131</v>
      </c>
      <c r="B580" t="s">
        <v>142</v>
      </c>
      <c r="C580" t="s">
        <v>136</v>
      </c>
      <c r="D580" s="1">
        <v>13940</v>
      </c>
    </row>
    <row r="581" spans="1:4" x14ac:dyDescent="0.2">
      <c r="A581" t="s">
        <v>131</v>
      </c>
      <c r="B581" t="s">
        <v>137</v>
      </c>
      <c r="C581" t="s">
        <v>136</v>
      </c>
      <c r="D581" s="1">
        <v>13590</v>
      </c>
    </row>
    <row r="582" spans="1:4" x14ac:dyDescent="0.2">
      <c r="A582" t="s">
        <v>131</v>
      </c>
      <c r="B582" t="s">
        <v>142</v>
      </c>
      <c r="C582" t="s">
        <v>136</v>
      </c>
      <c r="D582" s="1">
        <v>13960</v>
      </c>
    </row>
    <row r="583" spans="1:4" x14ac:dyDescent="0.2">
      <c r="A583" t="s">
        <v>131</v>
      </c>
      <c r="B583" t="s">
        <v>137</v>
      </c>
      <c r="C583" t="s">
        <v>136</v>
      </c>
      <c r="D583" s="1">
        <v>4410</v>
      </c>
    </row>
    <row r="584" spans="1:4" x14ac:dyDescent="0.2">
      <c r="A584" t="s">
        <v>131</v>
      </c>
      <c r="B584" t="s">
        <v>142</v>
      </c>
      <c r="C584" t="s">
        <v>136</v>
      </c>
      <c r="D584" s="1">
        <v>14100</v>
      </c>
    </row>
    <row r="585" spans="1:4" x14ac:dyDescent="0.2">
      <c r="A585" t="s">
        <v>131</v>
      </c>
      <c r="B585" t="s">
        <v>142</v>
      </c>
      <c r="C585" t="s">
        <v>136</v>
      </c>
      <c r="D585" s="1">
        <v>13800</v>
      </c>
    </row>
    <row r="586" spans="1:4" x14ac:dyDescent="0.2">
      <c r="A586" t="s">
        <v>131</v>
      </c>
      <c r="B586" t="s">
        <v>137</v>
      </c>
      <c r="C586" t="s">
        <v>136</v>
      </c>
      <c r="D586" s="1">
        <v>13460</v>
      </c>
    </row>
    <row r="587" spans="1:4" x14ac:dyDescent="0.2">
      <c r="A587" t="s">
        <v>131</v>
      </c>
      <c r="B587" t="s">
        <v>142</v>
      </c>
      <c r="C587" t="s">
        <v>136</v>
      </c>
      <c r="D587" s="1">
        <v>13800</v>
      </c>
    </row>
    <row r="588" spans="1:4" x14ac:dyDescent="0.2">
      <c r="A588" t="s">
        <v>132</v>
      </c>
      <c r="B588" t="s">
        <v>137</v>
      </c>
      <c r="C588" t="s">
        <v>136</v>
      </c>
      <c r="D588" s="1">
        <v>13460</v>
      </c>
    </row>
    <row r="589" spans="1:4" x14ac:dyDescent="0.2">
      <c r="A589" t="s">
        <v>132</v>
      </c>
      <c r="B589" t="s">
        <v>137</v>
      </c>
      <c r="C589" t="s">
        <v>136</v>
      </c>
      <c r="D589" s="1">
        <v>4500</v>
      </c>
    </row>
    <row r="590" spans="1:4" x14ac:dyDescent="0.2">
      <c r="A590" t="s">
        <v>132</v>
      </c>
      <c r="B590" t="s">
        <v>142</v>
      </c>
      <c r="C590" t="s">
        <v>136</v>
      </c>
      <c r="D590" s="1">
        <v>13860</v>
      </c>
    </row>
    <row r="591" spans="1:4" x14ac:dyDescent="0.2">
      <c r="A591" t="s">
        <v>132</v>
      </c>
      <c r="B591" t="s">
        <v>142</v>
      </c>
      <c r="C591" t="s">
        <v>136</v>
      </c>
      <c r="D591" s="1">
        <v>13710</v>
      </c>
    </row>
    <row r="592" spans="1:4" x14ac:dyDescent="0.2">
      <c r="A592" t="s">
        <v>132</v>
      </c>
      <c r="B592" t="s">
        <v>137</v>
      </c>
      <c r="C592" t="s">
        <v>136</v>
      </c>
      <c r="D592" s="1">
        <v>6670</v>
      </c>
    </row>
    <row r="593" spans="1:4" x14ac:dyDescent="0.2">
      <c r="A593" t="s">
        <v>132</v>
      </c>
      <c r="B593" t="s">
        <v>142</v>
      </c>
      <c r="C593" t="s">
        <v>136</v>
      </c>
      <c r="D593" s="1">
        <v>13600</v>
      </c>
    </row>
    <row r="594" spans="1:4" x14ac:dyDescent="0.2">
      <c r="A594" t="s">
        <v>132</v>
      </c>
      <c r="B594" t="s">
        <v>142</v>
      </c>
      <c r="C594" t="s">
        <v>143</v>
      </c>
      <c r="D594" s="1">
        <v>13210</v>
      </c>
    </row>
    <row r="595" spans="1:4" x14ac:dyDescent="0.2">
      <c r="A595" t="s">
        <v>132</v>
      </c>
      <c r="B595" t="s">
        <v>100</v>
      </c>
      <c r="C595" t="s">
        <v>136</v>
      </c>
      <c r="D595" s="1">
        <v>12950</v>
      </c>
    </row>
    <row r="596" spans="1:4" x14ac:dyDescent="0.2">
      <c r="A596" t="s">
        <v>132</v>
      </c>
      <c r="B596" t="s">
        <v>100</v>
      </c>
      <c r="C596" t="s">
        <v>136</v>
      </c>
      <c r="D596" s="1">
        <v>12950</v>
      </c>
    </row>
    <row r="597" spans="1:4" x14ac:dyDescent="0.2">
      <c r="A597" t="s">
        <v>132</v>
      </c>
      <c r="B597" t="s">
        <v>100</v>
      </c>
      <c r="C597" t="s">
        <v>136</v>
      </c>
      <c r="D597" s="1">
        <v>12910</v>
      </c>
    </row>
    <row r="598" spans="1:4" x14ac:dyDescent="0.2">
      <c r="A598" t="s">
        <v>132</v>
      </c>
      <c r="B598" t="s">
        <v>100</v>
      </c>
      <c r="C598" t="s">
        <v>136</v>
      </c>
      <c r="D598" s="1">
        <v>4400</v>
      </c>
    </row>
    <row r="599" spans="1:4" x14ac:dyDescent="0.2">
      <c r="A599" t="s">
        <v>132</v>
      </c>
      <c r="B599" t="s">
        <v>142</v>
      </c>
      <c r="C599" t="s">
        <v>143</v>
      </c>
      <c r="D599" s="1">
        <v>7390</v>
      </c>
    </row>
    <row r="600" spans="1:4" x14ac:dyDescent="0.2">
      <c r="A600" t="s">
        <v>132</v>
      </c>
      <c r="B600" t="s">
        <v>100</v>
      </c>
      <c r="C600" t="s">
        <v>136</v>
      </c>
      <c r="D600" s="1">
        <v>12810</v>
      </c>
    </row>
    <row r="601" spans="1:4" x14ac:dyDescent="0.2">
      <c r="A601" t="s">
        <v>132</v>
      </c>
      <c r="B601" t="s">
        <v>100</v>
      </c>
      <c r="C601" t="s">
        <v>136</v>
      </c>
      <c r="D601" s="1">
        <v>12920</v>
      </c>
    </row>
    <row r="602" spans="1:4" x14ac:dyDescent="0.2">
      <c r="A602" t="s">
        <v>132</v>
      </c>
      <c r="B602" t="s">
        <v>100</v>
      </c>
      <c r="C602" t="s">
        <v>136</v>
      </c>
      <c r="D602" s="1">
        <v>4170</v>
      </c>
    </row>
    <row r="603" spans="1:4" x14ac:dyDescent="0.2">
      <c r="A603" t="s">
        <v>132</v>
      </c>
      <c r="B603" t="s">
        <v>100</v>
      </c>
      <c r="C603" t="s">
        <v>136</v>
      </c>
      <c r="D603" s="1">
        <v>13150</v>
      </c>
    </row>
    <row r="604" spans="1:4" x14ac:dyDescent="0.2">
      <c r="A604" t="s">
        <v>132</v>
      </c>
      <c r="B604" t="s">
        <v>142</v>
      </c>
      <c r="C604" t="s">
        <v>143</v>
      </c>
      <c r="D604" s="1">
        <v>3060</v>
      </c>
    </row>
    <row r="605" spans="1:4" x14ac:dyDescent="0.2">
      <c r="A605" t="s">
        <v>132</v>
      </c>
      <c r="B605" t="s">
        <v>100</v>
      </c>
      <c r="C605" t="s">
        <v>136</v>
      </c>
      <c r="D605" s="1">
        <v>12950</v>
      </c>
    </row>
    <row r="606" spans="1:4" x14ac:dyDescent="0.2">
      <c r="A606" t="s">
        <v>132</v>
      </c>
      <c r="B606" t="s">
        <v>100</v>
      </c>
      <c r="C606" t="s">
        <v>136</v>
      </c>
      <c r="D606" s="1">
        <v>13120</v>
      </c>
    </row>
    <row r="607" spans="1:4" x14ac:dyDescent="0.2">
      <c r="A607" t="s">
        <v>132</v>
      </c>
      <c r="B607" t="s">
        <v>100</v>
      </c>
      <c r="C607" t="s">
        <v>136</v>
      </c>
      <c r="D607" s="1">
        <v>4390</v>
      </c>
    </row>
    <row r="608" spans="1:4" x14ac:dyDescent="0.2">
      <c r="A608" t="s">
        <v>132</v>
      </c>
      <c r="B608" t="s">
        <v>100</v>
      </c>
      <c r="C608" t="s">
        <v>136</v>
      </c>
      <c r="D608" s="1">
        <v>13050</v>
      </c>
    </row>
    <row r="609" spans="1:4" x14ac:dyDescent="0.2">
      <c r="A609" t="s">
        <v>133</v>
      </c>
      <c r="B609" t="s">
        <v>100</v>
      </c>
      <c r="C609" t="s">
        <v>136</v>
      </c>
      <c r="D609" s="1">
        <v>4300</v>
      </c>
    </row>
    <row r="610" spans="1:4" x14ac:dyDescent="0.2">
      <c r="A610" t="s">
        <v>133</v>
      </c>
      <c r="B610" t="s">
        <v>100</v>
      </c>
      <c r="C610" t="s">
        <v>136</v>
      </c>
      <c r="D610" s="1">
        <v>12950</v>
      </c>
    </row>
    <row r="611" spans="1:4" x14ac:dyDescent="0.2">
      <c r="A611" t="s">
        <v>133</v>
      </c>
      <c r="B611" t="s">
        <v>100</v>
      </c>
      <c r="C611" t="s">
        <v>136</v>
      </c>
      <c r="D611" s="1">
        <v>4320</v>
      </c>
    </row>
    <row r="612" spans="1:4" x14ac:dyDescent="0.2">
      <c r="A612" t="s">
        <v>133</v>
      </c>
      <c r="B612" t="s">
        <v>100</v>
      </c>
      <c r="C612" t="s">
        <v>136</v>
      </c>
      <c r="D612" s="1">
        <v>14940</v>
      </c>
    </row>
    <row r="613" spans="1:4" x14ac:dyDescent="0.2">
      <c r="A613" t="s">
        <v>133</v>
      </c>
      <c r="B613" t="s">
        <v>137</v>
      </c>
      <c r="C613" t="s">
        <v>140</v>
      </c>
      <c r="D613" s="1">
        <v>12940</v>
      </c>
    </row>
    <row r="614" spans="1:4" x14ac:dyDescent="0.2">
      <c r="A614" t="s">
        <v>133</v>
      </c>
      <c r="B614" t="s">
        <v>142</v>
      </c>
      <c r="C614" t="s">
        <v>143</v>
      </c>
      <c r="D614" s="1">
        <v>12480</v>
      </c>
    </row>
    <row r="615" spans="1:4" x14ac:dyDescent="0.2">
      <c r="A615" t="s">
        <v>133</v>
      </c>
      <c r="B615" t="s">
        <v>137</v>
      </c>
      <c r="C615" t="s">
        <v>140</v>
      </c>
      <c r="D615" s="1">
        <v>14430</v>
      </c>
    </row>
    <row r="616" spans="1:4" x14ac:dyDescent="0.2">
      <c r="A616" t="s">
        <v>133</v>
      </c>
      <c r="B616" t="s">
        <v>142</v>
      </c>
      <c r="C616" t="s">
        <v>143</v>
      </c>
      <c r="D616" s="1">
        <v>12930</v>
      </c>
    </row>
    <row r="617" spans="1:4" x14ac:dyDescent="0.2">
      <c r="A617" t="s">
        <v>133</v>
      </c>
      <c r="B617" t="s">
        <v>142</v>
      </c>
      <c r="C617" t="s">
        <v>143</v>
      </c>
      <c r="D617" s="1">
        <v>13060</v>
      </c>
    </row>
    <row r="618" spans="1:4" x14ac:dyDescent="0.2">
      <c r="A618" t="s">
        <v>133</v>
      </c>
      <c r="B618" t="s">
        <v>137</v>
      </c>
      <c r="C618" t="s">
        <v>140</v>
      </c>
      <c r="D618" s="1">
        <v>13190</v>
      </c>
    </row>
    <row r="619" spans="1:4" x14ac:dyDescent="0.2">
      <c r="A619" t="s">
        <v>133</v>
      </c>
      <c r="B619" t="s">
        <v>142</v>
      </c>
      <c r="C619" t="s">
        <v>143</v>
      </c>
      <c r="D619" s="1">
        <v>12920</v>
      </c>
    </row>
    <row r="620" spans="1:4" x14ac:dyDescent="0.2">
      <c r="A620" t="s">
        <v>133</v>
      </c>
      <c r="B620" t="s">
        <v>137</v>
      </c>
      <c r="C620" t="s">
        <v>140</v>
      </c>
      <c r="D620" s="1">
        <v>13410</v>
      </c>
    </row>
    <row r="621" spans="1:4" x14ac:dyDescent="0.2">
      <c r="A621" t="s">
        <v>133</v>
      </c>
      <c r="B621" t="s">
        <v>137</v>
      </c>
      <c r="C621" t="s">
        <v>140</v>
      </c>
      <c r="D621" s="1">
        <v>4640</v>
      </c>
    </row>
    <row r="622" spans="1:4" x14ac:dyDescent="0.2">
      <c r="A622" t="s">
        <v>133</v>
      </c>
      <c r="B622" t="s">
        <v>142</v>
      </c>
      <c r="C622" t="s">
        <v>143</v>
      </c>
      <c r="D622" s="1">
        <v>13520</v>
      </c>
    </row>
    <row r="623" spans="1:4" x14ac:dyDescent="0.2">
      <c r="A623" t="s">
        <v>133</v>
      </c>
      <c r="B623" t="s">
        <v>142</v>
      </c>
      <c r="C623" t="s">
        <v>143</v>
      </c>
      <c r="D623" s="1">
        <v>13450</v>
      </c>
    </row>
    <row r="624" spans="1:4" x14ac:dyDescent="0.2">
      <c r="A624" t="s">
        <v>133</v>
      </c>
      <c r="B624" t="s">
        <v>137</v>
      </c>
      <c r="C624" t="s">
        <v>140</v>
      </c>
      <c r="D624" s="1">
        <v>13490</v>
      </c>
    </row>
    <row r="625" spans="1:4" x14ac:dyDescent="0.2">
      <c r="A625" t="s">
        <v>133</v>
      </c>
      <c r="B625" t="s">
        <v>137</v>
      </c>
      <c r="C625" t="s">
        <v>140</v>
      </c>
      <c r="D625" s="1">
        <v>13640</v>
      </c>
    </row>
    <row r="626" spans="1:4" x14ac:dyDescent="0.2">
      <c r="A626" t="s">
        <v>133</v>
      </c>
      <c r="B626" t="s">
        <v>137</v>
      </c>
      <c r="C626" t="s">
        <v>140</v>
      </c>
      <c r="D626" s="1">
        <v>4430</v>
      </c>
    </row>
    <row r="627" spans="1:4" x14ac:dyDescent="0.2">
      <c r="A627" t="s">
        <v>133</v>
      </c>
      <c r="B627" t="s">
        <v>142</v>
      </c>
      <c r="C627" t="s">
        <v>143</v>
      </c>
      <c r="D627" s="1">
        <v>13410</v>
      </c>
    </row>
    <row r="628" spans="1:4" x14ac:dyDescent="0.2">
      <c r="A628" t="s">
        <v>133</v>
      </c>
      <c r="B628" t="s">
        <v>142</v>
      </c>
      <c r="C628" t="s">
        <v>143</v>
      </c>
      <c r="D628" s="1">
        <v>12910</v>
      </c>
    </row>
    <row r="629" spans="1:4" x14ac:dyDescent="0.2">
      <c r="A629" t="s">
        <v>133</v>
      </c>
      <c r="B629" t="s">
        <v>137</v>
      </c>
      <c r="C629" t="s">
        <v>140</v>
      </c>
      <c r="D629" s="1">
        <v>13460</v>
      </c>
    </row>
    <row r="630" spans="1:4" x14ac:dyDescent="0.2">
      <c r="A630" t="s">
        <v>133</v>
      </c>
      <c r="B630" t="s">
        <v>142</v>
      </c>
      <c r="C630" t="s">
        <v>143</v>
      </c>
      <c r="D630" s="1">
        <v>12930</v>
      </c>
    </row>
    <row r="631" spans="1:4" x14ac:dyDescent="0.2">
      <c r="A631" t="s">
        <v>133</v>
      </c>
      <c r="B631" t="s">
        <v>137</v>
      </c>
      <c r="C631" t="s">
        <v>140</v>
      </c>
      <c r="D631" s="1">
        <v>13250</v>
      </c>
    </row>
    <row r="632" spans="1:4" x14ac:dyDescent="0.2">
      <c r="A632" t="s">
        <v>133</v>
      </c>
      <c r="B632" t="s">
        <v>142</v>
      </c>
      <c r="C632" t="s">
        <v>143</v>
      </c>
      <c r="D632" s="1">
        <v>13370</v>
      </c>
    </row>
    <row r="633" spans="1:4" x14ac:dyDescent="0.2">
      <c r="A633" t="s">
        <v>133</v>
      </c>
      <c r="B633" t="s">
        <v>137</v>
      </c>
      <c r="C633" t="s">
        <v>140</v>
      </c>
      <c r="D633" s="1">
        <v>4390</v>
      </c>
    </row>
    <row r="634" spans="1:4" x14ac:dyDescent="0.2">
      <c r="A634" t="s">
        <v>134</v>
      </c>
      <c r="B634" t="s">
        <v>142</v>
      </c>
      <c r="C634" t="s">
        <v>143</v>
      </c>
      <c r="D634" s="1">
        <v>13340</v>
      </c>
    </row>
    <row r="635" spans="1:4" x14ac:dyDescent="0.2">
      <c r="A635" t="s">
        <v>134</v>
      </c>
      <c r="B635" t="s">
        <v>142</v>
      </c>
      <c r="C635" t="s">
        <v>143</v>
      </c>
      <c r="D635" s="1">
        <v>13220</v>
      </c>
    </row>
    <row r="636" spans="1:4" x14ac:dyDescent="0.2">
      <c r="A636" t="s">
        <v>134</v>
      </c>
      <c r="B636" t="s">
        <v>137</v>
      </c>
      <c r="C636" t="s">
        <v>140</v>
      </c>
      <c r="D636" s="1">
        <v>13130</v>
      </c>
    </row>
    <row r="637" spans="1:4" x14ac:dyDescent="0.2">
      <c r="A637" t="s">
        <v>134</v>
      </c>
      <c r="B637" t="s">
        <v>137</v>
      </c>
      <c r="C637" t="s">
        <v>140</v>
      </c>
      <c r="D637" s="1">
        <v>13180</v>
      </c>
    </row>
    <row r="638" spans="1:4" x14ac:dyDescent="0.2">
      <c r="A638" t="s">
        <v>134</v>
      </c>
      <c r="B638" t="s">
        <v>142</v>
      </c>
      <c r="C638" t="s">
        <v>143</v>
      </c>
      <c r="D638" s="1">
        <v>15440</v>
      </c>
    </row>
    <row r="639" spans="1:4" x14ac:dyDescent="0.2">
      <c r="A639" t="s">
        <v>134</v>
      </c>
      <c r="B639" t="s">
        <v>137</v>
      </c>
      <c r="C639" t="s">
        <v>140</v>
      </c>
      <c r="D639" s="1">
        <v>4320</v>
      </c>
    </row>
    <row r="640" spans="1:4" x14ac:dyDescent="0.2">
      <c r="A640" t="s">
        <v>134</v>
      </c>
      <c r="B640" t="s">
        <v>137</v>
      </c>
      <c r="C640" t="s">
        <v>140</v>
      </c>
      <c r="D640" s="1">
        <v>12710</v>
      </c>
    </row>
    <row r="641" spans="1:4" x14ac:dyDescent="0.2">
      <c r="A641" t="s">
        <v>134</v>
      </c>
      <c r="B641" t="s">
        <v>142</v>
      </c>
      <c r="C641" t="s">
        <v>143</v>
      </c>
      <c r="D641" s="1">
        <v>12440</v>
      </c>
    </row>
    <row r="642" spans="1:4" x14ac:dyDescent="0.2">
      <c r="A642" t="s">
        <v>134</v>
      </c>
      <c r="B642" t="s">
        <v>137</v>
      </c>
      <c r="C642" t="s">
        <v>140</v>
      </c>
      <c r="D642" s="1">
        <v>12670</v>
      </c>
    </row>
    <row r="643" spans="1:4" x14ac:dyDescent="0.2">
      <c r="A643" t="s">
        <v>134</v>
      </c>
      <c r="B643" t="s">
        <v>142</v>
      </c>
      <c r="C643" t="s">
        <v>143</v>
      </c>
      <c r="D643" s="1">
        <v>12720</v>
      </c>
    </row>
    <row r="644" spans="1:4" x14ac:dyDescent="0.2">
      <c r="A644" t="s">
        <v>134</v>
      </c>
      <c r="B644" t="s">
        <v>142</v>
      </c>
      <c r="C644" t="s">
        <v>143</v>
      </c>
      <c r="D644" s="1">
        <v>13130</v>
      </c>
    </row>
    <row r="645" spans="1:4" x14ac:dyDescent="0.2">
      <c r="A645" t="s">
        <v>134</v>
      </c>
      <c r="B645" t="s">
        <v>142</v>
      </c>
      <c r="C645" t="s">
        <v>143</v>
      </c>
      <c r="D645" s="1">
        <v>13410</v>
      </c>
    </row>
    <row r="646" spans="1:4" x14ac:dyDescent="0.2">
      <c r="A646" t="s">
        <v>134</v>
      </c>
      <c r="B646" t="s">
        <v>137</v>
      </c>
      <c r="C646" t="s">
        <v>140</v>
      </c>
      <c r="D646" s="1">
        <v>13100</v>
      </c>
    </row>
    <row r="647" spans="1:4" x14ac:dyDescent="0.2">
      <c r="A647" t="s">
        <v>134</v>
      </c>
      <c r="B647" t="s">
        <v>142</v>
      </c>
      <c r="C647" t="s">
        <v>143</v>
      </c>
      <c r="D647" s="1">
        <v>14620</v>
      </c>
    </row>
    <row r="648" spans="1:4" x14ac:dyDescent="0.2">
      <c r="A648" t="s">
        <v>134</v>
      </c>
      <c r="B648" t="s">
        <v>142</v>
      </c>
      <c r="C648" t="s">
        <v>143</v>
      </c>
      <c r="D648" s="1">
        <v>13090</v>
      </c>
    </row>
    <row r="649" spans="1:4" x14ac:dyDescent="0.2">
      <c r="A649" t="s">
        <v>134</v>
      </c>
      <c r="B649" t="s">
        <v>142</v>
      </c>
      <c r="C649" t="s">
        <v>143</v>
      </c>
      <c r="D649" s="1">
        <v>12610</v>
      </c>
    </row>
    <row r="650" spans="1:4" x14ac:dyDescent="0.2">
      <c r="A650" t="s">
        <v>134</v>
      </c>
      <c r="B650" t="s">
        <v>137</v>
      </c>
      <c r="C650" t="s">
        <v>140</v>
      </c>
      <c r="D650" s="1">
        <v>13470</v>
      </c>
    </row>
    <row r="651" spans="1:4" x14ac:dyDescent="0.2">
      <c r="A651" t="s">
        <v>134</v>
      </c>
      <c r="B651" t="s">
        <v>137</v>
      </c>
      <c r="C651" t="s">
        <v>140</v>
      </c>
      <c r="D651" s="1">
        <v>12810</v>
      </c>
    </row>
    <row r="652" spans="1:4" x14ac:dyDescent="0.2">
      <c r="A652" t="s">
        <v>134</v>
      </c>
      <c r="B652" t="s">
        <v>142</v>
      </c>
      <c r="C652" t="s">
        <v>143</v>
      </c>
      <c r="D652" s="1">
        <v>14580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1CE26-5D32-4BB5-8AB4-994A052BB457}">
  <dimension ref="A1:H92"/>
  <sheetViews>
    <sheetView tabSelected="1" topLeftCell="A31" workbookViewId="0">
      <selection activeCell="H42" sqref="H42"/>
    </sheetView>
  </sheetViews>
  <sheetFormatPr defaultRowHeight="15" x14ac:dyDescent="0.2"/>
  <cols>
    <col min="1" max="1" width="18.77734375" customWidth="1"/>
    <col min="2" max="2" width="12.44140625" bestFit="1" customWidth="1"/>
    <col min="3" max="3" width="11" bestFit="1" customWidth="1"/>
    <col min="7" max="7" width="11" bestFit="1" customWidth="1"/>
  </cols>
  <sheetData>
    <row r="1" spans="1:8" x14ac:dyDescent="0.2">
      <c r="A1" s="8" t="s">
        <v>15</v>
      </c>
      <c r="B1" s="9" t="s">
        <v>16</v>
      </c>
      <c r="C1" s="9" t="s">
        <v>17</v>
      </c>
      <c r="D1" s="10" t="s">
        <v>18</v>
      </c>
    </row>
    <row r="2" spans="1:8" x14ac:dyDescent="0.2">
      <c r="A2" t="s">
        <v>3</v>
      </c>
      <c r="B2" s="3">
        <v>6444.8069999999998</v>
      </c>
      <c r="C2" s="3">
        <v>10138.398999999999</v>
      </c>
      <c r="D2" s="3">
        <v>16115.583000000001</v>
      </c>
    </row>
    <row r="3" spans="1:8" x14ac:dyDescent="0.2">
      <c r="A3" t="s">
        <v>4</v>
      </c>
      <c r="B3" s="3">
        <v>1432.7190000000001</v>
      </c>
      <c r="C3" s="3">
        <v>5034.6499999999996</v>
      </c>
      <c r="D3" s="3">
        <v>5336.3829999999998</v>
      </c>
    </row>
    <row r="4" spans="1:8" x14ac:dyDescent="0.2">
      <c r="A4" t="s">
        <v>5</v>
      </c>
      <c r="B4" s="3">
        <v>221.22</v>
      </c>
      <c r="C4" s="3">
        <v>1067.8869999999999</v>
      </c>
      <c r="D4" s="3">
        <v>1867.7080000000001</v>
      </c>
    </row>
    <row r="5" spans="1:8" x14ac:dyDescent="0.2">
      <c r="A5" t="s">
        <v>2</v>
      </c>
      <c r="B5" s="3">
        <v>6697.7430000000004</v>
      </c>
      <c r="C5" s="3">
        <v>5950.6970000000001</v>
      </c>
      <c r="D5" s="3">
        <v>3621.3330000000001</v>
      </c>
    </row>
    <row r="6" spans="1:8" x14ac:dyDescent="0.2">
      <c r="A6" t="s">
        <v>1</v>
      </c>
      <c r="B6" s="3">
        <v>0</v>
      </c>
      <c r="C6" s="3">
        <v>265.36399999999998</v>
      </c>
      <c r="D6" s="3">
        <v>761.97400000000005</v>
      </c>
    </row>
    <row r="7" spans="1:8" ht="15.75" x14ac:dyDescent="0.25">
      <c r="A7" s="4" t="s">
        <v>6</v>
      </c>
      <c r="B7" s="5">
        <v>15251.552</v>
      </c>
      <c r="C7" s="5">
        <v>22456.996999999999</v>
      </c>
      <c r="D7" s="5">
        <f>SUM(D2:D6)</f>
        <v>27702.980999999996</v>
      </c>
    </row>
    <row r="9" spans="1:8" ht="15.75" x14ac:dyDescent="0.25">
      <c r="A9" s="7" t="s">
        <v>144</v>
      </c>
      <c r="B9" s="8"/>
      <c r="C9" s="8"/>
      <c r="D9" s="8"/>
      <c r="E9" s="8"/>
      <c r="F9" s="8"/>
      <c r="G9" s="8"/>
      <c r="H9" s="8"/>
    </row>
    <row r="26" spans="1:8" ht="15.75" x14ac:dyDescent="0.25">
      <c r="A26" s="7" t="s">
        <v>14</v>
      </c>
      <c r="B26" s="8" t="str">
        <f>+B31</f>
        <v>2026г</v>
      </c>
      <c r="C26" s="8" t="str">
        <f t="shared" ref="C26:E26" si="0">+C31</f>
        <v>2025г</v>
      </c>
      <c r="D26" s="8" t="str">
        <f t="shared" si="0"/>
        <v>2024г</v>
      </c>
      <c r="E26" s="8" t="str">
        <f t="shared" si="0"/>
        <v>2023г</v>
      </c>
    </row>
    <row r="27" spans="1:8" x14ac:dyDescent="0.2">
      <c r="A27" t="s">
        <v>12</v>
      </c>
      <c r="B27" s="1">
        <f>MAX(B32:B86)</f>
        <v>980.06899999999996</v>
      </c>
      <c r="C27" s="1">
        <f t="shared" ref="C27:E27" si="1">MAX(C32:C86)</f>
        <v>918.23599999999999</v>
      </c>
      <c r="D27" s="1">
        <f t="shared" si="1"/>
        <v>818.72400000000005</v>
      </c>
      <c r="E27" s="1">
        <f t="shared" si="1"/>
        <v>894.64800000000002</v>
      </c>
    </row>
    <row r="28" spans="1:8" x14ac:dyDescent="0.2">
      <c r="A28" s="11" t="s">
        <v>19</v>
      </c>
      <c r="B28" s="12">
        <f>SUM(B32:B86)/B29</f>
        <v>769.52724999999987</v>
      </c>
      <c r="C28" s="12">
        <f t="shared" ref="C28:E28" si="2">SUM(C32:C86)/C29</f>
        <v>547.6648048780487</v>
      </c>
      <c r="D28" s="12">
        <f t="shared" si="2"/>
        <v>422.75682857142851</v>
      </c>
      <c r="E28" s="12">
        <f t="shared" si="2"/>
        <v>574.74502631578935</v>
      </c>
    </row>
    <row r="29" spans="1:8" x14ac:dyDescent="0.2">
      <c r="A29" t="s">
        <v>13</v>
      </c>
      <c r="B29">
        <f>COUNTIF(B32:B86,"&gt;0")</f>
        <v>36</v>
      </c>
      <c r="C29">
        <f t="shared" ref="C29:E29" si="3">COUNTIF(C32:C86,"&gt;0")</f>
        <v>41</v>
      </c>
      <c r="D29">
        <f t="shared" si="3"/>
        <v>35</v>
      </c>
      <c r="E29">
        <f t="shared" si="3"/>
        <v>38</v>
      </c>
    </row>
    <row r="31" spans="1:8" ht="15.75" x14ac:dyDescent="0.25">
      <c r="A31" s="7" t="s">
        <v>7</v>
      </c>
      <c r="B31" s="8" t="s">
        <v>8</v>
      </c>
      <c r="C31" s="8" t="s">
        <v>9</v>
      </c>
      <c r="D31" s="8" t="s">
        <v>10</v>
      </c>
      <c r="E31" s="8" t="s">
        <v>11</v>
      </c>
      <c r="G31" s="6"/>
    </row>
    <row r="32" spans="1:8" x14ac:dyDescent="0.2">
      <c r="A32" s="6">
        <v>46160</v>
      </c>
      <c r="C32" s="2"/>
      <c r="D32" s="2">
        <v>81.617999999999995</v>
      </c>
      <c r="E32" s="2"/>
      <c r="G32" s="6"/>
      <c r="H32" s="6"/>
    </row>
    <row r="33" spans="1:8" x14ac:dyDescent="0.2">
      <c r="A33" s="6">
        <v>46161</v>
      </c>
      <c r="C33" s="2"/>
      <c r="D33" s="2">
        <v>200.36699999999999</v>
      </c>
      <c r="E33" s="2"/>
      <c r="G33" s="6"/>
      <c r="H33" s="6"/>
    </row>
    <row r="34" spans="1:8" x14ac:dyDescent="0.2">
      <c r="A34" s="6">
        <v>46162</v>
      </c>
      <c r="C34" s="2"/>
      <c r="D34" s="2"/>
      <c r="E34" s="2"/>
      <c r="G34" s="6"/>
      <c r="H34" s="6"/>
    </row>
    <row r="35" spans="1:8" x14ac:dyDescent="0.2">
      <c r="A35" s="6">
        <v>46163</v>
      </c>
      <c r="C35" s="2"/>
      <c r="D35" s="2">
        <v>158.685</v>
      </c>
      <c r="E35" s="2"/>
      <c r="G35" s="6"/>
      <c r="H35" s="6"/>
    </row>
    <row r="36" spans="1:8" x14ac:dyDescent="0.2">
      <c r="A36" s="6">
        <v>46164</v>
      </c>
      <c r="C36" s="2"/>
      <c r="D36" s="2">
        <v>270.45699999999999</v>
      </c>
      <c r="E36" s="2"/>
      <c r="G36" s="6"/>
      <c r="H36" s="6"/>
    </row>
    <row r="37" spans="1:8" x14ac:dyDescent="0.2">
      <c r="A37" s="6">
        <v>46165</v>
      </c>
      <c r="C37" s="2"/>
      <c r="D37" s="2">
        <v>553.49300000000005</v>
      </c>
      <c r="E37" s="2"/>
      <c r="G37" s="6"/>
      <c r="H37" s="6"/>
    </row>
    <row r="38" spans="1:8" x14ac:dyDescent="0.2">
      <c r="A38" s="6">
        <v>46166</v>
      </c>
      <c r="C38" s="2"/>
      <c r="D38" s="2">
        <v>523.64400000000001</v>
      </c>
      <c r="E38" s="2"/>
      <c r="G38" s="6"/>
      <c r="H38" s="6"/>
    </row>
    <row r="39" spans="1:8" x14ac:dyDescent="0.2">
      <c r="A39" s="6">
        <v>46167</v>
      </c>
      <c r="C39" s="2"/>
      <c r="D39" s="2">
        <v>551.42899999999997</v>
      </c>
      <c r="E39" s="2"/>
      <c r="G39" s="6"/>
      <c r="H39" s="6"/>
    </row>
    <row r="40" spans="1:8" x14ac:dyDescent="0.2">
      <c r="A40" s="6">
        <v>46168</v>
      </c>
      <c r="C40" s="2"/>
      <c r="D40" s="2">
        <v>513.62099999999998</v>
      </c>
      <c r="E40" s="2"/>
      <c r="G40" s="6"/>
      <c r="H40" s="6"/>
    </row>
    <row r="41" spans="1:8" x14ac:dyDescent="0.2">
      <c r="A41" s="6">
        <v>46169</v>
      </c>
      <c r="C41" s="2"/>
      <c r="D41" s="2"/>
      <c r="E41" s="2">
        <v>9.3780000000000001</v>
      </c>
      <c r="G41" s="6"/>
      <c r="H41" s="6"/>
    </row>
    <row r="42" spans="1:8" x14ac:dyDescent="0.2">
      <c r="A42" s="6">
        <v>46170</v>
      </c>
      <c r="B42" s="1"/>
      <c r="C42" s="1">
        <v>80.917000000000002</v>
      </c>
      <c r="D42" s="2"/>
      <c r="E42" s="2"/>
      <c r="G42" s="6"/>
      <c r="H42" s="6"/>
    </row>
    <row r="43" spans="1:8" x14ac:dyDescent="0.2">
      <c r="A43" s="6">
        <v>46171</v>
      </c>
      <c r="B43" s="1"/>
      <c r="C43" s="1">
        <v>433.33199999999999</v>
      </c>
      <c r="D43" s="2">
        <v>224.83</v>
      </c>
      <c r="E43" s="2"/>
      <c r="G43" s="6"/>
      <c r="H43" s="6"/>
    </row>
    <row r="44" spans="1:8" x14ac:dyDescent="0.2">
      <c r="A44" s="6">
        <v>46172</v>
      </c>
      <c r="B44" s="1"/>
      <c r="C44" s="1">
        <v>29.96</v>
      </c>
      <c r="D44" s="2">
        <v>448.274</v>
      </c>
      <c r="E44" s="2">
        <v>254.376</v>
      </c>
      <c r="G44" s="6"/>
      <c r="H44" s="6"/>
    </row>
    <row r="45" spans="1:8" x14ac:dyDescent="0.2">
      <c r="A45" s="6">
        <v>46173</v>
      </c>
      <c r="B45" s="1"/>
      <c r="C45" s="1"/>
      <c r="D45" s="2"/>
      <c r="E45" s="2">
        <v>317.59199999999998</v>
      </c>
      <c r="G45" s="6"/>
      <c r="H45" s="6"/>
    </row>
    <row r="46" spans="1:8" x14ac:dyDescent="0.2">
      <c r="A46" s="6">
        <v>46174</v>
      </c>
      <c r="B46" s="1"/>
      <c r="C46" s="1">
        <v>210.69300000000001</v>
      </c>
      <c r="D46" s="2"/>
      <c r="E46" s="2">
        <v>237.13</v>
      </c>
      <c r="G46" s="6"/>
      <c r="H46" s="6"/>
    </row>
    <row r="47" spans="1:8" x14ac:dyDescent="0.2">
      <c r="A47" s="6">
        <v>46175</v>
      </c>
      <c r="B47" s="1"/>
      <c r="C47" s="1">
        <v>462.99400000000003</v>
      </c>
      <c r="D47" s="2"/>
      <c r="E47" s="2">
        <v>546.03499999999997</v>
      </c>
      <c r="G47" s="6"/>
      <c r="H47" s="6"/>
    </row>
    <row r="48" spans="1:8" x14ac:dyDescent="0.2">
      <c r="A48" s="6">
        <v>46176</v>
      </c>
      <c r="B48" s="1"/>
      <c r="C48" s="1">
        <v>645.99800000000005</v>
      </c>
      <c r="D48" s="2"/>
      <c r="E48" s="2">
        <v>656.92899999999997</v>
      </c>
      <c r="G48" s="6"/>
      <c r="H48" s="6"/>
    </row>
    <row r="49" spans="1:8" x14ac:dyDescent="0.2">
      <c r="A49" s="6">
        <v>46177</v>
      </c>
      <c r="B49" s="1">
        <v>505.28500000000003</v>
      </c>
      <c r="C49" s="1">
        <v>537.154</v>
      </c>
      <c r="D49" s="2">
        <v>549.19299999999998</v>
      </c>
      <c r="E49" s="2">
        <v>674.57299999999998</v>
      </c>
      <c r="G49" s="19"/>
      <c r="H49" s="6"/>
    </row>
    <row r="50" spans="1:8" x14ac:dyDescent="0.2">
      <c r="A50" s="6">
        <v>46178</v>
      </c>
      <c r="B50" s="1">
        <v>477.60899999999998</v>
      </c>
      <c r="C50" s="1">
        <v>745.69200000000001</v>
      </c>
      <c r="D50" s="2">
        <v>485.10899999999998</v>
      </c>
      <c r="E50" s="2">
        <v>464.18200000000002</v>
      </c>
      <c r="G50" s="19"/>
      <c r="H50" s="6"/>
    </row>
    <row r="51" spans="1:8" x14ac:dyDescent="0.2">
      <c r="A51" s="6">
        <v>46179</v>
      </c>
      <c r="B51" s="1">
        <v>0</v>
      </c>
      <c r="C51" s="1">
        <v>764.09400000000005</v>
      </c>
      <c r="D51" s="2">
        <v>598.78200000000004</v>
      </c>
      <c r="E51" s="2">
        <v>618.16700000000003</v>
      </c>
      <c r="G51" s="6"/>
      <c r="H51" s="6"/>
    </row>
    <row r="52" spans="1:8" x14ac:dyDescent="0.2">
      <c r="A52" s="6">
        <v>46180</v>
      </c>
      <c r="B52" s="1">
        <v>768.51800000000003</v>
      </c>
      <c r="C52" s="1">
        <v>835.31200000000001</v>
      </c>
      <c r="D52" s="2">
        <v>724.10599999999999</v>
      </c>
      <c r="E52" s="2">
        <v>565.721</v>
      </c>
      <c r="G52" s="6"/>
      <c r="H52" s="6"/>
    </row>
    <row r="53" spans="1:8" x14ac:dyDescent="0.2">
      <c r="A53" s="6">
        <v>46181</v>
      </c>
      <c r="B53" s="1">
        <v>851.22400000000005</v>
      </c>
      <c r="C53" s="1">
        <v>780.94500000000005</v>
      </c>
      <c r="D53" s="2">
        <v>728.81799999999998</v>
      </c>
      <c r="E53" s="2">
        <v>450.76499999999999</v>
      </c>
      <c r="G53" s="6"/>
      <c r="H53" s="6"/>
    </row>
    <row r="54" spans="1:8" x14ac:dyDescent="0.2">
      <c r="A54" s="6">
        <v>46182</v>
      </c>
      <c r="B54" s="1">
        <v>827.47500000000002</v>
      </c>
      <c r="C54" s="1">
        <v>864.03</v>
      </c>
      <c r="D54" s="2">
        <v>351.15499999999997</v>
      </c>
      <c r="E54" s="2">
        <v>711.96699999999998</v>
      </c>
      <c r="G54" s="6"/>
      <c r="H54" s="6"/>
    </row>
    <row r="55" spans="1:8" x14ac:dyDescent="0.2">
      <c r="A55" s="6">
        <v>46183</v>
      </c>
      <c r="B55" s="1">
        <v>854.98500000000001</v>
      </c>
      <c r="C55" s="1">
        <v>441.45600000000002</v>
      </c>
      <c r="D55" s="2">
        <v>454.60199999999998</v>
      </c>
      <c r="E55" s="2">
        <v>753.04</v>
      </c>
      <c r="G55" s="6"/>
      <c r="H55" s="6"/>
    </row>
    <row r="56" spans="1:8" x14ac:dyDescent="0.2">
      <c r="A56" s="6">
        <v>46184</v>
      </c>
      <c r="B56" s="1">
        <v>880.70500000000004</v>
      </c>
      <c r="C56" s="1">
        <v>768.57</v>
      </c>
      <c r="D56" s="2">
        <v>688.57</v>
      </c>
      <c r="E56" s="2">
        <v>734.17</v>
      </c>
      <c r="G56" s="6"/>
      <c r="H56" s="6"/>
    </row>
    <row r="57" spans="1:8" x14ac:dyDescent="0.2">
      <c r="A57" s="6">
        <v>46185</v>
      </c>
      <c r="B57" s="1">
        <v>861.12800000000004</v>
      </c>
      <c r="C57" s="1">
        <v>683.779</v>
      </c>
      <c r="D57" s="2">
        <v>461.50900000000001</v>
      </c>
      <c r="E57" s="2">
        <v>894.64800000000002</v>
      </c>
      <c r="G57" s="6"/>
      <c r="H57" s="6"/>
    </row>
    <row r="58" spans="1:8" x14ac:dyDescent="0.2">
      <c r="A58" s="6">
        <v>46186</v>
      </c>
      <c r="B58" s="1">
        <v>863.83600000000001</v>
      </c>
      <c r="C58" s="1">
        <v>859.84100000000001</v>
      </c>
      <c r="D58" s="2">
        <v>818.72400000000005</v>
      </c>
      <c r="E58" s="2">
        <v>178.19300000000001</v>
      </c>
      <c r="G58" s="6"/>
      <c r="H58" s="6"/>
    </row>
    <row r="59" spans="1:8" x14ac:dyDescent="0.2">
      <c r="A59" s="6">
        <v>46187</v>
      </c>
      <c r="B59" s="1">
        <v>711.19</v>
      </c>
      <c r="C59" s="1">
        <v>783.38199999999995</v>
      </c>
      <c r="D59" s="2">
        <v>776.90800000000002</v>
      </c>
      <c r="E59" s="2"/>
      <c r="G59" s="6"/>
      <c r="H59" s="6"/>
    </row>
    <row r="60" spans="1:8" x14ac:dyDescent="0.2">
      <c r="A60" s="6">
        <v>46188</v>
      </c>
      <c r="B60" s="1">
        <v>857.02300000000002</v>
      </c>
      <c r="C60" s="1">
        <v>918.23599999999999</v>
      </c>
      <c r="D60" s="2">
        <v>591.70399999999995</v>
      </c>
      <c r="E60" s="2">
        <v>356.42099999999999</v>
      </c>
      <c r="G60" s="6"/>
      <c r="H60" s="6"/>
    </row>
    <row r="61" spans="1:8" x14ac:dyDescent="0.2">
      <c r="A61" s="6">
        <v>46189</v>
      </c>
      <c r="B61" s="1">
        <v>940.32600000000002</v>
      </c>
      <c r="C61" s="1">
        <v>899.21699999999998</v>
      </c>
      <c r="D61" s="2">
        <v>282.74299999999999</v>
      </c>
      <c r="E61" s="2">
        <v>773.66600000000005</v>
      </c>
      <c r="G61" s="6"/>
      <c r="H61" s="6"/>
    </row>
    <row r="62" spans="1:8" x14ac:dyDescent="0.2">
      <c r="A62" s="6">
        <v>46190</v>
      </c>
      <c r="B62" s="1">
        <v>809.16499999999996</v>
      </c>
      <c r="C62" s="1">
        <v>435.62</v>
      </c>
      <c r="D62" s="2">
        <v>324.18</v>
      </c>
      <c r="E62" s="2">
        <v>763.61599999999999</v>
      </c>
      <c r="G62" s="6"/>
      <c r="H62" s="6"/>
    </row>
    <row r="63" spans="1:8" x14ac:dyDescent="0.2">
      <c r="A63" s="6">
        <v>46191</v>
      </c>
      <c r="B63" s="1">
        <v>903.72199999999998</v>
      </c>
      <c r="C63" s="1">
        <v>304.35500000000002</v>
      </c>
      <c r="D63" s="2">
        <v>70.997</v>
      </c>
      <c r="E63" s="2">
        <v>794.89300000000003</v>
      </c>
      <c r="G63" s="6"/>
      <c r="H63" s="6"/>
    </row>
    <row r="64" spans="1:8" x14ac:dyDescent="0.2">
      <c r="A64" s="6">
        <v>46192</v>
      </c>
      <c r="B64" s="1">
        <v>976.37900000000002</v>
      </c>
      <c r="C64" s="1">
        <v>780.75800000000004</v>
      </c>
      <c r="D64" s="2">
        <v>234.25899999999999</v>
      </c>
      <c r="E64" s="2">
        <v>807.46799999999996</v>
      </c>
      <c r="G64" s="6"/>
      <c r="H64" s="6"/>
    </row>
    <row r="65" spans="1:8" x14ac:dyDescent="0.2">
      <c r="A65" s="6">
        <v>46193</v>
      </c>
      <c r="B65" s="1">
        <v>274.00700000000001</v>
      </c>
      <c r="C65" s="1">
        <v>899.28399999999999</v>
      </c>
      <c r="D65" s="2">
        <v>367.25799999999998</v>
      </c>
      <c r="E65" s="2">
        <v>578.88099999999997</v>
      </c>
      <c r="G65" s="19"/>
      <c r="H65" s="6"/>
    </row>
    <row r="66" spans="1:8" x14ac:dyDescent="0.2">
      <c r="A66" s="6">
        <v>46194</v>
      </c>
      <c r="B66" s="1">
        <v>193.411</v>
      </c>
      <c r="C66" s="1">
        <v>869.03200000000004</v>
      </c>
      <c r="D66" s="2">
        <v>550.21</v>
      </c>
      <c r="E66" s="2">
        <v>584.279</v>
      </c>
      <c r="G66" s="19"/>
      <c r="H66" s="6"/>
    </row>
    <row r="67" spans="1:8" x14ac:dyDescent="0.2">
      <c r="A67" s="6">
        <v>46195</v>
      </c>
      <c r="B67" s="1">
        <v>911.36699999999996</v>
      </c>
      <c r="C67" s="1">
        <v>397.56400000000002</v>
      </c>
      <c r="D67" s="2">
        <v>359.79599999999999</v>
      </c>
      <c r="E67" s="2">
        <v>821.60799999999995</v>
      </c>
      <c r="G67" s="19"/>
      <c r="H67" s="6"/>
    </row>
    <row r="68" spans="1:8" x14ac:dyDescent="0.2">
      <c r="A68" s="6">
        <v>46196</v>
      </c>
      <c r="B68" s="1">
        <v>944.86800000000005</v>
      </c>
      <c r="C68" s="1">
        <v>887.45</v>
      </c>
      <c r="D68" s="2">
        <v>30.603999999999999</v>
      </c>
      <c r="E68" s="2">
        <v>587.19000000000005</v>
      </c>
      <c r="G68" s="19"/>
      <c r="H68" s="6"/>
    </row>
    <row r="69" spans="1:8" x14ac:dyDescent="0.2">
      <c r="A69" s="6">
        <v>46197</v>
      </c>
      <c r="B69" s="1">
        <v>964.40599999999995</v>
      </c>
      <c r="C69" s="1">
        <v>565.58799999999997</v>
      </c>
      <c r="D69" s="2"/>
      <c r="E69" s="2">
        <v>565.54100000000005</v>
      </c>
      <c r="G69" s="19"/>
      <c r="H69" s="6"/>
    </row>
    <row r="70" spans="1:8" x14ac:dyDescent="0.2">
      <c r="A70" s="6">
        <v>46198</v>
      </c>
      <c r="B70" s="1">
        <v>812.27200000000005</v>
      </c>
      <c r="C70" s="1">
        <v>532.42399999999998</v>
      </c>
      <c r="D70" s="2">
        <v>326.57600000000002</v>
      </c>
      <c r="E70" s="2">
        <v>824.202</v>
      </c>
      <c r="G70" s="19"/>
      <c r="H70" s="6"/>
    </row>
    <row r="71" spans="1:8" x14ac:dyDescent="0.2">
      <c r="A71" s="6">
        <v>46199</v>
      </c>
      <c r="B71" s="1">
        <v>964.65899999999999</v>
      </c>
      <c r="C71" s="1">
        <v>189.83199999999999</v>
      </c>
      <c r="D71" s="2">
        <v>362.06700000000001</v>
      </c>
      <c r="E71" s="2">
        <v>613.17200000000003</v>
      </c>
      <c r="G71" s="19"/>
      <c r="H71" s="6"/>
    </row>
    <row r="72" spans="1:8" x14ac:dyDescent="0.2">
      <c r="A72" s="6">
        <v>46200</v>
      </c>
      <c r="B72" s="1">
        <v>833.29</v>
      </c>
      <c r="C72" s="1"/>
      <c r="D72" s="2">
        <v>367.553</v>
      </c>
      <c r="E72" s="2">
        <v>455.8</v>
      </c>
      <c r="G72" s="19"/>
      <c r="H72" s="6"/>
    </row>
    <row r="73" spans="1:8" x14ac:dyDescent="0.2">
      <c r="A73" s="6">
        <v>46201</v>
      </c>
      <c r="B73" s="1">
        <v>398.267</v>
      </c>
      <c r="C73" s="1"/>
      <c r="D73" s="2">
        <v>577.33299999999997</v>
      </c>
      <c r="E73" s="2">
        <v>352.93799999999999</v>
      </c>
      <c r="G73" s="19"/>
      <c r="H73" s="6"/>
    </row>
    <row r="74" spans="1:8" x14ac:dyDescent="0.2">
      <c r="A74" s="6">
        <v>46202</v>
      </c>
      <c r="B74" s="1">
        <v>647.09500000000003</v>
      </c>
      <c r="C74" s="1">
        <v>202.99700000000001</v>
      </c>
      <c r="D74" s="2">
        <v>187.315</v>
      </c>
      <c r="E74" s="2">
        <v>790.03200000000004</v>
      </c>
      <c r="G74" s="19"/>
      <c r="H74" s="6"/>
    </row>
    <row r="75" spans="1:8" x14ac:dyDescent="0.2">
      <c r="A75" s="6">
        <v>46203</v>
      </c>
      <c r="B75" s="1">
        <v>931.83699999999999</v>
      </c>
      <c r="C75" s="1">
        <v>247.28899999999999</v>
      </c>
      <c r="E75" s="2">
        <v>819.39200000000005</v>
      </c>
      <c r="G75" s="19"/>
      <c r="H75" s="6"/>
    </row>
    <row r="76" spans="1:8" x14ac:dyDescent="0.2">
      <c r="A76" s="6">
        <v>46204</v>
      </c>
      <c r="B76" s="1">
        <v>943.28</v>
      </c>
      <c r="C76" s="1">
        <v>87.576999999999998</v>
      </c>
      <c r="E76" s="2">
        <v>831.53899999999999</v>
      </c>
      <c r="G76" s="19"/>
      <c r="H76" s="6"/>
    </row>
    <row r="77" spans="1:8" x14ac:dyDescent="0.2">
      <c r="A77" s="6">
        <v>46205</v>
      </c>
      <c r="B77" s="1">
        <v>651.59400000000005</v>
      </c>
      <c r="C77" s="1">
        <v>302.88099999999997</v>
      </c>
      <c r="E77" s="2">
        <v>417.00599999999997</v>
      </c>
      <c r="G77" s="19"/>
      <c r="H77" s="6"/>
    </row>
    <row r="78" spans="1:8" x14ac:dyDescent="0.2">
      <c r="A78" s="6">
        <v>46206</v>
      </c>
      <c r="B78" s="1">
        <v>980.06899999999996</v>
      </c>
      <c r="C78" s="1">
        <v>859.08399999999995</v>
      </c>
      <c r="E78" s="2">
        <v>564.44299999999998</v>
      </c>
      <c r="G78" s="19"/>
      <c r="H78" s="6"/>
    </row>
    <row r="79" spans="1:8" x14ac:dyDescent="0.2">
      <c r="A79" s="6">
        <v>46207</v>
      </c>
      <c r="B79" s="1">
        <v>915.95799999999997</v>
      </c>
      <c r="C79" s="1">
        <v>568.03499999999997</v>
      </c>
      <c r="E79" s="2">
        <v>649.87199999999996</v>
      </c>
      <c r="G79" s="19"/>
      <c r="H79" s="6"/>
    </row>
    <row r="80" spans="1:8" x14ac:dyDescent="0.2">
      <c r="A80" s="6">
        <v>46208</v>
      </c>
      <c r="B80" s="1">
        <v>865.16099999999994</v>
      </c>
      <c r="C80" s="1">
        <v>757.21100000000001</v>
      </c>
      <c r="E80" s="2">
        <v>605.51</v>
      </c>
      <c r="G80" s="19"/>
      <c r="H80" s="6"/>
    </row>
    <row r="81" spans="1:8" x14ac:dyDescent="0.2">
      <c r="A81" s="6">
        <v>46209</v>
      </c>
      <c r="B81" s="1">
        <v>884.423</v>
      </c>
      <c r="C81" s="1">
        <v>404.64299999999997</v>
      </c>
      <c r="E81" s="2">
        <v>215.976</v>
      </c>
      <c r="G81" s="19"/>
      <c r="H81" s="6"/>
    </row>
    <row r="82" spans="1:8" x14ac:dyDescent="0.2">
      <c r="A82" s="6">
        <v>46210</v>
      </c>
      <c r="B82" s="1">
        <v>914.69</v>
      </c>
      <c r="C82" s="1">
        <v>650.22500000000002</v>
      </c>
      <c r="E82" s="2"/>
      <c r="G82" s="19"/>
      <c r="H82" s="6"/>
    </row>
    <row r="83" spans="1:8" x14ac:dyDescent="0.2">
      <c r="A83" s="6">
        <v>46211</v>
      </c>
      <c r="B83" s="1">
        <v>775.21900000000005</v>
      </c>
      <c r="C83" s="1"/>
      <c r="G83" s="19"/>
      <c r="H83" s="6"/>
    </row>
    <row r="84" spans="1:8" x14ac:dyDescent="0.2">
      <c r="A84" s="6">
        <v>46212</v>
      </c>
      <c r="B84" s="1">
        <v>457.49299999999999</v>
      </c>
      <c r="C84" s="1">
        <v>276.858</v>
      </c>
      <c r="G84" s="19"/>
      <c r="H84" s="6"/>
    </row>
    <row r="85" spans="1:8" x14ac:dyDescent="0.2">
      <c r="A85" s="6">
        <v>46213</v>
      </c>
      <c r="B85" s="1">
        <v>351.04500000000002</v>
      </c>
      <c r="C85" s="1">
        <v>447.70499999999998</v>
      </c>
      <c r="G85" s="19"/>
      <c r="H85" s="6"/>
    </row>
    <row r="86" spans="1:8" x14ac:dyDescent="0.2">
      <c r="A86" s="6">
        <v>46214</v>
      </c>
      <c r="B86" s="1">
        <v>0</v>
      </c>
      <c r="C86" s="1">
        <v>42.243000000000002</v>
      </c>
      <c r="G86" s="19"/>
      <c r="H86" s="6"/>
    </row>
    <row r="87" spans="1:8" x14ac:dyDescent="0.2">
      <c r="A87" s="6"/>
    </row>
    <row r="88" spans="1:8" x14ac:dyDescent="0.2">
      <c r="A88" s="6"/>
    </row>
    <row r="91" spans="1:8" x14ac:dyDescent="0.2">
      <c r="B91" s="20"/>
    </row>
    <row r="92" spans="1:8" x14ac:dyDescent="0.2">
      <c r="B92" s="21"/>
    </row>
  </sheetData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14183-218A-4C84-8C92-8589F5F10DED}">
  <dimension ref="A1:G107"/>
  <sheetViews>
    <sheetView workbookViewId="0">
      <pane ySplit="1" topLeftCell="A47" activePane="bottomLeft" state="frozen"/>
      <selection pane="bottomLeft" activeCell="D73" sqref="D73"/>
    </sheetView>
  </sheetViews>
  <sheetFormatPr defaultRowHeight="15" x14ac:dyDescent="0.2"/>
  <cols>
    <col min="5" max="5" width="40.88671875" customWidth="1"/>
  </cols>
  <sheetData>
    <row r="1" spans="1:7" ht="15.75" x14ac:dyDescent="0.25">
      <c r="A1" s="4" t="s">
        <v>0</v>
      </c>
      <c r="B1" s="4" t="s">
        <v>20</v>
      </c>
      <c r="C1" s="4" t="s">
        <v>21</v>
      </c>
      <c r="D1" s="4" t="s">
        <v>22</v>
      </c>
      <c r="E1" s="4" t="s">
        <v>23</v>
      </c>
    </row>
    <row r="2" spans="1:7" ht="15.75" x14ac:dyDescent="0.25">
      <c r="A2" s="18">
        <v>46177</v>
      </c>
      <c r="B2" s="13" t="s">
        <v>24</v>
      </c>
      <c r="C2">
        <v>564</v>
      </c>
      <c r="D2">
        <v>404</v>
      </c>
      <c r="E2" t="s">
        <v>27</v>
      </c>
      <c r="G2" s="13"/>
    </row>
    <row r="3" spans="1:7" x14ac:dyDescent="0.2">
      <c r="A3" s="13">
        <v>46177</v>
      </c>
      <c r="B3" s="13" t="s">
        <v>25</v>
      </c>
      <c r="C3">
        <v>111</v>
      </c>
      <c r="D3">
        <v>130</v>
      </c>
      <c r="E3" t="s">
        <v>28</v>
      </c>
      <c r="G3" s="13"/>
    </row>
    <row r="4" spans="1:7" x14ac:dyDescent="0.2">
      <c r="A4" s="13">
        <v>46178</v>
      </c>
      <c r="B4" s="13" t="s">
        <v>24</v>
      </c>
      <c r="C4">
        <v>101</v>
      </c>
      <c r="D4">
        <v>234</v>
      </c>
      <c r="E4" t="s">
        <v>29</v>
      </c>
      <c r="G4" s="13"/>
    </row>
    <row r="5" spans="1:7" x14ac:dyDescent="0.2">
      <c r="A5" s="13">
        <v>46178</v>
      </c>
      <c r="B5" s="13" t="s">
        <v>25</v>
      </c>
      <c r="C5">
        <v>526</v>
      </c>
      <c r="D5">
        <v>553</v>
      </c>
      <c r="E5" t="s">
        <v>30</v>
      </c>
      <c r="G5" s="13"/>
    </row>
    <row r="6" spans="1:7" x14ac:dyDescent="0.2">
      <c r="A6" s="13">
        <v>46179</v>
      </c>
      <c r="B6" s="13" t="s">
        <v>24</v>
      </c>
      <c r="C6">
        <v>720</v>
      </c>
      <c r="D6">
        <v>720</v>
      </c>
      <c r="E6" t="s">
        <v>30</v>
      </c>
      <c r="G6" s="13"/>
    </row>
    <row r="7" spans="1:7" x14ac:dyDescent="0.2">
      <c r="A7" s="13">
        <v>46179</v>
      </c>
      <c r="B7" s="13" t="s">
        <v>25</v>
      </c>
      <c r="C7">
        <v>720</v>
      </c>
      <c r="D7">
        <v>720</v>
      </c>
      <c r="E7" t="s">
        <v>26</v>
      </c>
      <c r="G7" s="13"/>
    </row>
    <row r="8" spans="1:7" x14ac:dyDescent="0.2">
      <c r="A8" s="13">
        <v>46180</v>
      </c>
      <c r="B8" s="13" t="s">
        <v>24</v>
      </c>
      <c r="C8">
        <v>71</v>
      </c>
      <c r="D8">
        <v>345</v>
      </c>
      <c r="E8" t="s">
        <v>31</v>
      </c>
      <c r="G8" s="13"/>
    </row>
    <row r="9" spans="1:7" x14ac:dyDescent="0.2">
      <c r="A9" s="13">
        <v>46180</v>
      </c>
      <c r="B9" s="13" t="s">
        <v>25</v>
      </c>
      <c r="C9">
        <v>94</v>
      </c>
      <c r="D9">
        <v>124</v>
      </c>
      <c r="E9" t="s">
        <v>32</v>
      </c>
      <c r="G9" s="13"/>
    </row>
    <row r="10" spans="1:7" x14ac:dyDescent="0.2">
      <c r="A10" s="13">
        <v>46181</v>
      </c>
      <c r="B10" s="13" t="s">
        <v>24</v>
      </c>
      <c r="C10">
        <v>128</v>
      </c>
      <c r="D10">
        <v>120</v>
      </c>
      <c r="E10" t="s">
        <v>33</v>
      </c>
      <c r="G10" s="13"/>
    </row>
    <row r="11" spans="1:7" x14ac:dyDescent="0.2">
      <c r="A11" s="13">
        <v>46181</v>
      </c>
      <c r="B11" s="13" t="s">
        <v>25</v>
      </c>
      <c r="C11">
        <v>112</v>
      </c>
      <c r="D11">
        <v>100</v>
      </c>
      <c r="E11" t="s">
        <v>34</v>
      </c>
      <c r="G11" s="13"/>
    </row>
    <row r="12" spans="1:7" x14ac:dyDescent="0.2">
      <c r="A12" s="13">
        <v>46182</v>
      </c>
      <c r="B12" s="13" t="s">
        <v>24</v>
      </c>
      <c r="C12">
        <v>115</v>
      </c>
      <c r="D12">
        <v>131</v>
      </c>
      <c r="E12" t="s">
        <v>35</v>
      </c>
      <c r="G12" s="13"/>
    </row>
    <row r="13" spans="1:7" x14ac:dyDescent="0.2">
      <c r="A13" s="13">
        <v>46182</v>
      </c>
      <c r="B13" s="13" t="s">
        <v>25</v>
      </c>
      <c r="C13">
        <v>226</v>
      </c>
      <c r="D13">
        <v>189</v>
      </c>
      <c r="E13" t="s">
        <v>36</v>
      </c>
      <c r="G13" s="13"/>
    </row>
    <row r="14" spans="1:7" x14ac:dyDescent="0.2">
      <c r="A14" s="13">
        <v>46183</v>
      </c>
      <c r="B14" s="13" t="s">
        <v>24</v>
      </c>
      <c r="C14">
        <v>74</v>
      </c>
      <c r="D14">
        <v>50</v>
      </c>
      <c r="E14" t="s">
        <v>37</v>
      </c>
      <c r="G14" s="13"/>
    </row>
    <row r="15" spans="1:7" x14ac:dyDescent="0.2">
      <c r="A15" s="13">
        <v>46183</v>
      </c>
      <c r="B15" s="13" t="s">
        <v>25</v>
      </c>
      <c r="C15">
        <v>262</v>
      </c>
      <c r="D15">
        <v>209</v>
      </c>
      <c r="E15" t="s">
        <v>38</v>
      </c>
      <c r="G15" s="13"/>
    </row>
    <row r="16" spans="1:7" x14ac:dyDescent="0.2">
      <c r="A16" s="13">
        <v>46184</v>
      </c>
      <c r="B16" s="13" t="s">
        <v>24</v>
      </c>
      <c r="C16">
        <v>72</v>
      </c>
      <c r="D16">
        <v>173</v>
      </c>
      <c r="E16" t="s">
        <v>39</v>
      </c>
      <c r="G16" s="13"/>
    </row>
    <row r="17" spans="1:7" x14ac:dyDescent="0.2">
      <c r="A17" s="13">
        <v>46184</v>
      </c>
      <c r="B17" s="13" t="s">
        <v>25</v>
      </c>
      <c r="C17">
        <v>127</v>
      </c>
      <c r="D17">
        <v>170</v>
      </c>
      <c r="E17" t="s">
        <v>40</v>
      </c>
      <c r="G17" s="13"/>
    </row>
    <row r="18" spans="1:7" x14ac:dyDescent="0.2">
      <c r="A18" s="13">
        <v>46185</v>
      </c>
      <c r="B18" s="13" t="s">
        <v>24</v>
      </c>
      <c r="C18">
        <v>85</v>
      </c>
      <c r="D18">
        <v>108</v>
      </c>
      <c r="E18" t="s">
        <v>41</v>
      </c>
      <c r="G18" s="13"/>
    </row>
    <row r="19" spans="1:7" x14ac:dyDescent="0.2">
      <c r="A19" s="13">
        <v>46185</v>
      </c>
      <c r="B19" s="13" t="s">
        <v>25</v>
      </c>
      <c r="C19">
        <v>137</v>
      </c>
      <c r="D19">
        <v>264</v>
      </c>
      <c r="E19" t="s">
        <v>42</v>
      </c>
      <c r="G19" s="13"/>
    </row>
    <row r="20" spans="1:7" x14ac:dyDescent="0.2">
      <c r="A20" s="13">
        <v>46186</v>
      </c>
      <c r="B20" s="13" t="s">
        <v>24</v>
      </c>
      <c r="C20">
        <v>135</v>
      </c>
      <c r="D20">
        <v>165</v>
      </c>
      <c r="E20" t="s">
        <v>43</v>
      </c>
      <c r="G20" s="13"/>
    </row>
    <row r="21" spans="1:7" x14ac:dyDescent="0.2">
      <c r="A21" s="13">
        <v>46186</v>
      </c>
      <c r="B21" s="13" t="s">
        <v>25</v>
      </c>
      <c r="C21">
        <v>144</v>
      </c>
      <c r="D21">
        <v>187</v>
      </c>
      <c r="E21" t="s">
        <v>44</v>
      </c>
      <c r="G21" s="13"/>
    </row>
    <row r="22" spans="1:7" x14ac:dyDescent="0.2">
      <c r="A22" s="13">
        <v>46187</v>
      </c>
      <c r="B22" t="s">
        <v>24</v>
      </c>
      <c r="C22">
        <v>53</v>
      </c>
      <c r="D22">
        <v>123</v>
      </c>
      <c r="E22" t="s">
        <v>45</v>
      </c>
      <c r="G22" s="13"/>
    </row>
    <row r="23" spans="1:7" x14ac:dyDescent="0.2">
      <c r="A23" s="13">
        <v>46187</v>
      </c>
      <c r="B23" t="s">
        <v>25</v>
      </c>
      <c r="C23">
        <v>334</v>
      </c>
      <c r="D23">
        <v>503</v>
      </c>
      <c r="E23" t="s">
        <v>46</v>
      </c>
      <c r="G23" s="13"/>
    </row>
    <row r="24" spans="1:7" x14ac:dyDescent="0.2">
      <c r="A24" s="13">
        <v>46188</v>
      </c>
      <c r="B24" t="s">
        <v>24</v>
      </c>
      <c r="C24">
        <v>188</v>
      </c>
      <c r="D24">
        <v>207</v>
      </c>
      <c r="E24" t="s">
        <v>47</v>
      </c>
      <c r="G24" s="13"/>
    </row>
    <row r="25" spans="1:7" x14ac:dyDescent="0.2">
      <c r="A25" s="13">
        <v>46188</v>
      </c>
      <c r="B25" t="s">
        <v>25</v>
      </c>
      <c r="C25">
        <v>97</v>
      </c>
      <c r="D25">
        <v>103</v>
      </c>
      <c r="E25" t="s">
        <v>48</v>
      </c>
      <c r="G25" s="13"/>
    </row>
    <row r="26" spans="1:7" x14ac:dyDescent="0.2">
      <c r="A26" s="13">
        <v>46189</v>
      </c>
      <c r="B26" t="s">
        <v>24</v>
      </c>
      <c r="C26">
        <v>98</v>
      </c>
      <c r="D26">
        <v>120</v>
      </c>
      <c r="E26" t="s">
        <v>49</v>
      </c>
      <c r="G26" s="13"/>
    </row>
    <row r="27" spans="1:7" x14ac:dyDescent="0.2">
      <c r="A27" s="13">
        <v>46189</v>
      </c>
      <c r="B27" t="s">
        <v>25</v>
      </c>
      <c r="C27">
        <v>125</v>
      </c>
      <c r="D27">
        <v>134</v>
      </c>
      <c r="E27" t="s">
        <v>50</v>
      </c>
      <c r="G27" s="13"/>
    </row>
    <row r="28" spans="1:7" x14ac:dyDescent="0.2">
      <c r="A28" s="13">
        <v>46190</v>
      </c>
      <c r="B28" t="s">
        <v>24</v>
      </c>
      <c r="C28">
        <v>156</v>
      </c>
      <c r="D28">
        <v>142</v>
      </c>
      <c r="E28" t="s">
        <v>51</v>
      </c>
      <c r="G28" s="13"/>
    </row>
    <row r="29" spans="1:7" x14ac:dyDescent="0.2">
      <c r="A29" s="13">
        <v>46190</v>
      </c>
      <c r="B29" t="s">
        <v>25</v>
      </c>
      <c r="C29">
        <v>245</v>
      </c>
      <c r="D29">
        <v>282</v>
      </c>
      <c r="E29" t="s">
        <v>52</v>
      </c>
      <c r="G29" s="13"/>
    </row>
    <row r="30" spans="1:7" x14ac:dyDescent="0.2">
      <c r="A30" s="13">
        <v>46191</v>
      </c>
      <c r="B30" t="s">
        <v>24</v>
      </c>
      <c r="C30">
        <v>148</v>
      </c>
      <c r="D30">
        <v>84</v>
      </c>
      <c r="E30" t="s">
        <v>53</v>
      </c>
      <c r="G30" s="13"/>
    </row>
    <row r="31" spans="1:7" x14ac:dyDescent="0.2">
      <c r="A31" s="13">
        <v>46191</v>
      </c>
      <c r="B31" t="s">
        <v>25</v>
      </c>
      <c r="C31">
        <v>113</v>
      </c>
      <c r="D31">
        <v>148</v>
      </c>
      <c r="E31" t="s">
        <v>54</v>
      </c>
      <c r="G31" s="13"/>
    </row>
    <row r="32" spans="1:7" x14ac:dyDescent="0.2">
      <c r="A32" s="13">
        <v>46192</v>
      </c>
      <c r="B32" t="s">
        <v>24</v>
      </c>
      <c r="C32">
        <v>65</v>
      </c>
      <c r="D32">
        <v>139</v>
      </c>
      <c r="E32" t="s">
        <v>55</v>
      </c>
      <c r="G32" s="13"/>
    </row>
    <row r="33" spans="1:7" x14ac:dyDescent="0.2">
      <c r="A33" s="13">
        <v>46192</v>
      </c>
      <c r="B33" t="s">
        <v>25</v>
      </c>
      <c r="C33">
        <v>0</v>
      </c>
      <c r="D33">
        <v>131</v>
      </c>
      <c r="E33" t="s">
        <v>56</v>
      </c>
      <c r="G33" s="13"/>
    </row>
    <row r="34" spans="1:7" x14ac:dyDescent="0.2">
      <c r="A34" s="13">
        <v>46193</v>
      </c>
      <c r="B34" t="s">
        <v>24</v>
      </c>
      <c r="C34">
        <v>503</v>
      </c>
      <c r="D34">
        <v>509</v>
      </c>
      <c r="E34" t="s">
        <v>57</v>
      </c>
      <c r="G34" s="13"/>
    </row>
    <row r="35" spans="1:7" x14ac:dyDescent="0.2">
      <c r="A35" s="13">
        <v>46193</v>
      </c>
      <c r="B35" t="s">
        <v>25</v>
      </c>
      <c r="C35">
        <v>376</v>
      </c>
      <c r="D35">
        <v>720</v>
      </c>
      <c r="E35" t="s">
        <v>58</v>
      </c>
      <c r="G35" s="13"/>
    </row>
    <row r="36" spans="1:7" x14ac:dyDescent="0.2">
      <c r="A36" s="13">
        <v>46194</v>
      </c>
      <c r="B36" t="s">
        <v>24</v>
      </c>
      <c r="C36">
        <v>700</v>
      </c>
      <c r="D36">
        <v>720</v>
      </c>
      <c r="E36" t="s">
        <v>59</v>
      </c>
      <c r="G36" s="13"/>
    </row>
    <row r="37" spans="1:7" x14ac:dyDescent="0.2">
      <c r="A37" s="13">
        <v>46194</v>
      </c>
      <c r="B37" t="s">
        <v>25</v>
      </c>
      <c r="C37">
        <v>286</v>
      </c>
      <c r="D37">
        <v>720</v>
      </c>
      <c r="E37" t="s">
        <v>60</v>
      </c>
      <c r="G37" s="13"/>
    </row>
    <row r="38" spans="1:7" x14ac:dyDescent="0.2">
      <c r="A38" s="13">
        <v>46195</v>
      </c>
      <c r="B38" t="s">
        <v>24</v>
      </c>
      <c r="C38">
        <v>64</v>
      </c>
      <c r="D38">
        <v>237</v>
      </c>
      <c r="E38" t="s">
        <v>61</v>
      </c>
      <c r="G38" s="13"/>
    </row>
    <row r="39" spans="1:7" x14ac:dyDescent="0.2">
      <c r="A39" s="13">
        <v>46195</v>
      </c>
      <c r="B39" t="s">
        <v>25</v>
      </c>
      <c r="C39">
        <v>147</v>
      </c>
      <c r="D39">
        <v>188</v>
      </c>
      <c r="E39" t="s">
        <v>62</v>
      </c>
      <c r="G39" s="13"/>
    </row>
    <row r="40" spans="1:7" x14ac:dyDescent="0.2">
      <c r="A40" s="13">
        <v>46196</v>
      </c>
      <c r="B40" t="s">
        <v>24</v>
      </c>
      <c r="C40">
        <v>43</v>
      </c>
      <c r="D40">
        <v>116</v>
      </c>
      <c r="E40" t="s">
        <v>63</v>
      </c>
      <c r="G40" s="13"/>
    </row>
    <row r="41" spans="1:7" x14ac:dyDescent="0.2">
      <c r="A41" s="13">
        <v>46196</v>
      </c>
      <c r="B41" t="s">
        <v>25</v>
      </c>
      <c r="C41">
        <v>83</v>
      </c>
      <c r="D41">
        <v>164</v>
      </c>
      <c r="E41" t="s">
        <v>64</v>
      </c>
      <c r="G41" s="13"/>
    </row>
    <row r="42" spans="1:7" x14ac:dyDescent="0.2">
      <c r="A42" s="13">
        <v>46197</v>
      </c>
      <c r="B42" t="s">
        <v>24</v>
      </c>
      <c r="C42">
        <v>67</v>
      </c>
      <c r="D42">
        <v>100</v>
      </c>
      <c r="E42" t="s">
        <v>65</v>
      </c>
      <c r="G42" s="13"/>
    </row>
    <row r="43" spans="1:7" x14ac:dyDescent="0.2">
      <c r="A43" s="13">
        <v>46197</v>
      </c>
      <c r="B43" t="s">
        <v>25</v>
      </c>
      <c r="C43">
        <v>102</v>
      </c>
      <c r="D43">
        <v>220</v>
      </c>
      <c r="E43" t="s">
        <v>66</v>
      </c>
      <c r="G43" s="13"/>
    </row>
    <row r="44" spans="1:7" x14ac:dyDescent="0.2">
      <c r="A44" s="13">
        <v>46198</v>
      </c>
      <c r="B44" t="s">
        <v>24</v>
      </c>
      <c r="C44">
        <v>105</v>
      </c>
      <c r="D44">
        <v>289</v>
      </c>
      <c r="E44" t="s">
        <v>67</v>
      </c>
      <c r="G44" s="13"/>
    </row>
    <row r="45" spans="1:7" x14ac:dyDescent="0.2">
      <c r="A45" s="13">
        <v>46198</v>
      </c>
      <c r="B45" t="s">
        <v>25</v>
      </c>
      <c r="C45">
        <v>213</v>
      </c>
      <c r="D45">
        <v>227</v>
      </c>
      <c r="E45" t="s">
        <v>68</v>
      </c>
      <c r="G45" s="13"/>
    </row>
    <row r="46" spans="1:7" x14ac:dyDescent="0.2">
      <c r="A46" s="13">
        <v>46199</v>
      </c>
      <c r="B46" t="s">
        <v>24</v>
      </c>
      <c r="C46">
        <v>116</v>
      </c>
      <c r="D46">
        <v>109</v>
      </c>
      <c r="E46" t="s">
        <v>69</v>
      </c>
      <c r="G46" s="13"/>
    </row>
    <row r="47" spans="1:7" x14ac:dyDescent="0.2">
      <c r="A47" s="13">
        <v>46199</v>
      </c>
      <c r="B47" t="s">
        <v>25</v>
      </c>
      <c r="C47">
        <v>143</v>
      </c>
      <c r="D47">
        <v>101</v>
      </c>
      <c r="E47" t="s">
        <v>70</v>
      </c>
      <c r="G47" s="13"/>
    </row>
    <row r="48" spans="1:7" x14ac:dyDescent="0.2">
      <c r="A48" s="13">
        <v>46200</v>
      </c>
      <c r="B48" t="s">
        <v>24</v>
      </c>
      <c r="C48">
        <v>78</v>
      </c>
      <c r="D48">
        <v>199</v>
      </c>
      <c r="E48" t="s">
        <v>71</v>
      </c>
      <c r="G48" s="13"/>
    </row>
    <row r="49" spans="1:7" x14ac:dyDescent="0.2">
      <c r="A49" s="13">
        <v>46200</v>
      </c>
      <c r="B49" t="s">
        <v>25</v>
      </c>
      <c r="C49">
        <v>213</v>
      </c>
      <c r="D49">
        <v>243</v>
      </c>
      <c r="E49" t="s">
        <v>72</v>
      </c>
      <c r="G49" s="13"/>
    </row>
    <row r="50" spans="1:7" x14ac:dyDescent="0.2">
      <c r="A50" s="13">
        <v>46201</v>
      </c>
      <c r="B50" t="s">
        <v>24</v>
      </c>
      <c r="C50">
        <v>394</v>
      </c>
      <c r="D50">
        <v>677</v>
      </c>
      <c r="E50" t="s">
        <v>73</v>
      </c>
      <c r="G50" s="13"/>
    </row>
    <row r="51" spans="1:7" x14ac:dyDescent="0.2">
      <c r="A51" s="13">
        <v>46201</v>
      </c>
      <c r="B51" t="s">
        <v>25</v>
      </c>
      <c r="C51">
        <v>182</v>
      </c>
      <c r="D51">
        <v>720</v>
      </c>
      <c r="E51" t="s">
        <v>74</v>
      </c>
      <c r="G51" s="13"/>
    </row>
    <row r="52" spans="1:7" x14ac:dyDescent="0.2">
      <c r="A52" s="13">
        <v>46202</v>
      </c>
      <c r="B52" t="s">
        <v>24</v>
      </c>
      <c r="C52">
        <v>255</v>
      </c>
      <c r="D52">
        <v>627</v>
      </c>
      <c r="E52" t="s">
        <v>75</v>
      </c>
      <c r="G52" s="13"/>
    </row>
    <row r="53" spans="1:7" x14ac:dyDescent="0.2">
      <c r="A53" s="13">
        <v>46202</v>
      </c>
      <c r="B53" t="s">
        <v>25</v>
      </c>
      <c r="C53">
        <v>198</v>
      </c>
      <c r="D53">
        <v>136</v>
      </c>
      <c r="E53" t="s">
        <v>76</v>
      </c>
      <c r="G53" s="13"/>
    </row>
    <row r="54" spans="1:7" x14ac:dyDescent="0.2">
      <c r="A54" s="13">
        <v>46203</v>
      </c>
      <c r="B54" t="s">
        <v>24</v>
      </c>
      <c r="C54">
        <v>165</v>
      </c>
      <c r="D54">
        <v>96</v>
      </c>
      <c r="E54" t="s">
        <v>77</v>
      </c>
      <c r="G54" s="13"/>
    </row>
    <row r="55" spans="1:7" x14ac:dyDescent="0.2">
      <c r="A55" s="13">
        <v>46203</v>
      </c>
      <c r="B55" t="s">
        <v>25</v>
      </c>
      <c r="C55">
        <v>109</v>
      </c>
      <c r="D55">
        <v>127</v>
      </c>
      <c r="E55" t="s">
        <v>78</v>
      </c>
      <c r="G55" s="13"/>
    </row>
    <row r="56" spans="1:7" x14ac:dyDescent="0.2">
      <c r="A56" s="13">
        <v>46204</v>
      </c>
      <c r="B56" t="s">
        <v>24</v>
      </c>
      <c r="C56">
        <v>100</v>
      </c>
      <c r="D56">
        <v>84</v>
      </c>
      <c r="E56" t="s">
        <v>79</v>
      </c>
      <c r="G56" s="13"/>
    </row>
    <row r="57" spans="1:7" x14ac:dyDescent="0.2">
      <c r="A57" s="13">
        <v>46204</v>
      </c>
      <c r="B57" t="s">
        <v>25</v>
      </c>
      <c r="C57">
        <v>105</v>
      </c>
      <c r="D57">
        <v>130</v>
      </c>
      <c r="E57" t="s">
        <v>80</v>
      </c>
      <c r="G57" s="13"/>
    </row>
    <row r="58" spans="1:7" x14ac:dyDescent="0.2">
      <c r="A58" s="13">
        <v>46205</v>
      </c>
      <c r="B58" t="s">
        <v>24</v>
      </c>
      <c r="C58">
        <v>266</v>
      </c>
      <c r="D58">
        <v>584</v>
      </c>
      <c r="E58" t="s">
        <v>81</v>
      </c>
      <c r="G58" s="13"/>
    </row>
    <row r="59" spans="1:7" x14ac:dyDescent="0.2">
      <c r="A59" s="13">
        <v>46205</v>
      </c>
      <c r="B59" t="s">
        <v>25</v>
      </c>
      <c r="C59">
        <v>172</v>
      </c>
      <c r="D59">
        <v>164</v>
      </c>
      <c r="E59" t="s">
        <v>82</v>
      </c>
      <c r="G59" s="13"/>
    </row>
    <row r="60" spans="1:7" x14ac:dyDescent="0.2">
      <c r="A60" s="13">
        <v>46206</v>
      </c>
      <c r="B60" t="s">
        <v>24</v>
      </c>
      <c r="C60">
        <v>125</v>
      </c>
      <c r="D60">
        <v>106</v>
      </c>
      <c r="E60" t="s">
        <v>83</v>
      </c>
      <c r="G60" s="13"/>
    </row>
    <row r="61" spans="1:7" x14ac:dyDescent="0.2">
      <c r="A61" s="13">
        <v>46206</v>
      </c>
      <c r="B61" t="s">
        <v>25</v>
      </c>
      <c r="C61">
        <v>92</v>
      </c>
      <c r="D61">
        <v>146</v>
      </c>
      <c r="E61" t="s">
        <v>84</v>
      </c>
      <c r="G61" s="13"/>
    </row>
    <row r="62" spans="1:7" x14ac:dyDescent="0.2">
      <c r="A62" s="13">
        <v>46207</v>
      </c>
      <c r="B62" t="s">
        <v>24</v>
      </c>
      <c r="C62">
        <v>92</v>
      </c>
      <c r="D62">
        <v>78</v>
      </c>
      <c r="E62" t="s">
        <v>85</v>
      </c>
      <c r="G62" s="13"/>
    </row>
    <row r="63" spans="1:7" x14ac:dyDescent="0.2">
      <c r="A63" s="13">
        <v>46207</v>
      </c>
      <c r="B63" t="s">
        <v>25</v>
      </c>
      <c r="C63">
        <v>158</v>
      </c>
      <c r="D63">
        <v>125</v>
      </c>
      <c r="E63" t="s">
        <v>86</v>
      </c>
      <c r="G63" s="13"/>
    </row>
    <row r="64" spans="1:7" x14ac:dyDescent="0.2">
      <c r="A64" s="13">
        <v>46208</v>
      </c>
      <c r="B64" t="s">
        <v>24</v>
      </c>
      <c r="C64">
        <v>134</v>
      </c>
      <c r="D64">
        <v>186</v>
      </c>
      <c r="E64" t="s">
        <v>87</v>
      </c>
      <c r="G64" s="13"/>
    </row>
    <row r="65" spans="1:7" x14ac:dyDescent="0.2">
      <c r="A65" s="13">
        <v>46208</v>
      </c>
      <c r="B65" t="s">
        <v>25</v>
      </c>
      <c r="C65">
        <v>79</v>
      </c>
      <c r="D65">
        <v>139</v>
      </c>
      <c r="E65" t="s">
        <v>88</v>
      </c>
      <c r="G65" s="13"/>
    </row>
    <row r="66" spans="1:7" x14ac:dyDescent="0.2">
      <c r="A66" s="13">
        <v>46209</v>
      </c>
      <c r="B66" t="s">
        <v>24</v>
      </c>
      <c r="C66">
        <v>107</v>
      </c>
      <c r="D66">
        <v>166</v>
      </c>
      <c r="E66" t="s">
        <v>89</v>
      </c>
      <c r="G66" s="13"/>
    </row>
    <row r="67" spans="1:7" x14ac:dyDescent="0.2">
      <c r="A67" s="13">
        <v>46209</v>
      </c>
      <c r="B67" t="s">
        <v>25</v>
      </c>
      <c r="C67">
        <v>104</v>
      </c>
      <c r="D67">
        <v>238</v>
      </c>
      <c r="E67" t="s">
        <v>90</v>
      </c>
      <c r="G67" s="13"/>
    </row>
    <row r="68" spans="1:7" x14ac:dyDescent="0.2">
      <c r="A68" s="13">
        <v>46210</v>
      </c>
      <c r="B68" t="s">
        <v>24</v>
      </c>
      <c r="C68">
        <v>75</v>
      </c>
      <c r="D68">
        <v>190</v>
      </c>
      <c r="E68" t="s">
        <v>91</v>
      </c>
      <c r="G68" s="13"/>
    </row>
    <row r="69" spans="1:7" x14ac:dyDescent="0.2">
      <c r="A69" s="13">
        <v>46210</v>
      </c>
      <c r="B69" t="s">
        <v>25</v>
      </c>
      <c r="C69">
        <v>141</v>
      </c>
      <c r="D69">
        <v>194</v>
      </c>
      <c r="E69" t="s">
        <v>92</v>
      </c>
      <c r="G69" s="13"/>
    </row>
    <row r="70" spans="1:7" x14ac:dyDescent="0.2">
      <c r="A70" s="13">
        <v>46211</v>
      </c>
      <c r="B70" t="s">
        <v>24</v>
      </c>
      <c r="C70">
        <v>303</v>
      </c>
      <c r="D70">
        <v>146</v>
      </c>
      <c r="E70" t="s">
        <v>93</v>
      </c>
      <c r="G70" s="13"/>
    </row>
    <row r="71" spans="1:7" x14ac:dyDescent="0.2">
      <c r="A71" s="13">
        <v>46211</v>
      </c>
      <c r="B71" t="s">
        <v>25</v>
      </c>
      <c r="C71">
        <v>249</v>
      </c>
      <c r="D71">
        <v>62</v>
      </c>
      <c r="E71" t="s">
        <v>94</v>
      </c>
      <c r="G71" s="13"/>
    </row>
    <row r="72" spans="1:7" x14ac:dyDescent="0.2">
      <c r="A72" s="13">
        <f>+A70+1</f>
        <v>46212</v>
      </c>
      <c r="B72" t="s">
        <v>24</v>
      </c>
      <c r="C72">
        <v>0</v>
      </c>
      <c r="D72">
        <v>0</v>
      </c>
      <c r="E72" t="s">
        <v>145</v>
      </c>
    </row>
    <row r="73" spans="1:7" x14ac:dyDescent="0.2">
      <c r="A73" s="13">
        <f t="shared" ref="A73" si="0">+A71+1</f>
        <v>46212</v>
      </c>
      <c r="B73" t="s">
        <v>25</v>
      </c>
      <c r="C73">
        <v>72</v>
      </c>
      <c r="D73">
        <v>236</v>
      </c>
      <c r="E73" t="s">
        <v>146</v>
      </c>
    </row>
    <row r="74" spans="1:7" x14ac:dyDescent="0.2">
      <c r="A74" s="13"/>
    </row>
    <row r="75" spans="1:7" x14ac:dyDescent="0.2">
      <c r="A75" s="13"/>
    </row>
    <row r="76" spans="1:7" x14ac:dyDescent="0.2">
      <c r="A76" s="13"/>
    </row>
    <row r="77" spans="1:7" x14ac:dyDescent="0.2">
      <c r="A77" s="13"/>
    </row>
    <row r="78" spans="1:7" x14ac:dyDescent="0.2">
      <c r="A78" s="13"/>
    </row>
    <row r="79" spans="1:7" x14ac:dyDescent="0.2">
      <c r="A79" s="13"/>
    </row>
    <row r="80" spans="1:7" x14ac:dyDescent="0.2">
      <c r="A80" s="13"/>
    </row>
    <row r="81" spans="1:1" x14ac:dyDescent="0.2">
      <c r="A81" s="13"/>
    </row>
    <row r="82" spans="1:1" x14ac:dyDescent="0.2">
      <c r="A82" s="13"/>
    </row>
    <row r="83" spans="1:1" x14ac:dyDescent="0.2">
      <c r="A83" s="13"/>
    </row>
    <row r="84" spans="1:1" x14ac:dyDescent="0.2">
      <c r="A84" s="13"/>
    </row>
    <row r="85" spans="1:1" x14ac:dyDescent="0.2">
      <c r="A85" s="13"/>
    </row>
    <row r="86" spans="1:1" x14ac:dyDescent="0.2">
      <c r="A86" s="13"/>
    </row>
    <row r="87" spans="1:1" x14ac:dyDescent="0.2">
      <c r="A87" s="13"/>
    </row>
    <row r="88" spans="1:1" x14ac:dyDescent="0.2">
      <c r="A88" s="13"/>
    </row>
    <row r="89" spans="1:1" x14ac:dyDescent="0.2">
      <c r="A89" s="13"/>
    </row>
    <row r="90" spans="1:1" x14ac:dyDescent="0.2">
      <c r="A90" s="13"/>
    </row>
    <row r="91" spans="1:1" x14ac:dyDescent="0.2">
      <c r="A91" s="13"/>
    </row>
    <row r="92" spans="1:1" x14ac:dyDescent="0.2">
      <c r="A92" s="13"/>
    </row>
    <row r="93" spans="1:1" x14ac:dyDescent="0.2">
      <c r="A93" s="13"/>
    </row>
    <row r="94" spans="1:1" x14ac:dyDescent="0.2">
      <c r="A94" s="13"/>
    </row>
    <row r="95" spans="1:1" x14ac:dyDescent="0.2">
      <c r="A95" s="13"/>
    </row>
    <row r="96" spans="1:1" x14ac:dyDescent="0.2">
      <c r="A96" s="13"/>
    </row>
    <row r="97" spans="1:1" x14ac:dyDescent="0.2">
      <c r="A97" s="13"/>
    </row>
    <row r="98" spans="1:1" x14ac:dyDescent="0.2">
      <c r="A98" s="13"/>
    </row>
    <row r="99" spans="1:1" x14ac:dyDescent="0.2">
      <c r="A99" s="13"/>
    </row>
    <row r="100" spans="1:1" x14ac:dyDescent="0.2">
      <c r="A100" s="13"/>
    </row>
    <row r="101" spans="1:1" x14ac:dyDescent="0.2">
      <c r="A101" s="13"/>
    </row>
    <row r="102" spans="1:1" x14ac:dyDescent="0.2">
      <c r="A102" s="13"/>
    </row>
    <row r="103" spans="1:1" x14ac:dyDescent="0.2">
      <c r="A103" s="13"/>
    </row>
    <row r="104" spans="1:1" x14ac:dyDescent="0.2">
      <c r="A104" s="13"/>
    </row>
    <row r="105" spans="1:1" x14ac:dyDescent="0.2">
      <c r="A105" s="13"/>
    </row>
    <row r="106" spans="1:1" x14ac:dyDescent="0.2">
      <c r="A106" s="13"/>
    </row>
    <row r="107" spans="1:1" x14ac:dyDescent="0.2">
      <c r="A107" s="13"/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9F33075-7C9F-4720-B6CE-BC36F70C6C1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выработка</vt:lpstr>
      <vt:lpstr>простои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Огей Маргарита Викторовна</dc:creator>
  <cp:lastModifiedBy>Огей Маргарита Викторовна</cp:lastModifiedBy>
  <dcterms:created xsi:type="dcterms:W3CDTF">2026-07-07T16:41:02Z</dcterms:created>
  <dcterms:modified xsi:type="dcterms:W3CDTF">2026-08-05T07:49:19Z</dcterms:modified>
</cp:coreProperties>
</file>