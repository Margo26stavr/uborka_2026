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75D116AD-A3C7-435F-924C-9640F8B487C2}" xr6:coauthVersionLast="47" xr6:coauthVersionMax="47" xr10:uidLastSave="{00000000-0000-0000-0000-000000000000}"/>
  <bookViews>
    <workbookView xWindow="-120" yWindow="-120" windowWidth="29040" windowHeight="15840" xr2:uid="{5697CE9D-D76D-4881-B63D-1C855ABBD3CE}"/>
  </bookViews>
  <sheets>
    <sheet name="выработка" sheetId="2" r:id="rId1"/>
    <sheet name="простои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B29" i="2" l="1"/>
  <c r="B28" i="2" s="1"/>
  <c r="C29" i="2"/>
  <c r="C28" i="2" s="1"/>
  <c r="D29" i="2"/>
  <c r="D28" i="2" s="1"/>
  <c r="E29" i="2"/>
  <c r="E28" i="2" s="1"/>
  <c r="C26" i="2"/>
  <c r="D26" i="2"/>
  <c r="E26" i="2"/>
  <c r="C27" i="2"/>
  <c r="D27" i="2"/>
  <c r="E27" i="2"/>
  <c r="B26" i="2"/>
  <c r="B27" i="2"/>
  <c r="A48" i="2" l="1"/>
  <c r="A47" i="2" s="1"/>
  <c r="A46" i="2" s="1"/>
  <c r="A45" i="2" s="1"/>
  <c r="A44" i="2" s="1"/>
  <c r="A43" i="2" s="1"/>
  <c r="A42" i="2" s="1"/>
  <c r="A41" i="2" s="1"/>
  <c r="A40" i="2" s="1"/>
  <c r="A39" i="2" s="1"/>
  <c r="A38" i="2" s="1"/>
  <c r="A37" i="2" s="1"/>
  <c r="A36" i="2" s="1"/>
  <c r="A35" i="2" s="1"/>
  <c r="A34" i="2" s="1"/>
  <c r="A33" i="2" s="1"/>
  <c r="A3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<sst xmlns="http://schemas.openxmlformats.org/spreadsheetml/2006/main" count="165" uniqueCount="96">
  <si>
    <t>Дата</t>
  </si>
  <si>
    <t>ПП</t>
  </si>
  <si>
    <t>ГБС</t>
  </si>
  <si>
    <t>ВС</t>
  </si>
  <si>
    <t>1с</t>
  </si>
  <si>
    <t>2с</t>
  </si>
  <si>
    <t>Горох итого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</si>
  <si>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</si>
  <si>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</si>
  <si>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</si>
  <si>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</si>
  <si>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</si>
  <si>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</si>
  <si>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</si>
  <si>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</si>
  <si>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отчет по выпуску банок на 07/07/2026 (тыс.шт)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</si>
  <si>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</si>
  <si>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</si>
  <si>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</si>
  <si>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</si>
  <si>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</si>
  <si>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</si>
  <si>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</si>
  <si>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</si>
  <si>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</si>
  <si>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</si>
  <si>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</si>
  <si>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Отсутствие сырья на заводе. Молодой горох. Машина зашла на территорию в 7.00 | Выгрузка, анализ, запуск. с 8.00 линии в работе.</t>
  </si>
  <si>
    <t>Настройка линии в потоке.</t>
  </si>
  <si>
    <t>Настройка линии в потоке. Плановое повышение скорости.</t>
  </si>
  <si>
    <t>Настройка лн2 (замятие жб в распределительном шнеке). / Недостаточно сырья в бункере (поломка автомобиля) - 35 мин.</t>
  </si>
  <si>
    <t>Отсутствие сырья на заводе. Молодой горох.</t>
  </si>
  <si>
    <t>Кратковременное отключение элэнергии, восстановление параметров, наполнение бункеров  - 29 мин. / Выгрузка машины, анализ, наполнение бункеров 59 мин. Отсутствие сырья на линии ( Автомобиль Газ не выгружается на лн2), выгрузка следующей машины, наполнение бункеров - 55 мин. Ошибка оператора на закаточной машине - 21 мин Замена редуктора на элеваторе лн2 - 70 мин. Кратковременное отключение элэнергии, восстановление параметров, наполнение бункеров  - 29 мин.</t>
  </si>
  <si>
    <t>На корзиноукладчике зависла магнитная голова - 2 мин Корзиноукладчик не берет прокладку - 3 мин Наполнение бункеров после мойки - 9 мин Мойка линии - 80 мин / На депалетайзере застрял поддон (нарушена геометрия) - 4 мин Замятие крышки 1 раз - 6 мин Застряла банка в ошпаривателе 2 раза (перевернутая) - 2 и 3 мин На первичке выбило приёмный бункер - 14 мин Выбило наполнитель зерна - 4 мин Наполнение бункеров после мойки - 10 мин Мойка линии 80 мин.</t>
  </si>
  <si>
    <t>Корзиноукладчик не берет прокладку 2 раза - 4 мин, сбой датчика- 2 мин Нет подачи банки с депаллетайзера - 3 раза - 20 мин Сбой работы наполнителя заливы, восстановление, наполнение бункеров - 38 мин Мойка линии - 30 мин Наполнение бункеров после мойки - 7 мин / Нет подачи банки с депаллетайзера 3 раза - 18 мин Отсутствие сырья на заводе, выгрузка машин, наполнение бункеров 2 раза - общее время - 78 мин. В это время мойка линии 35 мин.</t>
  </si>
  <si>
    <t>Замятие крышки в закатке- 5 минКорзиноукладчик не берет прокладку 1 раза - 2 минНет подачи банки с депаллетайзера - 1 раз - 3 минСбит датчик на выходе корзин - 3 минМойка линии - 90 минНаполнение бункеров после мойки - 9 мин / Застрял поддон на паллетайзере - 15 минМойка линии 80 мин.Наполнение бункеров после мойки- 8 мин</t>
  </si>
  <si>
    <t>Замятие крышки в закатке 1 раз - 6 минКорзиноукладчик не берет прокладку 5 раз - 14 минНет подачи банки с депаллетайзера - 3 раза - 21 минМойка линии - 45 минНаполнение бункеров после мойки - 14 мин / Нет подачи банки с депалетайзера 2 раза - 9 минЗамятие банки в закатке 5 раз - 43 минМойка линии 37 мин.Настройка синхронизации - 14 мин</t>
  </si>
  <si>
    <t>Остановка первички для мойки барабана сухой чистки - 25 минОбмывка линии после срабатывания сырья с низким рн- 15 минКорзиноукладчик не берет прокладку 2 раза - 4 минНет подачи банки с депаллетайзера - 4 раза - 19 минМойка линии - 105 минНаполнение бункеров после мойки - 15 мин / Ополаскивание линии после сырья с низким рн - 38 минНет подачи банки с депалетайзера 4 раза - 24 минЗамятие банки в закатке 0 раз - 0 минМойка линии 95 мин.Наполнение после мойки - 13 мин</t>
  </si>
  <si>
    <t>Замяло банку в закатке - 3 минНаполнитель зерна настройка датчика - 11 минКорзиноукладчик не берет прокладку 4 раза - 12 минНет подачи банки с депаллетайзера 1 раза - 10 минМойка линии - 30 мин / Нет подачи банки с депалетайзера 3 раза - 5 минЗамятие банки в закатке 1 раз - 8 минМойка линии 30 мин.Наполнение после мойки - 7 мин</t>
  </si>
  <si>
    <t>Замяло банку в закатке 2 раза - 11 минКорзиноукладчик не берет/отпускает прокладку 16 раз - 52 минНет подачи банки с депаллетайзера 1 раза - 13 минОбрыв вала на падающего элеваторе - 37 минМойка линии - 80 мин / Бланширователь. Попадание постороннего предмета  - 36 минОбрыв крепежа люка сброса воды на первичке - 13 минРегулировка направляющей - 17 минНет подачи банки с депалетайзера 0 раз- 0 минЗамятие банки в закатке 3 раз - 16 минМойка линии 85 мин.Наполнение после мойки - 12 мин</t>
  </si>
  <si>
    <t>Замяло банку в закатке 1 раз - 2 минКорзиноукладчик не берет/отпускает прокладку  настройка - 20 минНет подачи банки с депаллетайзера 0 раз - 0 минМойка линии - 40 минНаполнение бункеров после мойки - 10 мин / Нет подачи банки с депалетайзера 1 раз- 60 мин (восстановление цикла)Замятие банки в закатке 5 раз - 49 минМойка линии 40 мин.Наполнение после мойки - 9 мин</t>
  </si>
  <si>
    <t>Замена стакана в наполнителе заливы - 11 минЗамяло банку в закатке 4 раза -  15 минКорзиноукладчик не берет/отпускает прокладку 1 раз - 5 минНет подачи банки с депаллетайзера 0 раз - 0 минМойка линии - 60 минНаполнение бункеров после мойки - 15 мин / Настройка синхронизации работы линии после закатки (затор на линии) - 22 минЗамена звеньев на транспортёре после закатки - 22 минНет подачи банки с депалетайзера 1 раз- 02 минЗамятие банки в закатке 5 раз - 19 минЗамена паллета с крышкой, настройка - 23 минМойка линии 60 мин.Наполнение после мойки - 11 мин</t>
  </si>
  <si>
    <t>Замяло банку в закатке 1 раз -  5 минКорзиноукладчик не берет/отпускает прокладку 2 раза - 5 минНет подачи банки с депаллетайзера 5 раз - 45 минМойка линии - 0 минНаполнение бункеров после мойки - 0 мин / Нет подачи банки с депалетайзера 1 раз- 02 минЗамятие банки в закатке 5 раз - 24 минМойка линии 0 мин.Наполнение после мойки - 0 мин</t>
  </si>
  <si>
    <t>Замяло банку в закатке 0 раз -  0 минКорзиноукладчик не берет/отпускает прокладку 0 раз - 0 минНет подачи банки с депаллетайзера 3 раза - 12 минМойка линии - 87 минНаполнение бункеров после мойки - 38 мин. / Отсутствие сырья (переезд на другое поле) - 65 минНет подачи банки с депалетайзера 0 раз- 0 минЗамятие банки в закатке 4 раза - 53 минМойка линии 87 мин.Наполнение после мойки - 42 мин</t>
  </si>
  <si>
    <t>Замяло банку в закатке 2 раза -  8 минКорзиноукладчик не берет/отпускает прокладку 3раза - 15 минНет подачи банки с депаллетайзера 3 раза -  21 минМойка линии - 35 минНаполнение бункеров после мойки - 5 мин. / Нет подачи банки с депалетайзера 0 раз- 0 минЗамятие банки в закатке 16 раз - 94 минМойка линии 37 мин.Наполнение после мойки - 15 мин</t>
  </si>
  <si>
    <t>Обрыв транспортерной ленты - 8 минЗамятие банки в наполнителе- 6 минЗамяло банку в закатке 2 раза -  6 минКорзиноукладчик не берет/отпускает прокладку 2раза - 4 минНет подачи банки с депаллетайзера 3 раза -  21 минМойка линии - 75 минНаполнение бункеров после мойки - 20мин. / Нет подачи банки с депалетайзера 1 раз- 4 минЗамятие банки в закатке 14 раз - 76 минМойка линии 95 мин.Наполнение после мойки - 18 мин</t>
  </si>
  <si>
    <t>Замяло банку в закатке 3 раза -  8 минКорзиноукладчик не берет/отпускает прокладку 5 раз - 13 минНет подачи банки с депаллетайзера 0 раза -  0 минМойка линии - 42 мин / Замена датчика температуры на бланширователе - 42 минНет подачи банки с депалетайзера 0 раз- 0 минЗамятие банки в закатке  0 раз - 0 минМойка линии 45мин.Наполнение после мойки - 9 мин</t>
  </si>
  <si>
    <t>Отсутствие сырья на заводе (дождь) в это время генеральная мойка линии.</t>
  </si>
  <si>
    <t>Завершение генмойки, выгрузка, анализ, наполнение бункеров- 57 минЗамятие банки - 10 раз - 37 минМойка - 40 минНаполнение после мойки- 16 мин / Завершение генмойки, выгрузка, анализ, наполнение бункеров- 77 минЗамятие банки 5 раз - 22 минМойка - 40 минНаполнение после мойки- 21 мин</t>
  </si>
  <si>
    <t>Мойка - 70 минНаполнение после мойки- 9 мин / Замятие банки 4 раза - 24 минМойка - 70 минНаполнение после мойки- 9 мин</t>
  </si>
  <si>
    <t>Замятие банки 11 раз - 38 минКорзиноукладчик 3 раза - 6 минДепаллетайзер (отсутствие банки) 2 раза - 8 мин.Мойка - 30 минНаполнение после мойки- 7 мин / Замятие банки 5 раз - 28 минДепаллетайзер (отсутствие банки) 2 раза - 6 минМойка - 35 минНаполнение после мойки- 13 мин</t>
  </si>
  <si>
    <t>Замятие банки 6 раз - 18 минКорзиноукладчик 2 раза - 7 минДепаллетайзер (отсутствие банки) 2 раза - 8 мин.Мойка - 85 минНаполнение после мойки- 10 мин / Замятие банки 4 раза - 25 минДепаллетайзер (отсутствие банки) 1 раза - 2 минМойка - 85 минНаполнение после мойки- 9 мин</t>
  </si>
  <si>
    <t>Порвался транспортёр- 25 минЗамятие банки 7 раз - 45 минКорзиноукладчик 3 раза - 11 минДепаллетайзер (отсутствие банки) 3 раза - 22 мин.Мойка - 30 минНаполнение после мойки- 5 мин / Замятие банки 12 раз - 55 минДепаллетайзер (отсутствие банки) 1 раза - 4 минМойка - 30 минНаполнение после мойки- 10 мин</t>
  </si>
  <si>
    <t>Настройка закаточной машины - 71 минЗамятие банки 19 раз - 75 минКорзиноукладчик 0 раза - 0 минДепаллетайзер (отсутствие банки) 2 раза - 5 мин.Мойка - 51 минНаполнение после мойки- 14 мин / Обрыв вала подъёмного транспортёра- 135 минЗамятие банки 3 раза - 25 минДепаллетайзер (отсутствие банки) 1 раза - 4 минМойка - 71 минНаполнение после мойки- 23 мин</t>
  </si>
  <si>
    <t>Проверка узлов закаточной машины при переходе на крышку Индекс - 64 минЗамятие банки 7 раз - 25 минКорзиноукладчик 0 раза - 0 минДепаллетайзер (отсутствие банки) 1 раз - 6 мин.Мойка - 30 минНаполнение после мойки- 12 мин / Замятие банки 7 раз - 35 минДепаллетайзер (отсутствие банки) 1 раза - 1 минМойка - 30 минНаполнение после мойки- 13 мин</t>
  </si>
  <si>
    <t>Замятие банки 0 раз - 0минКорзиноукладчик 7 раз - 22 минДепаллетайзер (отсутствие банки) 3 раза -  14 мин.Мойка - 68 минНаполнение после мойки- 8 мин / Сбой безопасности на закатке - 7 минНаполнение бункеров (подбор скорости) - 25 минЗамятие банки 8 раз - 35 минДепаллетайзер (отсутствие банки) 1 раза - 1 минМойка - 65 минНаполнение после мойки- 12 мин</t>
  </si>
  <si>
    <t>Замятие банки 3 раза - 9 минКорзиноукладчик 0 раз - 0 минДепаллетайзер (отсутствие банки) 1 раз -  6 мин.Мойка - 40 минНаполнение после мойки- 10 мин / Выбило приёмный бункер - 22 минНаполнитель сырья, настройка - 25 минЗамятие банки 4 раза - 37 минДепаллетайзер (отсутствие банки) 0 раза - 0 минМойка - 40 минНаполнение после мойки- 20 мин</t>
  </si>
  <si>
    <t>Замятие банки 0 раз - 0 минКорзиноукладчик 0 раз - 0 минДепаллетайзер (отсутствие банки) 0 раз -  0мин.Мойка - 0 минНаполнение после мойки- 0мин / Выбило приёмный бункер 2 раза - 35 минНаполнитель сырья, настройка - 25 минЗамятие банки 9 раз - 70 минДепаллетайзер (отсутствие банки) 1 раза - 4 минМойка - 0 минНаполнение после мойки- 0 минРаботали без мойки, в связи с ожидаемым разрывом поставки сырья (переезд в Агролидер), в это время проведём генеральную мойку, ориентировочно с 12.00 19.06.</t>
  </si>
  <si>
    <t>Замятие банки 1 раз - 4 минКорзиноукладчик 2 раза - 4 минДепаллетайзер (отсутствие банки) 02 раза -  8 мин.Генеральная Мойка - 485 минНаполнение после мойки- 0мин / Замятие банки 3 раза - 16 минДепаллетайзер (отсутствие банки) 2 раза - 6 минГенеральная Мойка - 487 минНаполнение после мойки- 0 мин</t>
  </si>
  <si>
    <t>Запуск линии, выход на заданные параметры- 41 минЗамятие банки 2 раза - 5 минКорзиноукладчик 0 раза - 0 минДепаллетайзер (отсутствие банки) 00 раза -  0 мин.Генеральная Мойка - 485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</si>
  <si>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Запуск линии, выход на заданные параметры- 42 минЗамятие банки 0раза - 0 минКорзиноукладчик 0 раза - 0 минДепаллетайзер (отсутствие банки) 00 раза -  0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</si>
  <si>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Ожидание сырья - 2 раза - 143 минВыгрузка машин, анализ, выход на заданные параметры - 34  минЗамятие банки при запуске 3 раза - 7 минКорзиноукладчик 3 раза - 8минДепаллетайзер (отсутствие банки)2 раза -  7 минМойка - 38 минНаполнение после мойки- 8 мин / Замятие банки 0раз- 0минДепаллетайзер (отсутствие банки) 0 раза - 0 минГенеральная Мойка - 0минНаполнение после мойки- 0 мин</t>
  </si>
  <si>
    <t>Замятие банки 1 раз - 3 минКорзиноукладчик (замена цилиндра) 1 раз - 5 минДепаллетайзер (отсутствие банки) 1 раз -  15 минМойка - 35 минНаполнение после мойки- 8 мин / Ожидание сырья (в 9.00 на заводе 2 машины) - 60 минАнализ, выгрузка, наполнение бункеров - 50 минЗамятие банки 8 раз- 44 минДепаллетайзер, ошпариватель (отсутствие банки) 2 раза - 4 минмойка - 30 минНаполнение после мойки- 12 мин</t>
  </si>
  <si>
    <t>засыпало элеватор  2 раза - 17 минзамена ремня в наполнителе зерна, настройка синхронизации - 33 минЗамятие банки 1 раз - 3 минКорзиноукладчик 3 раза - 11 минДепаллетайзер (отсутствие банки) 1 раз -  8 мин (сбой цикла)Мойка - 60 минНаполнение после мойки- 7 мин / Настройка закаточной машины - 13 минЗамятие банки 13 раз-  91 минДепаллетайзер, ошпариватель (отсутствие банки) 0 раз - 9 минмойка - 60 минНаполнение после мойки- 10 мин</t>
  </si>
  <si>
    <t>Замятие банки 0 раз - 0 минКорзиноукладчик 0 раз - 0 минДепаллетайзер (отсутствие банки)0 раз -  0 минМойка - 35 минНаполнение после мойки- 8 мин / Залип горох в бункере перед наполнителем - 14 минЗамятие банки 8 раз-  47 минДепаллетайзер, ошпариватель (отсутствие банки) 0 раз - 0 минмойка - 47 минНаполнение после мойки- 8 мин</t>
  </si>
  <si>
    <t>Замена датчика безопасности на закатке - 10 минЗамятие банки 0 раз - 0 минКорзиноукладчик 0 раз - 0 минДепаллетайзер (отсутствие банки)0 раз -  0 минМойка - 60 минНаполнение после мойки- 13 мин / Замятие банки 15 раз -  69 минДепаллетайзер, ошпариватель (отсутствие банки) 1 раз - 2 минмойка - 75 минНаполнение после мойки- 9 мин</t>
  </si>
  <si>
    <t>Замятие банки 0 раз - 0 минКорзиноукладчик 5 раз - 15 минДепаллетайзер (отсутствие банки)3 раз -  8 минМойка - 30 минНаполнение после мойки- 6 мин / Замятие банки 12 раз -  42 минДепаллетайзер, ошпариватель (отсутствие банки) 5 раз - 10 минмойка - 30 минНаполнение после мойки- 6 мин</t>
  </si>
  <si>
    <t>Замятие банки 1 раз - 5 минКорзиноукладчик 0 раз - 0 минДепаллетайзер (отсутствие банки)1 раз -  10 минМойка - 80 минНаполнение после мойки- 5мин / Залип горох в бункере наполнителя зерна - 24 минЗамятие банки 11 раз -  88 минДепаллетайзер, ошпариватель (отсутствие банки) 0 раз - 0 минмойка - 85 минНаполнение после мойки- 5 мин</t>
  </si>
  <si>
    <t>Замятие банки 2 раза - 10 минКорзиноукладчик 6 раз - 27 минДепаллетайзер (отсутствие банки)6 раз -  17минотсутствие сырья в это время мойка - 39 минНаполнение после мойки- 12 мин / Разрыв в подаче сырья, остановили лн2 для регулировки закаточной машины - 88 минЗамятие банки 33 раза -  116 минДепаллетайзер, ошпариватель (отсутствие банки) 1 раз - 2 минОтсутствие сырья на заводе в это время мойка - 30 минНаполнение после мойки- 20 мин</t>
  </si>
  <si>
    <t>Замятие банки 2 раза - 10 минКорзиноукладчик 1 раз - 5 минДепаллетайзер (отсутствие банки)4 раз -  42 минМойка - 120 минНаполнение после мойки- 6 мин / Замятие банки 19 раза -  94 мин (замена оснастки)Депаллетайзер, ошпариватель (отсутствие банки) 2 раз -  8 минМойка - 85 минНаполнение после мойки- 8 мин</t>
  </si>
  <si>
    <t>Замена частотника на вибростоле - 60 минЗамятие банки 5 раз - 15 мин (тестово поставили крышку ГРК)Корзиноукладчик 0 раз - 0 минДепаллетайзер (отсутствие банки)0 раз -  0минМойка - 30 минНаполнение после мойки- 11 мин / Замятие банки 8 раз -  34 мин (тестово меняли крышку на Индекс, понижение скорости до 380 б/мин)Депаллетайзер, ошпариватель (отсутствие банки) 0 раз -  0 минМойка - 30 минНаполнение после мойки- 9 мин</t>
  </si>
  <si>
    <t>Замятие банки 1 раз - 15 мин.Корзиноукладчик 2 раз - 5 минДепаллетайзер (отсутствие банки)6 раз -  36 минМойка -  45 минНаполнение после мойки- 6 мин / Наполнение бункеров - 13 мин (переход с сорта на сорт)Замятие банки 8 раз -  26 минДепаллетайзер, ошпариватель (отсутствие банки) 1 раз -  1 минМойка - 50 минНаполнение после мойки- 5 мин</t>
  </si>
  <si>
    <t>Замятие банки 0 раз - 0 мин.Корзиноукладчик 0 раз - 0 минДепаллетайзер (отсутствие банки)0 раз -  0 минМойка -  30 минНаполнение после мойки- 10 минОтключение вибростола - 38 мин / Отсутствие сырья на заводе - 121 мин (работали только на лн1)Замятие банки 5 раз -  36 минДепаллетайзер, ошпариватель (отсутствие банки) 0 раз -  0 минМойка - 12 минНаполнение после мойки- 8 мин</t>
  </si>
  <si>
    <t>Замятие банки 1 раз - 4 мин.Корзиноукладчик 0 раз - 0 минДепаллетайзер (отсутствие банки)0 раз -  0 минОтсутствие зерна на заводе, анализ, выгрузка, наполнение бункеров -  142 минМойка линии, совместили с отсутствием сырья -  77 минНаполнение после мойки- 10 мин / Отсутствие зерна на заводе, анализ, выгрузка, наполнение бункеров 2 раза -  170 минМойка линии, совместили с отсутствием сырья -  95 минЗамятие банки 5 раз -  21 минДепаллетайзер, ошпариватель (отсутствие банки) 0 раз -  0 минНаполнение после мойки- 8 мин</t>
  </si>
  <si>
    <t>Отсутствие зерна на заводе, ген.мойка.</t>
  </si>
  <si>
    <t>Отсутствие зерна на заводе, анализ, выгрузка, наполнение - 90 минПереход с сорта на сорт - 22 минМойка - 60 минНаполнение после мойки - 10 мин / Нет сырья для работы на двух линиях.</t>
  </si>
  <si>
    <t>Отсутствие зерна на заводе, анализ, выгрузка, наполнение - 160 минРемонт вибромотора, выгнали зерно, перешли на лн2 - 57 минОтсутствие жб на линии - 4 минКорзиноукладчик - 3 мин / Запуск линии в 18.27, лн 1 ремонт вибромотора.</t>
  </si>
  <si>
    <t>Ремонт вибромотора продолжение - 59 минОтсутствие жб на линии - 12 минКорзиноукладчик - 1 минОптический сортировщик- 50 минМойка - 40 мин / Замятие банки в закатке, 6 раз - 27 минОтсутствие жб на линии - 15 минМойка - 75 минНаполнение после мойки - 5 мин</t>
  </si>
  <si>
    <t>отсутствие сырья - 80 минРемонт вибростола - 41 минМойка - 20 мин / Отсутствие сырья на заводе, анализ, выгрузка - 61 минЗамятие банки в закатке, 2 раза - 11 минМойка - 20 минРемонт загрузчика - 24</t>
  </si>
  <si>
    <t>Корзиноукладчик - 2 раза - 7 минОтсутствие банки на линии 5 раз - 24 минМойка - 65 минНаполнение после мойки - 6 мин / Замятие банки в закатке, 8 раз - 20 минМойка - 55 минНаполнение после мойки - 15 мин</t>
  </si>
  <si>
    <t>Замятие банки в закатке (тест крышки ГРК) - 9 раз - 70 минМойка - 30 мин / Наполнитель зерна - выгнали зерно, промыли чашу - 15 минЗамятие банки в закатке- 7 раз - 24 минМойка - 35 минНаполнение после мойки - 5 мин</t>
  </si>
  <si>
    <t>Смена воды в бланширователе - 20 минМойка - 60 минНаполнение бункеров после мойки- 10 минЗамятие в закатке - 5 мин / Замятие банки в закатке 3 раза - 10 минОтсутствие банки на линии - 3 минЗамена воды в бланширователе - 26 минМойка - 65 минНаполнение после мойки - 11 мин</t>
  </si>
  <si>
    <t>Отсутствие сырья, выгрузка машин, наполнение бункеров - 232 минЗамятие в закатке - 12 минОтсутствие банки на линии - 10 мин / Линию запустили в 16.11Отсутствие сырья на заводе, выгрузка машин,  наполнение бункеров- 490 минЗамятие банки в закатке - 13 минОтсутствие банки на линии - 3 мин</t>
  </si>
  <si>
    <t>Ошибка безопасности цепи - 55 минОтсутствие банки на линии - 2 раза - 17 минМойка - 75 минНаполнение после мойки - 10 мин / Ремонт цепи на крутящем барабане, опустошение бланширователя, бункеров, замена воды в бланше - 61 минЗамятие банки в закатке 7 раз - 35 минМойка - 75 миннаполнение после мойки - 11 мин.</t>
  </si>
  <si>
    <t>Отсутствие банки на линии - 4 раза - 21 минКорзиноукладчик - 6 минМойка - 54 минНаполнение после мойки - 10 минЗамятие банки в закатке - 4 мин / Отсутствие банки на подаче - 3 минЗамятие банки в закатке 9 раз - 48 минМойка - 38 миннаполнение после мойки - 12 мин.</t>
  </si>
  <si>
    <t>Отсутствие банки на линии  - 4 минКорзиноукладчик - 6 минМойка - 60 минНаполнение после мойки - 12 минЗамятие банки в закатке - 2 мин / Отсутствие банки на подаче - 32 минЗамятие банки в закатке 7 раз - 25 минМойка - 60 миннаполнение после мойки - 11 мин.</t>
  </si>
  <si>
    <t>Отсутствие банки на линии  - 3 минКорзиноукладчик - 16 минРемонт двигателя на комплексе сухой чистки в это время Мойка - 79 минНаполнение после мойки - 0 минЗамятие банки в закатке - 8 мин / Замятие банки в закатке 6 раз - 32 минМойка - 40 мин</t>
  </si>
  <si>
    <t>Не хватает тележек (ремонт паллетайзера склад) - 24 минОтсутствие банки на линии  - 13 минКорзиноукладчик - 25 минМойка - 70 минНаполнение после мойки - 18 мин / Замятие банки в закатке 8раз - 26 минМойка - 70 минНаполнение после мойки - 18 мин</t>
  </si>
  <si>
    <t>Остановки по наполнению бункеров в цехе, уменьшение подачи сырья с первички - сорный горох.Отсутствие банки на линии  - 8 минКорзиноукладчик - 10 минМойка - 60 минНаполнение после мойки - 16 минЛопнул патрон в закаточной машине, замена - 14 мин / Остановки по наполнению бункеров в цехе, уменьшение подачи сырья с первички - сорный горох.Замятие банки в закатке 7раз - 30 минМойка - 50 минНаполнение после мойки - 19 мин</t>
  </si>
  <si>
    <t>Остановки по наполнению бункеров в цехе, уменьшение подачи сырья с первички - сорный горох.Отсутствие банки на линии  - 6 минКорзиноукладчик - 2 минМойка - 60 минНаполнение после мойки - 8 мин / Остановки по наполнению бункеров в цехе, уменьшение подачи сырья с первички - сорный горох.Замятие банки в закатке 4раза - 12 минМойка - 50 минНаполнение после мойки - 9 мин</t>
  </si>
  <si>
    <t>Отсутствие банки на линии  -  30 минКорзиноукладчик - 28 минМойка -  30 минНаполнение после мойки - 7 минЗамятие банки в закаточной машине 4 раза- 12 мин. / Замятие банки в закатке 22раза -  109 минНет банки на линии- 3 минМойка -  32 минНаполнение после мойки - 22 мин</t>
  </si>
  <si>
    <t>Корзиноукладчик - 20 минМойка -  75 минНаполнение после мойки - 9 мин / Авария мотора на бланширователе, устранение, наполнение - 30 минЗамятие банки в закатке 18раз -  129 минМойка -  65 минНаполнение после мойки - 9 мин</t>
  </si>
  <si>
    <t>Корзиноукладчик - 16 минМойка -  35 минНаполнение после мойки - 7 минЗамятие банки - 14 мин / ЛН2 - 190 минЗамятие банки в закатке 33раза -   117 минМойка -  45 минНаполнение после мойки - 6 мин</t>
  </si>
  <si>
    <t>Отсутствие банки на линии - 9 минКорзиноукладчик - 14 минМойка -  70 минНаполнение после мойки - 7 минЗамятие банки - 8 минЗамена оснастки в закаточной машине - 30 мин (продолжается) / Замятие банки в закатке 35раз - 166 минМойка -  50 минНаполнение после мойки - 7 мин</t>
  </si>
  <si>
    <t>Замена оснастки в закатке - 120 минКорзиноукладчик - 2 минМойка -  30 минНаполнение после мойки - 9 минЗамятие банки 16 раз - 70 минНастройка закаточной машины под крышку ГРК. / Замятие банки в закатке 20 раз - 107 минМойка -  30 минНаполнение после мойки - 9 мин</t>
  </si>
  <si>
    <t>Ремонт системы смазки закаточной машины - 202 минКорзиноукладчик - 3 минМойка -  0 минЗамятие банки 2 раза - 10 мин / Замятие банки в закатке 13 раз - 42 минНастройка закаточной машины.Мойка -  0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</si>
</sst>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6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165" fontId="3" fillId="0" borderId="0" xfId="1" applyNumberFormat="1" applyFont="1"/>
    <xf numFmtId="0" fontId="2" fillId="0" borderId="0" xfId="0" applyFont="1"/>
    <xf numFmtId="165" fontId="4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164" fontId="5" fillId="0" borderId="0" xfId="1" applyNumberFormat="1" applyFont="1"/>
    <xf numFmtId="16" fontId="0" fillId="0" borderId="0" xfId="0" applyNumberFormat="1"/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2542397802240322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выработка!$B$2:$B$7</c:f>
              <c:numCache>
                <c:formatCode>_-* #\ ##0_-;\-* #\ ##0_-;_-* "-"??_-;_-@_-</c:formatCode>
                <c:ptCount val="6"/>
                <c:pt idx="0">
                  <c:v>6444.8069999999998</c:v>
                </c:pt>
                <c:pt idx="1">
                  <c:v>1432.7190000000001</c:v>
                </c:pt>
                <c:pt idx="2">
                  <c:v>221.22</c:v>
                </c:pt>
                <c:pt idx="3">
                  <c:v>6697.7430000000004</c:v>
                </c:pt>
                <c:pt idx="4">
                  <c:v>0</c:v>
                </c:pt>
                <c:pt idx="5">
                  <c:v>15251.552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выработка!$C$2:$C$7</c:f>
              <c:numCache>
                <c:formatCode>_-* #\ ##0_-;\-* #\ ##0_-;_-* "-"??_-;_-@_-</c:formatCode>
                <c:ptCount val="6"/>
                <c:pt idx="0">
                  <c:v>10138.398999999999</c:v>
                </c:pt>
                <c:pt idx="1">
                  <c:v>5034.6499999999996</c:v>
                </c:pt>
                <c:pt idx="2">
                  <c:v>1067.8869999999999</c:v>
                </c:pt>
                <c:pt idx="3">
                  <c:v>5950.6970000000001</c:v>
                </c:pt>
                <c:pt idx="4">
                  <c:v>265.36399999999998</c:v>
                </c:pt>
                <c:pt idx="5">
                  <c:v>22456.996999999999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выработка!$D$2:$D$7</c:f>
              <c:numCache>
                <c:formatCode>_-* #\ ##0_-;\-* #\ ##0_-;_-* "-"??_-;_-@_-</c:formatCode>
                <c:ptCount val="6"/>
                <c:pt idx="0">
                  <c:v>16093.675999999999</c:v>
                </c:pt>
                <c:pt idx="1">
                  <c:v>5332.2759999999998</c:v>
                </c:pt>
                <c:pt idx="2">
                  <c:v>1037.194</c:v>
                </c:pt>
                <c:pt idx="3">
                  <c:v>3630.5410000000002</c:v>
                </c:pt>
                <c:pt idx="4">
                  <c:v>758.60500000000002</c:v>
                </c:pt>
                <c:pt idx="5">
                  <c:v>26852.291999999998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9</xdr:row>
      <xdr:rowOff>28575</xdr:rowOff>
    </xdr:from>
    <xdr:to>
      <xdr:col>10</xdr:col>
      <xdr:colOff>190500</xdr:colOff>
      <xdr:row>23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990600</xdr:colOff>
      <xdr:row>9</xdr:row>
      <xdr:rowOff>114300</xdr:rowOff>
    </xdr:from>
    <xdr:to>
      <xdr:col>4</xdr:col>
      <xdr:colOff>600075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9524</xdr:colOff>
      <xdr:row>9</xdr:row>
      <xdr:rowOff>104775</xdr:rowOff>
    </xdr:from>
    <xdr:to>
      <xdr:col>8</xdr:col>
      <xdr:colOff>304799</xdr:colOff>
      <xdr:row>23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K88"/>
  <sheetViews>
    <sheetView tabSelected="1" workbookViewId="0">
      <selection activeCell="B83" sqref="B83"/>
    </sheetView>
  </sheetViews>
  <sheetFormatPr defaultRowHeight="15" x14ac:dyDescent="0.2"/>
  <cols>
    <col min="1" max="1" width="18.77734375" customWidth="1"/>
    <col min="2" max="2" width="12.44140625" bestFit="1" customWidth="1"/>
    <col min="3" max="3" width="11" bestFit="1" customWidth="1"/>
  </cols>
  <sheetData>
    <row r="1" spans="1:8" x14ac:dyDescent="0.2">
      <c r="A1" s="8" t="s">
        <v>16</v>
      </c>
      <c r="B1" s="9" t="s">
        <v>17</v>
      </c>
      <c r="C1" s="9" t="s">
        <v>18</v>
      </c>
      <c r="D1" s="10" t="s">
        <v>19</v>
      </c>
    </row>
    <row r="2" spans="1:8" x14ac:dyDescent="0.2">
      <c r="A2" t="s">
        <v>3</v>
      </c>
      <c r="B2" s="3">
        <v>6444.8069999999998</v>
      </c>
      <c r="C2" s="3">
        <v>10138.398999999999</v>
      </c>
      <c r="D2" s="3">
        <v>16093.675999999999</v>
      </c>
    </row>
    <row r="3" spans="1:8" x14ac:dyDescent="0.2">
      <c r="A3" t="s">
        <v>4</v>
      </c>
      <c r="B3" s="3">
        <v>1432.7190000000001</v>
      </c>
      <c r="C3" s="3">
        <v>5034.6499999999996</v>
      </c>
      <c r="D3" s="3">
        <v>5332.2759999999998</v>
      </c>
    </row>
    <row r="4" spans="1:8" x14ac:dyDescent="0.2">
      <c r="A4" t="s">
        <v>5</v>
      </c>
      <c r="B4" s="3">
        <v>221.22</v>
      </c>
      <c r="C4" s="3">
        <v>1067.8869999999999</v>
      </c>
      <c r="D4" s="3">
        <v>1037.194</v>
      </c>
    </row>
    <row r="5" spans="1:8" x14ac:dyDescent="0.2">
      <c r="A5" t="s">
        <v>2</v>
      </c>
      <c r="B5" s="3">
        <v>6697.7430000000004</v>
      </c>
      <c r="C5" s="3">
        <v>5950.6970000000001</v>
      </c>
      <c r="D5" s="3">
        <v>3630.5410000000002</v>
      </c>
    </row>
    <row r="6" spans="1:8" x14ac:dyDescent="0.2">
      <c r="A6" t="s">
        <v>1</v>
      </c>
      <c r="B6" s="3">
        <v>0</v>
      </c>
      <c r="C6" s="3">
        <v>265.36399999999998</v>
      </c>
      <c r="D6" s="3">
        <v>758.60500000000002</v>
      </c>
    </row>
    <row r="7" spans="1:8" ht="15.75" x14ac:dyDescent="0.25">
      <c r="A7" s="4" t="s">
        <v>6</v>
      </c>
      <c r="B7" s="5">
        <v>15251.552</v>
      </c>
      <c r="C7" s="5">
        <v>22456.996999999999</v>
      </c>
      <c r="D7" s="5">
        <f>SUM(D2:D6)</f>
        <v>26852.291999999998</v>
      </c>
    </row>
    <row r="9" spans="1:8" ht="15.75" x14ac:dyDescent="0.25">
      <c r="A9" s="7" t="s">
        <v>15</v>
      </c>
      <c r="B9" s="8"/>
      <c r="C9" s="8"/>
      <c r="D9" s="8"/>
      <c r="E9" s="8"/>
      <c r="F9" s="8"/>
      <c r="G9" s="8"/>
      <c r="H9" s="8"/>
    </row>
    <row r="26" spans="1:7" ht="15.75" x14ac:dyDescent="0.25">
      <c r="A26" s="7" t="s">
        <v>14</v>
      </c>
      <c r="B26" s="8" t="str">
        <f>+B31</f>
        <v>2026г</v>
      </c>
      <c r="C26" s="8" t="str">
        <f t="shared" ref="C26:E26" si="0">+C31</f>
        <v>2025г</v>
      </c>
      <c r="D26" s="8" t="str">
        <f t="shared" si="0"/>
        <v>2024г</v>
      </c>
      <c r="E26" s="8" t="str">
        <f t="shared" si="0"/>
        <v>2023г</v>
      </c>
    </row>
    <row r="27" spans="1:7" x14ac:dyDescent="0.2">
      <c r="A27" t="s">
        <v>12</v>
      </c>
      <c r="B27" s="1">
        <f>MAX(B32:B86)</f>
        <v>1129.604</v>
      </c>
      <c r="C27" s="1">
        <f t="shared" ref="C27:E27" si="1">MAX(C32:C86)</f>
        <v>918.23599999999999</v>
      </c>
      <c r="D27" s="1">
        <f t="shared" si="1"/>
        <v>818.72400000000005</v>
      </c>
      <c r="E27" s="1">
        <f t="shared" si="1"/>
        <v>894.64800000000002</v>
      </c>
    </row>
    <row r="28" spans="1:7" x14ac:dyDescent="0.2">
      <c r="A28" s="11" t="s">
        <v>20</v>
      </c>
      <c r="B28" s="12">
        <f>SUM(B32:B86)/B29</f>
        <v>777.21405882352951</v>
      </c>
      <c r="C28" s="12">
        <f t="shared" ref="C28:E28" si="2">SUM(C32:C86)/C29</f>
        <v>547.6648048780487</v>
      </c>
      <c r="D28" s="12">
        <f t="shared" si="2"/>
        <v>422.75682857142851</v>
      </c>
      <c r="E28" s="12">
        <f t="shared" si="2"/>
        <v>574.74502631578935</v>
      </c>
    </row>
    <row r="29" spans="1:7" x14ac:dyDescent="0.2">
      <c r="A29" t="s">
        <v>13</v>
      </c>
      <c r="B29">
        <f>COUNTIF(B32:B86,"&gt;0")</f>
        <v>34</v>
      </c>
      <c r="C29">
        <f t="shared" ref="C29:E29" si="3">COUNTIF(C32:C86,"&gt;0")</f>
        <v>41</v>
      </c>
      <c r="D29">
        <f t="shared" si="3"/>
        <v>35</v>
      </c>
      <c r="E29">
        <f t="shared" si="3"/>
        <v>38</v>
      </c>
    </row>
    <row r="31" spans="1:7" ht="15.75" x14ac:dyDescent="0.25">
      <c r="A31" s="7" t="s">
        <v>7</v>
      </c>
      <c r="B31" s="8" t="s">
        <v>8</v>
      </c>
      <c r="C31" s="8" t="s">
        <v>9</v>
      </c>
      <c r="D31" s="8" t="s">
        <v>10</v>
      </c>
      <c r="E31" s="8" t="s">
        <v>11</v>
      </c>
      <c r="G31" s="6"/>
    </row>
    <row r="32" spans="1:7" x14ac:dyDescent="0.2">
      <c r="A32" s="6">
        <f t="shared" ref="A32:A41" si="4">+A33-1</f>
        <v>46159</v>
      </c>
      <c r="C32" s="2"/>
      <c r="D32" s="2">
        <v>81.617999999999995</v>
      </c>
      <c r="E32" s="2"/>
      <c r="G32" s="6"/>
    </row>
    <row r="33" spans="1:7" x14ac:dyDescent="0.2">
      <c r="A33" s="6">
        <f t="shared" si="4"/>
        <v>46160</v>
      </c>
      <c r="C33" s="2"/>
      <c r="D33" s="2">
        <v>200.36699999999999</v>
      </c>
      <c r="E33" s="2"/>
      <c r="G33" s="6"/>
    </row>
    <row r="34" spans="1:7" x14ac:dyDescent="0.2">
      <c r="A34" s="6">
        <f t="shared" si="4"/>
        <v>46161</v>
      </c>
      <c r="C34" s="2"/>
      <c r="D34" s="2"/>
      <c r="E34" s="2"/>
      <c r="G34" s="6"/>
    </row>
    <row r="35" spans="1:7" x14ac:dyDescent="0.2">
      <c r="A35" s="6">
        <f t="shared" si="4"/>
        <v>46162</v>
      </c>
      <c r="C35" s="2"/>
      <c r="D35" s="2">
        <v>158.685</v>
      </c>
      <c r="E35" s="2"/>
      <c r="G35" s="6"/>
    </row>
    <row r="36" spans="1:7" x14ac:dyDescent="0.2">
      <c r="A36" s="6">
        <f t="shared" si="4"/>
        <v>46163</v>
      </c>
      <c r="C36" s="2"/>
      <c r="D36" s="2">
        <v>270.45699999999999</v>
      </c>
      <c r="E36" s="2"/>
      <c r="G36" s="6"/>
    </row>
    <row r="37" spans="1:7" x14ac:dyDescent="0.2">
      <c r="A37" s="6">
        <f t="shared" si="4"/>
        <v>46164</v>
      </c>
      <c r="C37" s="2"/>
      <c r="D37" s="2">
        <v>553.49300000000005</v>
      </c>
      <c r="E37" s="2"/>
      <c r="G37" s="6"/>
    </row>
    <row r="38" spans="1:7" x14ac:dyDescent="0.2">
      <c r="A38" s="6">
        <f t="shared" si="4"/>
        <v>46165</v>
      </c>
      <c r="C38" s="2"/>
      <c r="D38" s="2">
        <v>523.64400000000001</v>
      </c>
      <c r="E38" s="2"/>
      <c r="G38" s="6"/>
    </row>
    <row r="39" spans="1:7" x14ac:dyDescent="0.2">
      <c r="A39" s="6">
        <f t="shared" si="4"/>
        <v>46166</v>
      </c>
      <c r="C39" s="2"/>
      <c r="D39" s="2">
        <v>551.42899999999997</v>
      </c>
      <c r="E39" s="2"/>
      <c r="G39" s="6"/>
    </row>
    <row r="40" spans="1:7" x14ac:dyDescent="0.2">
      <c r="A40" s="6">
        <f t="shared" si="4"/>
        <v>46167</v>
      </c>
      <c r="C40" s="2"/>
      <c r="D40" s="2">
        <v>513.62099999999998</v>
      </c>
      <c r="E40" s="2"/>
      <c r="G40" s="6"/>
    </row>
    <row r="41" spans="1:7" x14ac:dyDescent="0.2">
      <c r="A41" s="6">
        <f t="shared" si="4"/>
        <v>46168</v>
      </c>
      <c r="C41" s="2"/>
      <c r="D41" s="2"/>
      <c r="E41" s="2">
        <v>9.3780000000000001</v>
      </c>
      <c r="G41" s="6"/>
    </row>
    <row r="42" spans="1:7" x14ac:dyDescent="0.2">
      <c r="A42" s="6">
        <f t="shared" ref="A42:A47" si="5">+A43-1</f>
        <v>46169</v>
      </c>
      <c r="B42" s="1"/>
      <c r="C42" s="1">
        <v>80.917000000000002</v>
      </c>
      <c r="D42" s="2"/>
      <c r="E42" s="2"/>
      <c r="G42" s="6"/>
    </row>
    <row r="43" spans="1:7" x14ac:dyDescent="0.2">
      <c r="A43" s="6">
        <f t="shared" si="5"/>
        <v>46170</v>
      </c>
      <c r="B43" s="1"/>
      <c r="C43" s="1">
        <v>433.33199999999999</v>
      </c>
      <c r="D43" s="2">
        <v>224.83</v>
      </c>
      <c r="E43" s="2"/>
      <c r="G43" s="6"/>
    </row>
    <row r="44" spans="1:7" x14ac:dyDescent="0.2">
      <c r="A44" s="6">
        <f t="shared" si="5"/>
        <v>46171</v>
      </c>
      <c r="B44" s="1"/>
      <c r="C44" s="1">
        <v>29.96</v>
      </c>
      <c r="D44" s="2">
        <v>448.274</v>
      </c>
      <c r="E44" s="2">
        <v>254.376</v>
      </c>
      <c r="G44" s="6"/>
    </row>
    <row r="45" spans="1:7" x14ac:dyDescent="0.2">
      <c r="A45" s="6">
        <f t="shared" si="5"/>
        <v>46172</v>
      </c>
      <c r="B45" s="1"/>
      <c r="C45" s="1"/>
      <c r="D45" s="2"/>
      <c r="E45" s="2">
        <v>317.59199999999998</v>
      </c>
      <c r="G45" s="6"/>
    </row>
    <row r="46" spans="1:7" x14ac:dyDescent="0.2">
      <c r="A46" s="6">
        <f t="shared" si="5"/>
        <v>46173</v>
      </c>
      <c r="B46" s="1"/>
      <c r="C46" s="1">
        <v>210.69300000000001</v>
      </c>
      <c r="D46" s="2"/>
      <c r="E46" s="2">
        <v>237.13</v>
      </c>
      <c r="G46" s="6"/>
    </row>
    <row r="47" spans="1:7" x14ac:dyDescent="0.2">
      <c r="A47" s="6">
        <f t="shared" si="5"/>
        <v>46174</v>
      </c>
      <c r="B47" s="1"/>
      <c r="C47" s="1">
        <v>462.99400000000003</v>
      </c>
      <c r="D47" s="2"/>
      <c r="E47" s="2">
        <v>546.03499999999997</v>
      </c>
      <c r="G47" s="6"/>
    </row>
    <row r="48" spans="1:7" x14ac:dyDescent="0.2">
      <c r="A48" s="6">
        <f>+A49-1</f>
        <v>46175</v>
      </c>
      <c r="B48" s="1"/>
      <c r="C48" s="1">
        <v>645.99800000000005</v>
      </c>
      <c r="D48" s="2"/>
      <c r="E48" s="2">
        <v>656.92899999999997</v>
      </c>
      <c r="G48" s="6"/>
    </row>
    <row r="49" spans="1:7" x14ac:dyDescent="0.2">
      <c r="A49" s="6">
        <v>46176</v>
      </c>
      <c r="B49" s="1">
        <v>110.047</v>
      </c>
      <c r="C49" s="1">
        <v>537.154</v>
      </c>
      <c r="D49" s="2">
        <v>549.19299999999998</v>
      </c>
      <c r="E49" s="2">
        <v>674.57299999999998</v>
      </c>
      <c r="G49" s="6"/>
    </row>
    <row r="50" spans="1:7" x14ac:dyDescent="0.2">
      <c r="A50" s="6">
        <v>46177</v>
      </c>
      <c r="B50" s="1">
        <v>875.97299999999996</v>
      </c>
      <c r="C50" s="1">
        <v>745.69200000000001</v>
      </c>
      <c r="D50" s="2">
        <v>485.10899999999998</v>
      </c>
      <c r="E50" s="2">
        <v>464.18200000000002</v>
      </c>
      <c r="G50" s="6"/>
    </row>
    <row r="51" spans="1:7" x14ac:dyDescent="0.2">
      <c r="A51" s="6">
        <v>46178</v>
      </c>
      <c r="B51" s="1"/>
      <c r="C51" s="1">
        <v>764.09400000000005</v>
      </c>
      <c r="D51" s="2">
        <v>598.78200000000004</v>
      </c>
      <c r="E51" s="2">
        <v>618.16700000000003</v>
      </c>
      <c r="G51" s="6"/>
    </row>
    <row r="52" spans="1:7" x14ac:dyDescent="0.2">
      <c r="A52" s="6">
        <v>46179</v>
      </c>
      <c r="B52" s="1">
        <v>372.95100000000002</v>
      </c>
      <c r="C52" s="1">
        <v>835.31200000000001</v>
      </c>
      <c r="D52" s="2">
        <v>724.10599999999999</v>
      </c>
      <c r="E52" s="2">
        <v>565.721</v>
      </c>
      <c r="G52" s="6"/>
    </row>
    <row r="53" spans="1:7" x14ac:dyDescent="0.2">
      <c r="A53" s="6">
        <v>46180</v>
      </c>
      <c r="B53" s="1">
        <v>798.49900000000002</v>
      </c>
      <c r="C53" s="1">
        <v>780.94500000000005</v>
      </c>
      <c r="D53" s="2">
        <v>728.81799999999998</v>
      </c>
      <c r="E53" s="2">
        <v>450.76499999999999</v>
      </c>
      <c r="G53" s="6"/>
    </row>
    <row r="54" spans="1:7" x14ac:dyDescent="0.2">
      <c r="A54" s="6">
        <v>46181</v>
      </c>
      <c r="B54" s="1">
        <v>863.976</v>
      </c>
      <c r="C54" s="1">
        <v>864.03</v>
      </c>
      <c r="D54" s="2">
        <v>351.15499999999997</v>
      </c>
      <c r="E54" s="2">
        <v>711.96699999999998</v>
      </c>
      <c r="G54" s="6"/>
    </row>
    <row r="55" spans="1:7" x14ac:dyDescent="0.2">
      <c r="A55" s="6">
        <v>46182</v>
      </c>
      <c r="B55" s="1">
        <v>880.23800000000006</v>
      </c>
      <c r="C55" s="1">
        <v>441.45600000000002</v>
      </c>
      <c r="D55" s="2">
        <v>454.60199999999998</v>
      </c>
      <c r="E55" s="2">
        <v>753.04</v>
      </c>
      <c r="G55" s="6"/>
    </row>
    <row r="56" spans="1:7" x14ac:dyDescent="0.2">
      <c r="A56" s="6">
        <v>46183</v>
      </c>
      <c r="B56" s="1">
        <v>828.08299999999997</v>
      </c>
      <c r="C56" s="1">
        <v>768.57</v>
      </c>
      <c r="D56" s="2">
        <v>688.57</v>
      </c>
      <c r="E56" s="2">
        <v>734.17</v>
      </c>
      <c r="G56" s="6"/>
    </row>
    <row r="57" spans="1:7" x14ac:dyDescent="0.2">
      <c r="A57" s="6">
        <v>46184</v>
      </c>
      <c r="B57" s="1">
        <v>898.02300000000002</v>
      </c>
      <c r="C57" s="1">
        <v>683.779</v>
      </c>
      <c r="D57" s="2">
        <v>461.50900000000001</v>
      </c>
      <c r="E57" s="2">
        <v>894.64800000000002</v>
      </c>
      <c r="G57" s="6"/>
    </row>
    <row r="58" spans="1:7" x14ac:dyDescent="0.2">
      <c r="A58" s="6">
        <v>46185</v>
      </c>
      <c r="B58" s="1">
        <v>851.93700000000001</v>
      </c>
      <c r="C58" s="1">
        <v>859.84100000000001</v>
      </c>
      <c r="D58" s="2">
        <v>818.72400000000005</v>
      </c>
      <c r="E58" s="2">
        <v>178.19300000000001</v>
      </c>
      <c r="G58" s="6"/>
    </row>
    <row r="59" spans="1:7" x14ac:dyDescent="0.2">
      <c r="A59" s="6">
        <v>46186</v>
      </c>
      <c r="B59" s="1">
        <v>1129.604</v>
      </c>
      <c r="C59" s="1">
        <v>783.38199999999995</v>
      </c>
      <c r="D59" s="2">
        <v>776.90800000000002</v>
      </c>
      <c r="E59" s="2"/>
      <c r="G59" s="6"/>
    </row>
    <row r="60" spans="1:7" x14ac:dyDescent="0.2">
      <c r="A60" s="6">
        <v>46187</v>
      </c>
      <c r="B60" s="1">
        <v>392.88</v>
      </c>
      <c r="C60" s="1">
        <v>918.23599999999999</v>
      </c>
      <c r="D60" s="2">
        <v>591.70399999999995</v>
      </c>
      <c r="E60" s="2">
        <v>356.42099999999999</v>
      </c>
      <c r="G60" s="6"/>
    </row>
    <row r="61" spans="1:7" x14ac:dyDescent="0.2">
      <c r="A61" s="6">
        <v>46188</v>
      </c>
      <c r="B61" s="1">
        <v>937.11199999999997</v>
      </c>
      <c r="C61" s="1">
        <v>899.21699999999998</v>
      </c>
      <c r="D61" s="2">
        <v>282.74299999999999</v>
      </c>
      <c r="E61" s="2">
        <v>773.66600000000005</v>
      </c>
      <c r="G61" s="6"/>
    </row>
    <row r="62" spans="1:7" x14ac:dyDescent="0.2">
      <c r="A62" s="6">
        <v>46189</v>
      </c>
      <c r="B62" s="1">
        <v>928.44600000000003</v>
      </c>
      <c r="C62" s="1">
        <v>435.62</v>
      </c>
      <c r="D62" s="2">
        <v>324.18</v>
      </c>
      <c r="E62" s="2">
        <v>763.61599999999999</v>
      </c>
      <c r="G62" s="6"/>
    </row>
    <row r="63" spans="1:7" x14ac:dyDescent="0.2">
      <c r="A63" s="6">
        <v>46190</v>
      </c>
      <c r="B63" s="1">
        <v>766.55</v>
      </c>
      <c r="C63" s="1">
        <v>304.35500000000002</v>
      </c>
      <c r="D63" s="2">
        <v>70.997</v>
      </c>
      <c r="E63" s="2">
        <v>794.89300000000003</v>
      </c>
      <c r="G63" s="6"/>
    </row>
    <row r="64" spans="1:7" x14ac:dyDescent="0.2">
      <c r="A64" s="6">
        <v>46191</v>
      </c>
      <c r="B64" s="1">
        <v>938.44799999999998</v>
      </c>
      <c r="C64" s="1">
        <v>780.75800000000004</v>
      </c>
      <c r="D64" s="2">
        <v>234.25899999999999</v>
      </c>
      <c r="E64" s="2">
        <v>807.46799999999996</v>
      </c>
      <c r="G64" s="6"/>
    </row>
    <row r="65" spans="1:7" x14ac:dyDescent="0.2">
      <c r="A65" s="6">
        <v>46192</v>
      </c>
      <c r="B65" s="1">
        <v>785.63499999999999</v>
      </c>
      <c r="C65" s="1">
        <v>899.28399999999999</v>
      </c>
      <c r="D65" s="2">
        <v>367.25799999999998</v>
      </c>
      <c r="E65" s="2">
        <v>578.88099999999997</v>
      </c>
      <c r="G65" s="6"/>
    </row>
    <row r="66" spans="1:7" x14ac:dyDescent="0.2">
      <c r="A66" s="6">
        <v>46193</v>
      </c>
      <c r="B66" s="1">
        <v>7.0979999999999999</v>
      </c>
      <c r="C66" s="1">
        <v>869.03200000000004</v>
      </c>
      <c r="D66" s="2">
        <v>550.21</v>
      </c>
      <c r="E66" s="2">
        <v>584.279</v>
      </c>
      <c r="G66" s="6"/>
    </row>
    <row r="67" spans="1:7" x14ac:dyDescent="0.2">
      <c r="A67" s="6">
        <v>46194</v>
      </c>
      <c r="B67" s="1">
        <v>643.70699999999999</v>
      </c>
      <c r="C67" s="1">
        <v>397.56400000000002</v>
      </c>
      <c r="D67" s="2">
        <v>359.79599999999999</v>
      </c>
      <c r="E67" s="2">
        <v>821.60799999999995</v>
      </c>
      <c r="G67" s="6"/>
    </row>
    <row r="68" spans="1:7" x14ac:dyDescent="0.2">
      <c r="A68" s="6">
        <v>46195</v>
      </c>
      <c r="B68" s="1">
        <v>946.08699999999999</v>
      </c>
      <c r="C68" s="1">
        <v>887.45</v>
      </c>
      <c r="D68" s="2">
        <v>30.603999999999999</v>
      </c>
      <c r="E68" s="2">
        <v>587.19000000000005</v>
      </c>
      <c r="G68" s="6"/>
    </row>
    <row r="69" spans="1:7" x14ac:dyDescent="0.2">
      <c r="A69" s="6">
        <v>46196</v>
      </c>
      <c r="B69" s="1">
        <v>946.56299999999999</v>
      </c>
      <c r="C69" s="1">
        <v>565.58799999999997</v>
      </c>
      <c r="D69" s="2"/>
      <c r="E69" s="2">
        <v>565.54100000000005</v>
      </c>
      <c r="G69" s="6"/>
    </row>
    <row r="70" spans="1:7" x14ac:dyDescent="0.2">
      <c r="A70" s="6">
        <v>46197</v>
      </c>
      <c r="B70" s="1">
        <v>880.303</v>
      </c>
      <c r="C70" s="1">
        <v>532.42399999999998</v>
      </c>
      <c r="D70" s="2">
        <v>326.57600000000002</v>
      </c>
      <c r="E70" s="2">
        <v>824.202</v>
      </c>
      <c r="G70" s="6"/>
    </row>
    <row r="71" spans="1:7" x14ac:dyDescent="0.2">
      <c r="A71" s="6">
        <v>46198</v>
      </c>
      <c r="B71" s="1">
        <v>879.49900000000002</v>
      </c>
      <c r="C71" s="1">
        <v>189.83199999999999</v>
      </c>
      <c r="D71" s="2">
        <v>362.06700000000001</v>
      </c>
      <c r="E71" s="2">
        <v>613.17200000000003</v>
      </c>
    </row>
    <row r="72" spans="1:7" x14ac:dyDescent="0.2">
      <c r="A72" s="6">
        <v>46199</v>
      </c>
      <c r="B72" s="1">
        <v>941.76800000000003</v>
      </c>
      <c r="C72" s="1"/>
      <c r="D72" s="2">
        <v>367.553</v>
      </c>
      <c r="E72" s="2">
        <v>455.8</v>
      </c>
    </row>
    <row r="73" spans="1:7" x14ac:dyDescent="0.2">
      <c r="A73" s="6">
        <v>46200</v>
      </c>
      <c r="B73" s="1">
        <v>523.00599999999997</v>
      </c>
      <c r="C73" s="1"/>
      <c r="D73" s="2">
        <v>577.33299999999997</v>
      </c>
      <c r="E73" s="2">
        <v>352.93799999999999</v>
      </c>
    </row>
    <row r="74" spans="1:7" x14ac:dyDescent="0.2">
      <c r="A74" s="6">
        <v>46201</v>
      </c>
      <c r="B74" s="1">
        <v>475.65800000000002</v>
      </c>
      <c r="C74" s="1">
        <v>202.99700000000001</v>
      </c>
      <c r="D74" s="2">
        <v>187.315</v>
      </c>
      <c r="E74" s="2">
        <v>790.03200000000004</v>
      </c>
    </row>
    <row r="75" spans="1:7" x14ac:dyDescent="0.2">
      <c r="A75" s="6">
        <v>46202</v>
      </c>
      <c r="B75" s="1">
        <v>863.78</v>
      </c>
      <c r="C75" s="1">
        <v>247.28899999999999</v>
      </c>
      <c r="E75" s="2">
        <v>819.39200000000005</v>
      </c>
    </row>
    <row r="76" spans="1:7" x14ac:dyDescent="0.2">
      <c r="A76" s="6">
        <v>46203</v>
      </c>
      <c r="B76" s="1">
        <v>956.11099999999999</v>
      </c>
      <c r="C76" s="1">
        <v>87.576999999999998</v>
      </c>
      <c r="E76" s="2">
        <v>831.53899999999999</v>
      </c>
    </row>
    <row r="77" spans="1:7" x14ac:dyDescent="0.2">
      <c r="A77" s="6">
        <v>46204</v>
      </c>
      <c r="B77" s="1">
        <v>707.54300000000001</v>
      </c>
      <c r="C77" s="1">
        <v>302.88099999999997</v>
      </c>
      <c r="E77" s="2">
        <v>417.00599999999997</v>
      </c>
    </row>
    <row r="78" spans="1:7" x14ac:dyDescent="0.2">
      <c r="A78" s="6">
        <v>46205</v>
      </c>
      <c r="B78" s="1">
        <v>894.43799999999999</v>
      </c>
      <c r="C78" s="1">
        <v>859.08399999999995</v>
      </c>
      <c r="E78" s="2">
        <v>564.44299999999998</v>
      </c>
    </row>
    <row r="79" spans="1:7" x14ac:dyDescent="0.2">
      <c r="A79" s="6">
        <v>46206</v>
      </c>
      <c r="B79" s="1">
        <v>972.42499999999995</v>
      </c>
      <c r="C79" s="1">
        <v>568.03499999999997</v>
      </c>
      <c r="E79" s="2">
        <v>649.87199999999996</v>
      </c>
    </row>
    <row r="80" spans="1:7" x14ac:dyDescent="0.2">
      <c r="A80" s="6">
        <v>46207</v>
      </c>
      <c r="B80" s="1">
        <v>858.971</v>
      </c>
      <c r="C80" s="1">
        <v>757.21100000000001</v>
      </c>
      <c r="E80" s="2">
        <v>605.51</v>
      </c>
    </row>
    <row r="81" spans="1:5" x14ac:dyDescent="0.2">
      <c r="A81" s="6">
        <v>46208</v>
      </c>
      <c r="B81" s="1">
        <v>938.02099999999996</v>
      </c>
      <c r="C81" s="1">
        <v>404.64299999999997</v>
      </c>
      <c r="E81" s="2">
        <v>215.976</v>
      </c>
    </row>
    <row r="82" spans="1:5" x14ac:dyDescent="0.2">
      <c r="A82" s="6">
        <v>46209</v>
      </c>
      <c r="B82" s="1">
        <v>857.89800000000002</v>
      </c>
      <c r="C82" s="1">
        <v>650.22500000000002</v>
      </c>
      <c r="E82" s="2"/>
    </row>
    <row r="83" spans="1:5" x14ac:dyDescent="0.2">
      <c r="A83" s="6">
        <v>46210</v>
      </c>
      <c r="B83" s="1">
        <v>774</v>
      </c>
      <c r="C83" s="1"/>
    </row>
    <row r="84" spans="1:5" x14ac:dyDescent="0.2">
      <c r="A84" s="6">
        <v>46211</v>
      </c>
      <c r="B84" s="1"/>
      <c r="C84" s="1">
        <v>276.858</v>
      </c>
    </row>
    <row r="85" spans="1:5" x14ac:dyDescent="0.2">
      <c r="A85" s="6">
        <v>46212</v>
      </c>
      <c r="B85" s="1"/>
      <c r="C85" s="1">
        <v>447.70499999999998</v>
      </c>
    </row>
    <row r="86" spans="1:5" x14ac:dyDescent="0.2">
      <c r="A86" s="6">
        <v>46213</v>
      </c>
      <c r="B86" s="1"/>
      <c r="C86" s="1">
        <v>42.243000000000002</v>
      </c>
    </row>
    <row r="87" spans="1:5" x14ac:dyDescent="0.2">
      <c r="A87" s="6"/>
    </row>
    <row r="88" spans="1:5" x14ac:dyDescent="0.2">
      <c r="A88" s="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E107"/>
  <sheetViews>
    <sheetView workbookViewId="0">
      <pane ySplit="1" topLeftCell="A62" activePane="bottomLeft" state="frozen"/>
      <selection pane="bottomLeft" activeCell="E76" sqref="E76"/>
    </sheetView>
  </sheetViews>
  <sheetFormatPr defaultRowHeight="15" x14ac:dyDescent="0.2"/>
  <cols>
    <col min="5" max="5" width="40.88671875" customWidth="1"/>
  </cols>
  <sheetData>
    <row r="1" spans="1:5" ht="15.75" x14ac:dyDescent="0.25">
      <c r="A1" s="4" t="s">
        <v>0</v>
      </c>
      <c r="B1" s="4" t="s">
        <v>21</v>
      </c>
      <c r="C1" s="4" t="s">
        <v>22</v>
      </c>
      <c r="D1" s="4" t="s">
        <v>23</v>
      </c>
      <c r="E1" s="4" t="s">
        <v>24</v>
      </c>
    </row>
    <row r="2" spans="1:5" x14ac:dyDescent="0.2">
      <c r="A2" s="13">
        <v>46176</v>
      </c>
      <c r="B2" s="13" t="s">
        <v>25</v>
      </c>
      <c r="C2">
        <v>564</v>
      </c>
      <c r="D2">
        <v>404</v>
      </c>
      <c r="E2" t="s">
        <v>28</v>
      </c>
    </row>
    <row r="3" spans="1:5" x14ac:dyDescent="0.2">
      <c r="A3" s="13">
        <v>46176</v>
      </c>
      <c r="B3" s="13" t="s">
        <v>26</v>
      </c>
      <c r="C3">
        <v>111</v>
      </c>
      <c r="D3">
        <v>130</v>
      </c>
      <c r="E3" t="s">
        <v>29</v>
      </c>
    </row>
    <row r="4" spans="1:5" x14ac:dyDescent="0.2">
      <c r="A4" s="13">
        <v>46177</v>
      </c>
      <c r="B4" s="13" t="s">
        <v>25</v>
      </c>
      <c r="C4">
        <v>101</v>
      </c>
      <c r="D4">
        <v>234</v>
      </c>
      <c r="E4" t="s">
        <v>30</v>
      </c>
    </row>
    <row r="5" spans="1:5" x14ac:dyDescent="0.2">
      <c r="A5" s="13">
        <v>46177</v>
      </c>
      <c r="B5" s="13" t="s">
        <v>26</v>
      </c>
      <c r="C5">
        <v>526</v>
      </c>
      <c r="D5">
        <v>553</v>
      </c>
      <c r="E5" t="s">
        <v>31</v>
      </c>
    </row>
    <row r="6" spans="1:5" x14ac:dyDescent="0.2">
      <c r="A6" s="13">
        <v>46178</v>
      </c>
      <c r="B6" s="13" t="s">
        <v>25</v>
      </c>
      <c r="C6">
        <v>720</v>
      </c>
      <c r="D6">
        <v>720</v>
      </c>
      <c r="E6" t="s">
        <v>31</v>
      </c>
    </row>
    <row r="7" spans="1:5" x14ac:dyDescent="0.2">
      <c r="A7" s="13">
        <v>46178</v>
      </c>
      <c r="B7" s="13" t="s">
        <v>26</v>
      </c>
      <c r="C7">
        <v>720</v>
      </c>
      <c r="D7">
        <v>720</v>
      </c>
      <c r="E7" t="s">
        <v>27</v>
      </c>
    </row>
    <row r="8" spans="1:5" x14ac:dyDescent="0.2">
      <c r="A8" s="13">
        <v>46179</v>
      </c>
      <c r="B8" s="13" t="s">
        <v>25</v>
      </c>
      <c r="C8">
        <v>71</v>
      </c>
      <c r="D8">
        <v>345</v>
      </c>
      <c r="E8" t="s">
        <v>32</v>
      </c>
    </row>
    <row r="9" spans="1:5" x14ac:dyDescent="0.2">
      <c r="A9" s="13">
        <v>46179</v>
      </c>
      <c r="B9" s="13" t="s">
        <v>26</v>
      </c>
      <c r="C9">
        <v>94</v>
      </c>
      <c r="D9">
        <v>124</v>
      </c>
      <c r="E9" t="s">
        <v>33</v>
      </c>
    </row>
    <row r="10" spans="1:5" x14ac:dyDescent="0.2">
      <c r="A10" s="13">
        <v>46180</v>
      </c>
      <c r="B10" s="13" t="s">
        <v>25</v>
      </c>
      <c r="C10">
        <v>128</v>
      </c>
      <c r="D10">
        <v>120</v>
      </c>
      <c r="E10" t="s">
        <v>34</v>
      </c>
    </row>
    <row r="11" spans="1:5" x14ac:dyDescent="0.2">
      <c r="A11" s="13">
        <v>46180</v>
      </c>
      <c r="B11" s="13" t="s">
        <v>26</v>
      </c>
      <c r="C11">
        <v>112</v>
      </c>
      <c r="D11">
        <v>100</v>
      </c>
      <c r="E11" t="s">
        <v>35</v>
      </c>
    </row>
    <row r="12" spans="1:5" x14ac:dyDescent="0.2">
      <c r="A12" s="13">
        <v>46181</v>
      </c>
      <c r="B12" s="13" t="s">
        <v>25</v>
      </c>
      <c r="C12">
        <v>115</v>
      </c>
      <c r="D12">
        <v>131</v>
      </c>
      <c r="E12" t="s">
        <v>36</v>
      </c>
    </row>
    <row r="13" spans="1:5" x14ac:dyDescent="0.2">
      <c r="A13" s="13">
        <v>46181</v>
      </c>
      <c r="B13" s="13" t="s">
        <v>26</v>
      </c>
      <c r="C13">
        <v>226</v>
      </c>
      <c r="D13">
        <v>189</v>
      </c>
      <c r="E13" t="s">
        <v>37</v>
      </c>
    </row>
    <row r="14" spans="1:5" x14ac:dyDescent="0.2">
      <c r="A14" s="13">
        <v>46182</v>
      </c>
      <c r="B14" s="13" t="s">
        <v>25</v>
      </c>
      <c r="C14">
        <v>74</v>
      </c>
      <c r="D14">
        <v>50</v>
      </c>
      <c r="E14" t="s">
        <v>38</v>
      </c>
    </row>
    <row r="15" spans="1:5" x14ac:dyDescent="0.2">
      <c r="A15" s="13">
        <v>46182</v>
      </c>
      <c r="B15" s="13" t="s">
        <v>26</v>
      </c>
      <c r="C15">
        <v>262</v>
      </c>
      <c r="D15">
        <v>209</v>
      </c>
      <c r="E15" t="s">
        <v>39</v>
      </c>
    </row>
    <row r="16" spans="1:5" x14ac:dyDescent="0.2">
      <c r="A16" s="13">
        <v>46183</v>
      </c>
      <c r="B16" s="13" t="s">
        <v>25</v>
      </c>
      <c r="C16">
        <v>72</v>
      </c>
      <c r="D16">
        <v>173</v>
      </c>
      <c r="E16" t="s">
        <v>40</v>
      </c>
    </row>
    <row r="17" spans="1:5" x14ac:dyDescent="0.2">
      <c r="A17" s="13">
        <v>46183</v>
      </c>
      <c r="B17" s="13" t="s">
        <v>26</v>
      </c>
      <c r="C17">
        <v>127</v>
      </c>
      <c r="D17">
        <v>170</v>
      </c>
      <c r="E17" t="s">
        <v>41</v>
      </c>
    </row>
    <row r="18" spans="1:5" x14ac:dyDescent="0.2">
      <c r="A18" s="13">
        <v>46184</v>
      </c>
      <c r="B18" s="13" t="s">
        <v>25</v>
      </c>
      <c r="C18">
        <v>85</v>
      </c>
      <c r="D18">
        <v>108</v>
      </c>
      <c r="E18" t="s">
        <v>42</v>
      </c>
    </row>
    <row r="19" spans="1:5" x14ac:dyDescent="0.2">
      <c r="A19" s="13">
        <v>46184</v>
      </c>
      <c r="B19" s="13" t="s">
        <v>26</v>
      </c>
      <c r="C19">
        <v>137</v>
      </c>
      <c r="D19">
        <v>264</v>
      </c>
      <c r="E19" t="s">
        <v>43</v>
      </c>
    </row>
    <row r="20" spans="1:5" x14ac:dyDescent="0.2">
      <c r="A20" s="13">
        <v>46185</v>
      </c>
      <c r="B20" s="13" t="s">
        <v>25</v>
      </c>
      <c r="C20">
        <v>135</v>
      </c>
      <c r="D20">
        <v>165</v>
      </c>
      <c r="E20" t="s">
        <v>44</v>
      </c>
    </row>
    <row r="21" spans="1:5" x14ac:dyDescent="0.2">
      <c r="A21" s="13">
        <v>46185</v>
      </c>
      <c r="B21" s="13" t="s">
        <v>26</v>
      </c>
      <c r="C21">
        <v>144</v>
      </c>
      <c r="D21">
        <v>187</v>
      </c>
      <c r="E21" t="s">
        <v>45</v>
      </c>
    </row>
    <row r="22" spans="1:5" x14ac:dyDescent="0.2">
      <c r="A22" s="13">
        <v>46186</v>
      </c>
      <c r="B22" t="s">
        <v>25</v>
      </c>
      <c r="C22">
        <v>53</v>
      </c>
      <c r="D22">
        <v>123</v>
      </c>
      <c r="E22" t="s">
        <v>46</v>
      </c>
    </row>
    <row r="23" spans="1:5" x14ac:dyDescent="0.2">
      <c r="A23" s="13">
        <v>46186</v>
      </c>
      <c r="B23" t="s">
        <v>26</v>
      </c>
      <c r="C23">
        <v>334</v>
      </c>
      <c r="D23">
        <v>503</v>
      </c>
      <c r="E23" t="s">
        <v>47</v>
      </c>
    </row>
    <row r="24" spans="1:5" x14ac:dyDescent="0.2">
      <c r="A24" s="13">
        <v>46187</v>
      </c>
      <c r="B24" t="s">
        <v>25</v>
      </c>
      <c r="C24">
        <v>188</v>
      </c>
      <c r="D24">
        <v>207</v>
      </c>
      <c r="E24" t="s">
        <v>48</v>
      </c>
    </row>
    <row r="25" spans="1:5" x14ac:dyDescent="0.2">
      <c r="A25" s="13">
        <v>46187</v>
      </c>
      <c r="B25" t="s">
        <v>26</v>
      </c>
      <c r="C25">
        <v>97</v>
      </c>
      <c r="D25">
        <v>103</v>
      </c>
      <c r="E25" t="s">
        <v>49</v>
      </c>
    </row>
    <row r="26" spans="1:5" x14ac:dyDescent="0.2">
      <c r="A26" s="13">
        <v>46188</v>
      </c>
      <c r="B26" t="s">
        <v>25</v>
      </c>
      <c r="C26">
        <v>98</v>
      </c>
      <c r="D26">
        <v>120</v>
      </c>
      <c r="E26" t="s">
        <v>50</v>
      </c>
    </row>
    <row r="27" spans="1:5" x14ac:dyDescent="0.2">
      <c r="A27" s="13">
        <v>46188</v>
      </c>
      <c r="B27" t="s">
        <v>26</v>
      </c>
      <c r="C27">
        <v>125</v>
      </c>
      <c r="D27">
        <v>134</v>
      </c>
      <c r="E27" t="s">
        <v>51</v>
      </c>
    </row>
    <row r="28" spans="1:5" x14ac:dyDescent="0.2">
      <c r="A28" s="13">
        <v>46189</v>
      </c>
      <c r="B28" t="s">
        <v>25</v>
      </c>
      <c r="C28">
        <v>156</v>
      </c>
      <c r="D28">
        <v>142</v>
      </c>
      <c r="E28" t="s">
        <v>52</v>
      </c>
    </row>
    <row r="29" spans="1:5" x14ac:dyDescent="0.2">
      <c r="A29" s="13">
        <v>46189</v>
      </c>
      <c r="B29" t="s">
        <v>26</v>
      </c>
      <c r="C29">
        <v>245</v>
      </c>
      <c r="D29">
        <v>282</v>
      </c>
      <c r="E29" t="s">
        <v>53</v>
      </c>
    </row>
    <row r="30" spans="1:5" x14ac:dyDescent="0.2">
      <c r="A30" s="13">
        <v>46190</v>
      </c>
      <c r="B30" t="s">
        <v>25</v>
      </c>
      <c r="C30">
        <v>148</v>
      </c>
      <c r="D30">
        <v>84</v>
      </c>
      <c r="E30" t="s">
        <v>54</v>
      </c>
    </row>
    <row r="31" spans="1:5" x14ac:dyDescent="0.2">
      <c r="A31" s="13">
        <v>46190</v>
      </c>
      <c r="B31" t="s">
        <v>26</v>
      </c>
      <c r="C31">
        <v>113</v>
      </c>
      <c r="D31">
        <v>148</v>
      </c>
      <c r="E31" t="s">
        <v>55</v>
      </c>
    </row>
    <row r="32" spans="1:5" x14ac:dyDescent="0.2">
      <c r="A32" s="13">
        <v>46191</v>
      </c>
      <c r="B32" t="s">
        <v>25</v>
      </c>
      <c r="C32">
        <v>65</v>
      </c>
      <c r="D32">
        <v>139</v>
      </c>
      <c r="E32" t="s">
        <v>56</v>
      </c>
    </row>
    <row r="33" spans="1:5" x14ac:dyDescent="0.2">
      <c r="A33" s="13">
        <v>46191</v>
      </c>
      <c r="B33" t="s">
        <v>26</v>
      </c>
      <c r="C33">
        <v>0</v>
      </c>
      <c r="D33">
        <v>131</v>
      </c>
      <c r="E33" t="s">
        <v>57</v>
      </c>
    </row>
    <row r="34" spans="1:5" x14ac:dyDescent="0.2">
      <c r="A34" s="13">
        <v>46192</v>
      </c>
      <c r="B34" t="s">
        <v>25</v>
      </c>
      <c r="C34">
        <v>503</v>
      </c>
      <c r="D34">
        <v>509</v>
      </c>
      <c r="E34" t="s">
        <v>58</v>
      </c>
    </row>
    <row r="35" spans="1:5" x14ac:dyDescent="0.2">
      <c r="A35" s="13">
        <v>46192</v>
      </c>
      <c r="B35" t="s">
        <v>26</v>
      </c>
      <c r="C35">
        <v>376</v>
      </c>
      <c r="D35">
        <v>720</v>
      </c>
      <c r="E35" t="s">
        <v>59</v>
      </c>
    </row>
    <row r="36" spans="1:5" x14ac:dyDescent="0.2">
      <c r="A36" s="13">
        <v>46193</v>
      </c>
      <c r="B36" t="s">
        <v>25</v>
      </c>
      <c r="C36">
        <v>700</v>
      </c>
      <c r="D36">
        <v>720</v>
      </c>
      <c r="E36" t="s">
        <v>60</v>
      </c>
    </row>
    <row r="37" spans="1:5" x14ac:dyDescent="0.2">
      <c r="A37" s="13">
        <v>46193</v>
      </c>
      <c r="B37" t="s">
        <v>26</v>
      </c>
      <c r="C37">
        <v>286</v>
      </c>
      <c r="D37">
        <v>720</v>
      </c>
      <c r="E37" t="s">
        <v>61</v>
      </c>
    </row>
    <row r="38" spans="1:5" x14ac:dyDescent="0.2">
      <c r="A38" s="13">
        <v>46194</v>
      </c>
      <c r="B38" t="s">
        <v>25</v>
      </c>
      <c r="C38">
        <v>64</v>
      </c>
      <c r="D38">
        <v>237</v>
      </c>
      <c r="E38" t="s">
        <v>62</v>
      </c>
    </row>
    <row r="39" spans="1:5" x14ac:dyDescent="0.2">
      <c r="A39" s="13">
        <v>46194</v>
      </c>
      <c r="B39" t="s">
        <v>26</v>
      </c>
      <c r="C39">
        <v>147</v>
      </c>
      <c r="D39">
        <v>188</v>
      </c>
      <c r="E39" t="s">
        <v>63</v>
      </c>
    </row>
    <row r="40" spans="1:5" x14ac:dyDescent="0.2">
      <c r="A40" s="13">
        <v>46195</v>
      </c>
      <c r="B40" t="s">
        <v>25</v>
      </c>
      <c r="C40">
        <v>43</v>
      </c>
      <c r="D40">
        <v>116</v>
      </c>
      <c r="E40" t="s">
        <v>64</v>
      </c>
    </row>
    <row r="41" spans="1:5" x14ac:dyDescent="0.2">
      <c r="A41" s="13">
        <v>46195</v>
      </c>
      <c r="B41" t="s">
        <v>26</v>
      </c>
      <c r="C41">
        <v>83</v>
      </c>
      <c r="D41">
        <v>164</v>
      </c>
      <c r="E41" t="s">
        <v>65</v>
      </c>
    </row>
    <row r="42" spans="1:5" x14ac:dyDescent="0.2">
      <c r="A42" s="13">
        <v>46196</v>
      </c>
      <c r="B42" t="s">
        <v>25</v>
      </c>
      <c r="C42">
        <v>67</v>
      </c>
      <c r="D42">
        <v>100</v>
      </c>
      <c r="E42" t="s">
        <v>66</v>
      </c>
    </row>
    <row r="43" spans="1:5" x14ac:dyDescent="0.2">
      <c r="A43" s="13">
        <v>46196</v>
      </c>
      <c r="B43" t="s">
        <v>26</v>
      </c>
      <c r="C43">
        <v>102</v>
      </c>
      <c r="D43">
        <v>220</v>
      </c>
      <c r="E43" t="s">
        <v>67</v>
      </c>
    </row>
    <row r="44" spans="1:5" x14ac:dyDescent="0.2">
      <c r="A44" s="13">
        <v>46197</v>
      </c>
      <c r="B44" t="s">
        <v>25</v>
      </c>
      <c r="C44">
        <v>105</v>
      </c>
      <c r="D44">
        <v>289</v>
      </c>
      <c r="E44" t="s">
        <v>68</v>
      </c>
    </row>
    <row r="45" spans="1:5" x14ac:dyDescent="0.2">
      <c r="A45" s="13">
        <v>46197</v>
      </c>
      <c r="B45" t="s">
        <v>26</v>
      </c>
      <c r="C45">
        <v>213</v>
      </c>
      <c r="D45">
        <v>227</v>
      </c>
      <c r="E45" t="s">
        <v>69</v>
      </c>
    </row>
    <row r="46" spans="1:5" x14ac:dyDescent="0.2">
      <c r="A46" s="13">
        <v>46198</v>
      </c>
      <c r="B46" t="s">
        <v>25</v>
      </c>
      <c r="C46">
        <v>116</v>
      </c>
      <c r="D46">
        <v>109</v>
      </c>
      <c r="E46" t="s">
        <v>70</v>
      </c>
    </row>
    <row r="47" spans="1:5" x14ac:dyDescent="0.2">
      <c r="A47" s="13">
        <v>46198</v>
      </c>
      <c r="B47" t="s">
        <v>26</v>
      </c>
      <c r="C47">
        <v>143</v>
      </c>
      <c r="D47">
        <v>101</v>
      </c>
      <c r="E47" t="s">
        <v>71</v>
      </c>
    </row>
    <row r="48" spans="1:5" x14ac:dyDescent="0.2">
      <c r="A48" s="13">
        <v>46199</v>
      </c>
      <c r="B48" t="s">
        <v>25</v>
      </c>
      <c r="C48">
        <v>78</v>
      </c>
      <c r="D48">
        <v>199</v>
      </c>
      <c r="E48" t="s">
        <v>72</v>
      </c>
    </row>
    <row r="49" spans="1:5" x14ac:dyDescent="0.2">
      <c r="A49" s="13">
        <v>46199</v>
      </c>
      <c r="B49" t="s">
        <v>26</v>
      </c>
      <c r="C49">
        <v>213</v>
      </c>
      <c r="D49">
        <v>243</v>
      </c>
      <c r="E49" t="s">
        <v>73</v>
      </c>
    </row>
    <row r="50" spans="1:5" x14ac:dyDescent="0.2">
      <c r="A50" s="13">
        <v>46200</v>
      </c>
      <c r="B50" t="s">
        <v>25</v>
      </c>
      <c r="C50">
        <v>394</v>
      </c>
      <c r="D50">
        <v>677</v>
      </c>
      <c r="E50" t="s">
        <v>74</v>
      </c>
    </row>
    <row r="51" spans="1:5" x14ac:dyDescent="0.2">
      <c r="A51" s="13">
        <v>46200</v>
      </c>
      <c r="B51" t="s">
        <v>26</v>
      </c>
      <c r="C51">
        <v>182</v>
      </c>
      <c r="D51">
        <v>720</v>
      </c>
      <c r="E51" t="s">
        <v>75</v>
      </c>
    </row>
    <row r="52" spans="1:5" x14ac:dyDescent="0.2">
      <c r="A52" s="13">
        <v>46201</v>
      </c>
      <c r="B52" t="s">
        <v>25</v>
      </c>
      <c r="C52">
        <v>255</v>
      </c>
      <c r="D52">
        <v>627</v>
      </c>
      <c r="E52" t="s">
        <v>76</v>
      </c>
    </row>
    <row r="53" spans="1:5" x14ac:dyDescent="0.2">
      <c r="A53" s="13">
        <v>46201</v>
      </c>
      <c r="B53" t="s">
        <v>26</v>
      </c>
      <c r="C53">
        <v>198</v>
      </c>
      <c r="D53">
        <v>136</v>
      </c>
      <c r="E53" t="s">
        <v>77</v>
      </c>
    </row>
    <row r="54" spans="1:5" x14ac:dyDescent="0.2">
      <c r="A54" s="13">
        <v>46202</v>
      </c>
      <c r="B54" t="s">
        <v>25</v>
      </c>
      <c r="C54">
        <v>165</v>
      </c>
      <c r="D54">
        <v>96</v>
      </c>
      <c r="E54" t="s">
        <v>78</v>
      </c>
    </row>
    <row r="55" spans="1:5" x14ac:dyDescent="0.2">
      <c r="A55" s="13">
        <v>46202</v>
      </c>
      <c r="B55" t="s">
        <v>26</v>
      </c>
      <c r="C55">
        <v>109</v>
      </c>
      <c r="D55">
        <v>127</v>
      </c>
      <c r="E55" t="s">
        <v>79</v>
      </c>
    </row>
    <row r="56" spans="1:5" x14ac:dyDescent="0.2">
      <c r="A56" s="13">
        <v>46203</v>
      </c>
      <c r="B56" t="s">
        <v>25</v>
      </c>
      <c r="C56">
        <v>100</v>
      </c>
      <c r="D56">
        <v>84</v>
      </c>
      <c r="E56" t="s">
        <v>80</v>
      </c>
    </row>
    <row r="57" spans="1:5" x14ac:dyDescent="0.2">
      <c r="A57" s="13">
        <v>46203</v>
      </c>
      <c r="B57" t="s">
        <v>26</v>
      </c>
      <c r="C57">
        <v>105</v>
      </c>
      <c r="D57">
        <v>130</v>
      </c>
      <c r="E57" t="s">
        <v>81</v>
      </c>
    </row>
    <row r="58" spans="1:5" x14ac:dyDescent="0.2">
      <c r="A58" s="13">
        <v>46204</v>
      </c>
      <c r="B58" t="s">
        <v>25</v>
      </c>
      <c r="C58">
        <v>266</v>
      </c>
      <c r="D58">
        <v>584</v>
      </c>
      <c r="E58" t="s">
        <v>82</v>
      </c>
    </row>
    <row r="59" spans="1:5" x14ac:dyDescent="0.2">
      <c r="A59" s="13">
        <v>46204</v>
      </c>
      <c r="B59" t="s">
        <v>26</v>
      </c>
      <c r="C59">
        <v>172</v>
      </c>
      <c r="D59">
        <v>164</v>
      </c>
      <c r="E59" t="s">
        <v>83</v>
      </c>
    </row>
    <row r="60" spans="1:5" x14ac:dyDescent="0.2">
      <c r="A60" s="13">
        <v>46205</v>
      </c>
      <c r="B60" t="s">
        <v>25</v>
      </c>
      <c r="C60">
        <v>125</v>
      </c>
      <c r="D60">
        <v>106</v>
      </c>
      <c r="E60" t="s">
        <v>84</v>
      </c>
    </row>
    <row r="61" spans="1:5" x14ac:dyDescent="0.2">
      <c r="A61" s="13">
        <v>46205</v>
      </c>
      <c r="B61" t="s">
        <v>26</v>
      </c>
      <c r="C61">
        <v>92</v>
      </c>
      <c r="D61">
        <v>146</v>
      </c>
      <c r="E61" t="s">
        <v>85</v>
      </c>
    </row>
    <row r="62" spans="1:5" x14ac:dyDescent="0.2">
      <c r="A62" s="13">
        <v>46206</v>
      </c>
      <c r="B62" t="s">
        <v>25</v>
      </c>
      <c r="C62">
        <v>92</v>
      </c>
      <c r="D62">
        <v>78</v>
      </c>
      <c r="E62" t="s">
        <v>86</v>
      </c>
    </row>
    <row r="63" spans="1:5" x14ac:dyDescent="0.2">
      <c r="A63" s="13">
        <v>46206</v>
      </c>
      <c r="B63" t="s">
        <v>26</v>
      </c>
      <c r="C63">
        <v>158</v>
      </c>
      <c r="D63">
        <v>125</v>
      </c>
      <c r="E63" t="s">
        <v>87</v>
      </c>
    </row>
    <row r="64" spans="1:5" x14ac:dyDescent="0.2">
      <c r="A64" s="13">
        <v>46207</v>
      </c>
      <c r="B64" t="s">
        <v>25</v>
      </c>
      <c r="C64">
        <v>134</v>
      </c>
      <c r="D64">
        <v>186</v>
      </c>
      <c r="E64" t="s">
        <v>88</v>
      </c>
    </row>
    <row r="65" spans="1:5" x14ac:dyDescent="0.2">
      <c r="A65" s="13">
        <v>46207</v>
      </c>
      <c r="B65" t="s">
        <v>26</v>
      </c>
      <c r="C65">
        <v>79</v>
      </c>
      <c r="D65">
        <v>139</v>
      </c>
      <c r="E65" t="s">
        <v>89</v>
      </c>
    </row>
    <row r="66" spans="1:5" x14ac:dyDescent="0.2">
      <c r="A66" s="13">
        <v>46208</v>
      </c>
      <c r="B66" t="s">
        <v>25</v>
      </c>
      <c r="C66">
        <v>107</v>
      </c>
      <c r="D66">
        <v>166</v>
      </c>
      <c r="E66" t="s">
        <v>90</v>
      </c>
    </row>
    <row r="67" spans="1:5" x14ac:dyDescent="0.2">
      <c r="A67" s="13">
        <v>46208</v>
      </c>
      <c r="B67" t="s">
        <v>26</v>
      </c>
      <c r="C67">
        <v>104</v>
      </c>
      <c r="D67">
        <v>238</v>
      </c>
      <c r="E67" t="s">
        <v>91</v>
      </c>
    </row>
    <row r="68" spans="1:5" x14ac:dyDescent="0.2">
      <c r="A68" s="13">
        <v>46209</v>
      </c>
      <c r="B68" t="s">
        <v>25</v>
      </c>
      <c r="C68">
        <v>75</v>
      </c>
      <c r="D68">
        <v>190</v>
      </c>
      <c r="E68" t="s">
        <v>92</v>
      </c>
    </row>
    <row r="69" spans="1:5" x14ac:dyDescent="0.2">
      <c r="A69" s="13">
        <v>46209</v>
      </c>
      <c r="B69" t="s">
        <v>26</v>
      </c>
      <c r="C69">
        <v>141</v>
      </c>
      <c r="D69">
        <v>194</v>
      </c>
      <c r="E69" t="s">
        <v>93</v>
      </c>
    </row>
    <row r="70" spans="1:5" x14ac:dyDescent="0.2">
      <c r="A70" s="13">
        <v>46210</v>
      </c>
      <c r="B70" t="s">
        <v>25</v>
      </c>
      <c r="C70">
        <v>303</v>
      </c>
      <c r="D70">
        <v>146</v>
      </c>
      <c r="E70" t="s">
        <v>94</v>
      </c>
    </row>
    <row r="71" spans="1:5" x14ac:dyDescent="0.2">
      <c r="A71" s="13">
        <v>46210</v>
      </c>
      <c r="B71" t="s">
        <v>26</v>
      </c>
      <c r="C71">
        <v>249</v>
      </c>
      <c r="D71">
        <v>62</v>
      </c>
      <c r="E71" t="s">
        <v>95</v>
      </c>
    </row>
    <row r="72" spans="1:5" x14ac:dyDescent="0.2">
      <c r="A72" s="13"/>
    </row>
    <row r="73" spans="1:5" x14ac:dyDescent="0.2">
      <c r="A73" s="13"/>
    </row>
    <row r="74" spans="1:5" x14ac:dyDescent="0.2">
      <c r="A74" s="13"/>
    </row>
    <row r="75" spans="1:5" x14ac:dyDescent="0.2">
      <c r="A75" s="13"/>
    </row>
    <row r="76" spans="1:5" x14ac:dyDescent="0.2">
      <c r="A76" s="13"/>
    </row>
    <row r="77" spans="1:5" x14ac:dyDescent="0.2">
      <c r="A77" s="13"/>
    </row>
    <row r="78" spans="1:5" x14ac:dyDescent="0.2">
      <c r="A78" s="13"/>
    </row>
    <row r="79" spans="1:5" x14ac:dyDescent="0.2">
      <c r="A79" s="13"/>
    </row>
    <row r="80" spans="1:5" x14ac:dyDescent="0.2">
      <c r="A80" s="13"/>
    </row>
    <row r="81" spans="1:1" x14ac:dyDescent="0.2">
      <c r="A81" s="13"/>
    </row>
    <row r="82" spans="1:1" x14ac:dyDescent="0.2">
      <c r="A82" s="13"/>
    </row>
    <row r="83" spans="1:1" x14ac:dyDescent="0.2">
      <c r="A83" s="13"/>
    </row>
    <row r="84" spans="1:1" x14ac:dyDescent="0.2">
      <c r="A84" s="13"/>
    </row>
    <row r="85" spans="1:1" x14ac:dyDescent="0.2">
      <c r="A85" s="13"/>
    </row>
    <row r="86" spans="1:1" x14ac:dyDescent="0.2">
      <c r="A86" s="13"/>
    </row>
    <row r="87" spans="1:1" x14ac:dyDescent="0.2">
      <c r="A87" s="13"/>
    </row>
    <row r="88" spans="1:1" x14ac:dyDescent="0.2">
      <c r="A88" s="13"/>
    </row>
    <row r="89" spans="1:1" x14ac:dyDescent="0.2">
      <c r="A89" s="13"/>
    </row>
    <row r="90" spans="1:1" x14ac:dyDescent="0.2">
      <c r="A90" s="13"/>
    </row>
    <row r="91" spans="1:1" x14ac:dyDescent="0.2">
      <c r="A91" s="13"/>
    </row>
    <row r="92" spans="1:1" x14ac:dyDescent="0.2">
      <c r="A92" s="13"/>
    </row>
    <row r="93" spans="1:1" x14ac:dyDescent="0.2">
      <c r="A93" s="13"/>
    </row>
    <row r="94" spans="1:1" x14ac:dyDescent="0.2">
      <c r="A94" s="13"/>
    </row>
    <row r="95" spans="1:1" x14ac:dyDescent="0.2">
      <c r="A95" s="13"/>
    </row>
    <row r="96" spans="1:1" x14ac:dyDescent="0.2">
      <c r="A96" s="13"/>
    </row>
    <row r="97" spans="1:1" x14ac:dyDescent="0.2">
      <c r="A97" s="13"/>
    </row>
    <row r="98" spans="1:1" x14ac:dyDescent="0.2">
      <c r="A98" s="13"/>
    </row>
    <row r="99" spans="1:1" x14ac:dyDescent="0.2">
      <c r="A99" s="13"/>
    </row>
    <row r="100" spans="1:1" x14ac:dyDescent="0.2">
      <c r="A100" s="13"/>
    </row>
    <row r="101" spans="1:1" x14ac:dyDescent="0.2">
      <c r="A101" s="13"/>
    </row>
    <row r="102" spans="1:1" x14ac:dyDescent="0.2">
      <c r="A102" s="13"/>
    </row>
    <row r="103" spans="1:1" x14ac:dyDescent="0.2">
      <c r="A103" s="13"/>
    </row>
    <row r="104" spans="1:1" x14ac:dyDescent="0.2">
      <c r="A104" s="13"/>
    </row>
    <row r="105" spans="1:1" x14ac:dyDescent="0.2">
      <c r="A105" s="13"/>
    </row>
    <row r="106" spans="1:1" x14ac:dyDescent="0.2">
      <c r="A106" s="13"/>
    </row>
    <row r="107" spans="1:1" x14ac:dyDescent="0.2">
      <c r="A107" s="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2026-07-08T15:13:34Z</dcterms:modified>
</cp:coreProperties>
</file>