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3"/>
    <sheet name="выработка" sheetId="2" state="visible" r:id="rId4"/>
    <sheet name="просто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31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день, т.к. мобильн отчет не понимает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2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interval="0" name="Запрос — Таблица1" description="Соединение с запросом &quot;Таблица1&quot; в книге." type="5" reconnectionMethod="1" refreshedVersion="8" minRefreshableVersion="0" savePassword="0" new="0" deleted="0" onlyUseConnectionFile="0" background="1" refreshOnLoad="0" saveData="0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<sst xmlns="http://schemas.openxmlformats.org/spreadsheetml/2006/main" count="106" uniqueCount="34">
  <si>
    <t xml:space="preserve">выработка кукурузы</t>
  </si>
  <si>
    <t xml:space="preserve">дата</t>
  </si>
  <si>
    <t xml:space="preserve">ПП</t>
  </si>
  <si>
    <t xml:space="preserve">БС</t>
  </si>
  <si>
    <t xml:space="preserve">ВС</t>
  </si>
  <si>
    <t xml:space="preserve">1с</t>
  </si>
  <si>
    <t xml:space="preserve">Итог</t>
  </si>
  <si>
    <t xml:space="preserve">Сорт</t>
  </si>
  <si>
    <t xml:space="preserve">2024 г</t>
  </si>
  <si>
    <t xml:space="preserve">2025 г</t>
  </si>
  <si>
    <t xml:space="preserve">2026 г</t>
  </si>
  <si>
    <t xml:space="preserve">БС (супер)</t>
  </si>
  <si>
    <t xml:space="preserve">ПП (супер)</t>
  </si>
  <si>
    <t xml:space="preserve">Кукуруза итого</t>
  </si>
  <si>
    <t xml:space="preserve">Показатели</t>
  </si>
  <si>
    <t xml:space="preserve">max выраб.в сутки тыс.шт</t>
  </si>
  <si>
    <t xml:space="preserve">среднедевная выраб</t>
  </si>
  <si>
    <t xml:space="preserve">колич-во раб дней</t>
  </si>
  <si>
    <t xml:space="preserve">Выработка по дням</t>
  </si>
  <si>
    <t xml:space="preserve">2026г</t>
  </si>
  <si>
    <t xml:space="preserve">2025г</t>
  </si>
  <si>
    <t xml:space="preserve">2024г</t>
  </si>
  <si>
    <t xml:space="preserve">2023г</t>
  </si>
  <si>
    <t xml:space="preserve">Дата</t>
  </si>
  <si>
    <t xml:space="preserve">смена</t>
  </si>
  <si>
    <t xml:space="preserve">ЛН-1</t>
  </si>
  <si>
    <t xml:space="preserve">ЛН-2</t>
  </si>
  <si>
    <t xml:space="preserve">Причины простоев</t>
  </si>
  <si>
    <t xml:space="preserve">день</t>
  </si>
  <si>
    <t xml:space="preserve">Настройка линии в потоке.</t>
  </si>
  <si>
    <t xml:space="preserve">ночь</t>
  </si>
  <si>
    <t xml:space="preserve">Настройка линии в потоке. Замятие банки в закатке</t>
  </si>
  <si>
    <t xml:space="preserve">Настройка закатки, наполнение бункеров, подбор скорости, замятие банки в закатке</t>
  </si>
  <si>
    <t xml:space="preserve">Наполнение бункеров-настройка резок под початок, замятие банки в закатке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</si>
</sst>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_-;\-* #,##0.00_-;_-* \-??_-;_-@_-"/>
    <numFmt numFmtId="166" formatCode="_-* #,##0_-;\-* #,##0_-;_-* \-??_-;_-@_-"/>
    <numFmt numFmtId="167" formatCode="dd/mm/yyyy"/>
    <numFmt numFmtId="168" formatCode="#,##0"/>
    <numFmt numFmtId="169" formatCode="_-* #,##0.0_-;\-* #,##0.0_-;_-* \-??_-;_-@_-"/>
    <numFmt numFmtId="170" formatCode="dd\ mmm"/>
    <numFmt numFmtId="171" formatCode="_-* #,##0.0000_-;\-* #,##0.0000_-;_-* \-??_-;_-@_-"/>
    <numFmt numFmtId="172" formatCode="_-* #\ ##0_-;\-* #\ ##0_-;_-* \-??_-;_-@_-"/>
    <numFmt numFmtId="173" formatCode="dd/mmm"/>
  </numFmts>
  <fonts count="15">
    <font>
      <sz val="12"/>
      <color theme="1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Arial"/>
      <family val="2"/>
      <charset val="204"/>
    </font>
    <font>
      <b val="true"/>
      <sz val="12"/>
      <color theme="1"/>
      <name val="Arial"/>
      <family val="2"/>
      <charset val="204"/>
    </font>
    <font>
      <b val="true"/>
      <sz val="10"/>
      <color theme="1"/>
      <name val="Arial"/>
      <family val="2"/>
      <charset val="204"/>
    </font>
    <font>
      <i val="true"/>
      <sz val="12"/>
      <color theme="1"/>
      <name val="Arial"/>
      <family val="2"/>
      <charset val="204"/>
    </font>
    <font>
      <sz val="10"/>
      <name val="Arial"/>
      <family val="2"/>
      <charset val="204"/>
    </font>
    <font>
      <sz val="9"/>
      <color rgb="FF000000"/>
      <name val="Tahoma"/>
      <family val="2"/>
      <charset val="204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  <font>
      <b val="true"/>
      <sz val="12"/>
      <color rgb="FFFF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onnections" Target="connections.xml"/><Relationship Id="rId8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2024 г</a:t>
            </a:r>
          </a:p>
        </c:rich>
      </c:tx>
      <c:layout>
        <c:manualLayout>
          <c:xMode val="edge"/>
          <c:yMode val="edge"/>
          <c:x val="0.100587625302454"/>
          <c:y val="0.041858023881380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17824634174444"/>
          <c:y val="0.199448891221624"/>
          <c:w val="0.147213580673657"/>
          <c:h val="0.7392730612780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#,##0_-;\-* #,##0_-;_-* \-??_-;_-@_-</c:formatCode>
                <c:ptCount val="5"/>
                <c:pt idx="0">
                  <c:v>13049.448</c:v>
                </c:pt>
                <c:pt idx="1">
                  <c:v>12629.881</c:v>
                </c:pt>
                <c:pt idx="2">
                  <c:v>4184.744</c:v>
                </c:pt>
                <c:pt idx="3">
                  <c:v>0</c:v>
                </c:pt>
                <c:pt idx="4">
                  <c:v>29864.073</c:v>
                </c:pt>
              </c:numCache>
            </c:numRef>
          </c:val>
        </c:ser>
        <c:gapWidth val="50"/>
        <c:overlap val="0"/>
        <c:axId val="80622448"/>
        <c:axId val="87254316"/>
      </c:barChart>
      <c:catAx>
        <c:axId val="80622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7254316"/>
        <c:crosses val="autoZero"/>
        <c:auto val="1"/>
        <c:lblAlgn val="ctr"/>
        <c:lblOffset val="100"/>
        <c:noMultiLvlLbl val="0"/>
      </c:catAx>
      <c:valAx>
        <c:axId val="87254316"/>
        <c:scaling>
          <c:orientation val="minMax"/>
          <c:max val="30000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622448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2025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#,##0_-;\-* #,##0_-;_-* \-??_-;_-@_-</c:formatCode>
                <c:ptCount val="5"/>
                <c:pt idx="0">
                  <c:v>15920.81</c:v>
                </c:pt>
                <c:pt idx="1">
                  <c:v>17245.885</c:v>
                </c:pt>
                <c:pt idx="2">
                  <c:v>9825.936</c:v>
                </c:pt>
                <c:pt idx="3">
                  <c:v>189.323</c:v>
                </c:pt>
                <c:pt idx="4">
                  <c:v>43181.954</c:v>
                </c:pt>
              </c:numCache>
            </c:numRef>
          </c:val>
        </c:ser>
        <c:gapWidth val="50"/>
        <c:overlap val="0"/>
        <c:axId val="76279524"/>
        <c:axId val="14291646"/>
      </c:barChart>
      <c:catAx>
        <c:axId val="762795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4291646"/>
        <c:crosses val="autoZero"/>
        <c:auto val="1"/>
        <c:lblAlgn val="ctr"/>
        <c:lblOffset val="100"/>
        <c:noMultiLvlLbl val="0"/>
      </c:catAx>
      <c:valAx>
        <c:axId val="14291646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279524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2026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29559239789729"/>
          <c:y val="0.17163101955124"/>
          <c:w val="0.522038010513546"/>
          <c:h val="0.77719459388531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#,##0_-;\-* #,##0_-;_-* \-??_-;_-@_-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570.959</c:v>
                </c:pt>
                <c:pt idx="3">
                  <c:v>138.724</c:v>
                </c:pt>
                <c:pt idx="4">
                  <c:v>709.683</c:v>
                </c:pt>
              </c:numCache>
            </c:numRef>
          </c:val>
        </c:ser>
        <c:gapWidth val="50"/>
        <c:overlap val="0"/>
        <c:axId val="42703259"/>
        <c:axId val="77319066"/>
      </c:barChart>
      <c:catAx>
        <c:axId val="427032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7319066"/>
        <c:crosses val="autoZero"/>
        <c:auto val="1"/>
        <c:lblAlgn val="ctr"/>
        <c:lblOffset val="100"/>
        <c:noMultiLvlLbl val="0"/>
      </c:catAx>
      <c:valAx>
        <c:axId val="77319066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703259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57240</xdr:colOff>
      <xdr:row>8</xdr:row>
      <xdr:rowOff>47520</xdr:rowOff>
    </xdr:from>
    <xdr:to>
      <xdr:col>10</xdr:col>
      <xdr:colOff>390240</xdr:colOff>
      <xdr:row>22</xdr:row>
      <xdr:rowOff>123480</xdr:rowOff>
    </xdr:to>
    <xdr:graphicFrame>
      <xdr:nvGraphicFramePr>
        <xdr:cNvPr id="0" name="Диаграмма 2"/>
        <xdr:cNvGraphicFramePr/>
      </xdr:nvGraphicFramePr>
      <xdr:xfrm>
        <a:off x="57240" y="1571400"/>
        <a:ext cx="93729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457200</xdr:colOff>
      <xdr:row>8</xdr:row>
      <xdr:rowOff>133560</xdr:rowOff>
    </xdr:from>
    <xdr:to>
      <xdr:col>6</xdr:col>
      <xdr:colOff>18720</xdr:colOff>
      <xdr:row>23</xdr:row>
      <xdr:rowOff>19080</xdr:rowOff>
    </xdr:to>
    <xdr:graphicFrame>
      <xdr:nvGraphicFramePr>
        <xdr:cNvPr id="1" name="Диаграмма 3"/>
        <xdr:cNvGraphicFramePr/>
      </xdr:nvGraphicFramePr>
      <xdr:xfrm>
        <a:off x="3093840" y="1657440"/>
        <a:ext cx="28659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142920</xdr:colOff>
      <xdr:row>8</xdr:row>
      <xdr:rowOff>123840</xdr:rowOff>
    </xdr:from>
    <xdr:to>
      <xdr:col>9</xdr:col>
      <xdr:colOff>437760</xdr:colOff>
      <xdr:row>23</xdr:row>
      <xdr:rowOff>9360</xdr:rowOff>
    </xdr:to>
    <xdr:graphicFrame>
      <xdr:nvGraphicFramePr>
        <xdr:cNvPr id="2" name="Диаграмма 4"/>
        <xdr:cNvGraphicFramePr/>
      </xdr:nvGraphicFramePr>
      <xdr:xfrm>
        <a:off x="6084000" y="1647720"/>
        <a:ext cx="26704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Таблица1" displayName="Таблица1" ref="A2:E62" headerRowCount="1" totalsRowCount="1" totalsRowShown="1">
  <autoFilter ref="A2:E62"/>
  <tableColumns count="5">
    <tableColumn id="1" name="дата"/>
    <tableColumn id="2" name="ПП" totalsRowFunction="sum"/>
    <tableColumn id="3" name="БС" totalsRowFunction="sum"/>
    <tableColumn id="4" name="ВС" totalsRowFunction="sum"/>
    <tableColumn id="5" name="1с" totalsRowFunction="sum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H17" activeCellId="0" sqref="H17"/>
    </sheetView>
  </sheetViews>
  <sheetFormatPr defaultColWidth="13.4453125" defaultRowHeight="15" customHeight="true" zeroHeight="false" outlineLevelRow="0" outlineLevelCol="0"/>
  <cols>
    <col collapsed="false" customWidth="false" hidden="false" outlineLevel="0" max="6" min="6" style="1" width="13.44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customFormat="false" ht="15" hidden="false" customHeight="false" outlineLevel="0" collapsed="false">
      <c r="A3" s="3" t="n">
        <v>46235</v>
      </c>
      <c r="B3" s="1"/>
      <c r="C3" s="1"/>
      <c r="D3" s="1"/>
      <c r="E3" s="1"/>
    </row>
    <row r="4" customFormat="false" ht="15" hidden="false" customHeight="false" outlineLevel="0" collapsed="false">
      <c r="A4" s="3" t="n">
        <v>46236</v>
      </c>
      <c r="B4" s="1"/>
      <c r="C4" s="1"/>
      <c r="D4" s="1"/>
      <c r="E4" s="1"/>
    </row>
    <row r="5" customFormat="false" ht="15" hidden="false" customHeight="false" outlineLevel="0" collapsed="false">
      <c r="A5" s="3" t="n">
        <v>46237</v>
      </c>
      <c r="B5" s="1"/>
      <c r="C5" s="1" t="n">
        <v>388.578</v>
      </c>
      <c r="D5" s="1"/>
      <c r="E5" s="1"/>
    </row>
    <row r="6" customFormat="false" ht="15" hidden="false" customHeight="false" outlineLevel="0" collapsed="false">
      <c r="A6" s="3" t="n">
        <v>46238</v>
      </c>
      <c r="B6" s="1" t="n">
        <v>138.724</v>
      </c>
      <c r="C6" s="1" t="n">
        <v>182.381</v>
      </c>
      <c r="D6" s="1"/>
      <c r="E6" s="1"/>
    </row>
    <row r="7" customFormat="false" ht="15" hidden="false" customHeight="false" outlineLevel="0" collapsed="false">
      <c r="A7" s="3" t="n">
        <v>46239</v>
      </c>
      <c r="B7" s="1"/>
      <c r="C7" s="1"/>
      <c r="D7" s="1"/>
      <c r="E7" s="1"/>
    </row>
    <row r="8" customFormat="false" ht="15" hidden="false" customHeight="false" outlineLevel="0" collapsed="false">
      <c r="A8" s="3" t="n">
        <v>46240</v>
      </c>
      <c r="B8" s="1"/>
      <c r="C8" s="1"/>
      <c r="D8" s="1"/>
      <c r="E8" s="1"/>
    </row>
    <row r="9" customFormat="false" ht="15" hidden="false" customHeight="false" outlineLevel="0" collapsed="false">
      <c r="A9" s="3" t="n">
        <v>46241</v>
      </c>
      <c r="B9" s="1"/>
      <c r="C9" s="1"/>
      <c r="D9" s="1"/>
      <c r="E9" s="1"/>
    </row>
    <row r="10" customFormat="false" ht="15" hidden="false" customHeight="false" outlineLevel="0" collapsed="false">
      <c r="A10" s="3" t="n">
        <v>46242</v>
      </c>
      <c r="B10" s="1"/>
      <c r="C10" s="1"/>
      <c r="D10" s="1"/>
      <c r="E10" s="1"/>
    </row>
    <row r="11" customFormat="false" ht="15" hidden="false" customHeight="false" outlineLevel="0" collapsed="false">
      <c r="A11" s="3" t="n">
        <v>46243</v>
      </c>
      <c r="B11" s="1"/>
      <c r="C11" s="1"/>
      <c r="D11" s="1"/>
      <c r="E11" s="1"/>
    </row>
    <row r="12" customFormat="false" ht="15" hidden="false" customHeight="false" outlineLevel="0" collapsed="false">
      <c r="A12" s="3" t="n">
        <v>46244</v>
      </c>
      <c r="B12" s="1"/>
      <c r="C12" s="1"/>
      <c r="D12" s="1"/>
      <c r="E12" s="1"/>
    </row>
    <row r="13" customFormat="false" ht="15" hidden="false" customHeight="false" outlineLevel="0" collapsed="false">
      <c r="A13" s="3" t="n">
        <v>46245</v>
      </c>
      <c r="B13" s="1"/>
      <c r="C13" s="1"/>
      <c r="D13" s="1"/>
      <c r="E13" s="1"/>
    </row>
    <row r="14" customFormat="false" ht="15" hidden="false" customHeight="false" outlineLevel="0" collapsed="false">
      <c r="A14" s="3" t="n">
        <v>46246</v>
      </c>
      <c r="B14" s="1"/>
      <c r="C14" s="1"/>
      <c r="D14" s="1"/>
      <c r="E14" s="1"/>
    </row>
    <row r="15" customFormat="false" ht="15" hidden="false" customHeight="false" outlineLevel="0" collapsed="false">
      <c r="A15" s="3" t="n">
        <v>46247</v>
      </c>
      <c r="B15" s="1"/>
      <c r="C15" s="1"/>
      <c r="D15" s="1"/>
      <c r="E15" s="1"/>
    </row>
    <row r="16" customFormat="false" ht="15" hidden="false" customHeight="false" outlineLevel="0" collapsed="false">
      <c r="A16" s="3" t="n">
        <v>46248</v>
      </c>
      <c r="B16" s="1"/>
      <c r="C16" s="1"/>
      <c r="D16" s="1"/>
      <c r="E16" s="1"/>
    </row>
    <row r="17" customFormat="false" ht="15" hidden="false" customHeight="false" outlineLevel="0" collapsed="false">
      <c r="A17" s="3" t="n">
        <v>46249</v>
      </c>
      <c r="B17" s="1"/>
      <c r="C17" s="1"/>
      <c r="D17" s="1"/>
      <c r="E17" s="1"/>
    </row>
    <row r="18" customFormat="false" ht="15" hidden="false" customHeight="false" outlineLevel="0" collapsed="false">
      <c r="A18" s="3" t="n">
        <v>46250</v>
      </c>
      <c r="B18" s="1"/>
      <c r="C18" s="1"/>
      <c r="D18" s="1"/>
      <c r="E18" s="1"/>
    </row>
    <row r="19" customFormat="false" ht="15" hidden="false" customHeight="false" outlineLevel="0" collapsed="false">
      <c r="A19" s="3" t="n">
        <v>46251</v>
      </c>
      <c r="B19" s="1"/>
      <c r="C19" s="1"/>
      <c r="D19" s="1"/>
      <c r="E19" s="1"/>
    </row>
    <row r="20" customFormat="false" ht="15" hidden="false" customHeight="false" outlineLevel="0" collapsed="false">
      <c r="A20" s="3" t="n">
        <v>46252</v>
      </c>
      <c r="B20" s="1"/>
      <c r="C20" s="1"/>
      <c r="D20" s="1"/>
      <c r="E20" s="1"/>
    </row>
    <row r="21" customFormat="false" ht="15" hidden="false" customHeight="false" outlineLevel="0" collapsed="false">
      <c r="A21" s="3" t="n">
        <v>46253</v>
      </c>
      <c r="B21" s="1"/>
      <c r="C21" s="1"/>
      <c r="D21" s="1"/>
      <c r="E21" s="1"/>
    </row>
    <row r="22" customFormat="false" ht="15" hidden="false" customHeight="false" outlineLevel="0" collapsed="false">
      <c r="A22" s="3" t="n">
        <v>46254</v>
      </c>
      <c r="B22" s="1"/>
      <c r="C22" s="1"/>
      <c r="D22" s="1"/>
      <c r="E22" s="1"/>
    </row>
    <row r="23" customFormat="false" ht="15" hidden="false" customHeight="false" outlineLevel="0" collapsed="false">
      <c r="A23" s="3" t="n">
        <v>46255</v>
      </c>
      <c r="B23" s="1"/>
      <c r="C23" s="1"/>
      <c r="D23" s="1"/>
      <c r="E23" s="1"/>
    </row>
    <row r="24" customFormat="false" ht="15" hidden="false" customHeight="false" outlineLevel="0" collapsed="false">
      <c r="A24" s="3" t="n">
        <v>46256</v>
      </c>
      <c r="B24" s="1"/>
      <c r="C24" s="1"/>
      <c r="D24" s="1"/>
      <c r="E24" s="1"/>
    </row>
    <row r="25" customFormat="false" ht="15" hidden="false" customHeight="false" outlineLevel="0" collapsed="false">
      <c r="A25" s="3" t="n">
        <v>46257</v>
      </c>
      <c r="B25" s="1"/>
      <c r="C25" s="1"/>
      <c r="D25" s="1"/>
      <c r="E25" s="1"/>
    </row>
    <row r="26" customFormat="false" ht="15" hidden="false" customHeight="false" outlineLevel="0" collapsed="false">
      <c r="A26" s="3" t="n">
        <v>46258</v>
      </c>
      <c r="B26" s="1"/>
      <c r="C26" s="1"/>
      <c r="D26" s="1"/>
      <c r="E26" s="1"/>
    </row>
    <row r="27" customFormat="false" ht="15" hidden="false" customHeight="false" outlineLevel="0" collapsed="false">
      <c r="A27" s="3" t="n">
        <v>46259</v>
      </c>
      <c r="B27" s="1"/>
      <c r="C27" s="1"/>
      <c r="D27" s="1"/>
      <c r="E27" s="1"/>
    </row>
    <row r="28" customFormat="false" ht="15" hidden="false" customHeight="false" outlineLevel="0" collapsed="false">
      <c r="A28" s="3" t="n">
        <v>46260</v>
      </c>
      <c r="B28" s="1"/>
      <c r="C28" s="1"/>
      <c r="D28" s="1"/>
      <c r="E28" s="1"/>
    </row>
    <row r="29" customFormat="false" ht="15" hidden="false" customHeight="false" outlineLevel="0" collapsed="false">
      <c r="A29" s="3" t="n">
        <v>46261</v>
      </c>
      <c r="B29" s="1"/>
      <c r="C29" s="1"/>
      <c r="D29" s="1"/>
      <c r="E29" s="1"/>
    </row>
    <row r="30" customFormat="false" ht="15" hidden="false" customHeight="false" outlineLevel="0" collapsed="false">
      <c r="A30" s="3" t="n">
        <v>46262</v>
      </c>
      <c r="B30" s="1"/>
      <c r="C30" s="1"/>
      <c r="D30" s="1"/>
      <c r="E30" s="1"/>
    </row>
    <row r="31" customFormat="false" ht="15" hidden="false" customHeight="false" outlineLevel="0" collapsed="false">
      <c r="A31" s="3" t="n">
        <v>46263</v>
      </c>
      <c r="B31" s="1"/>
      <c r="C31" s="1"/>
      <c r="D31" s="1"/>
      <c r="E31" s="1"/>
    </row>
    <row r="32" customFormat="false" ht="15" hidden="false" customHeight="false" outlineLevel="0" collapsed="false">
      <c r="A32" s="3" t="n">
        <v>46264</v>
      </c>
      <c r="B32" s="1"/>
      <c r="C32" s="1"/>
      <c r="D32" s="1"/>
      <c r="E32" s="1"/>
    </row>
    <row r="33" customFormat="false" ht="15" hidden="false" customHeight="false" outlineLevel="0" collapsed="false">
      <c r="A33" s="3" t="n">
        <v>46265</v>
      </c>
      <c r="B33" s="1"/>
      <c r="C33" s="1"/>
      <c r="D33" s="1"/>
      <c r="E33" s="1"/>
    </row>
    <row r="34" customFormat="false" ht="15" hidden="false" customHeight="false" outlineLevel="0" collapsed="false">
      <c r="A34" s="3" t="n">
        <v>46266</v>
      </c>
      <c r="B34" s="1"/>
      <c r="C34" s="1"/>
      <c r="D34" s="1"/>
      <c r="E34" s="1"/>
    </row>
    <row r="35" customFormat="false" ht="15" hidden="false" customHeight="false" outlineLevel="0" collapsed="false">
      <c r="A35" s="3" t="n">
        <v>46267</v>
      </c>
      <c r="B35" s="1"/>
      <c r="C35" s="1"/>
      <c r="D35" s="1"/>
      <c r="E35" s="1"/>
    </row>
    <row r="36" customFormat="false" ht="15" hidden="false" customHeight="false" outlineLevel="0" collapsed="false">
      <c r="A36" s="3" t="n">
        <v>46268</v>
      </c>
      <c r="B36" s="1"/>
      <c r="C36" s="1"/>
      <c r="D36" s="1"/>
      <c r="E36" s="1"/>
    </row>
    <row r="37" customFormat="false" ht="15" hidden="false" customHeight="false" outlineLevel="0" collapsed="false">
      <c r="A37" s="3" t="n">
        <v>46269</v>
      </c>
      <c r="B37" s="1"/>
      <c r="C37" s="1"/>
      <c r="D37" s="1"/>
      <c r="E37" s="1"/>
    </row>
    <row r="38" customFormat="false" ht="15" hidden="false" customHeight="false" outlineLevel="0" collapsed="false">
      <c r="A38" s="3" t="n">
        <v>46270</v>
      </c>
      <c r="B38" s="1"/>
      <c r="C38" s="1"/>
      <c r="D38" s="1"/>
      <c r="E38" s="1"/>
    </row>
    <row r="39" customFormat="false" ht="15" hidden="false" customHeight="false" outlineLevel="0" collapsed="false">
      <c r="A39" s="3" t="n">
        <v>46271</v>
      </c>
      <c r="B39" s="1"/>
      <c r="C39" s="1"/>
      <c r="D39" s="1"/>
      <c r="E39" s="1"/>
    </row>
    <row r="40" customFormat="false" ht="15" hidden="false" customHeight="false" outlineLevel="0" collapsed="false">
      <c r="A40" s="3" t="n">
        <v>46272</v>
      </c>
      <c r="B40" s="1"/>
      <c r="C40" s="1"/>
      <c r="D40" s="1"/>
      <c r="E40" s="1"/>
    </row>
    <row r="41" customFormat="false" ht="15" hidden="false" customHeight="false" outlineLevel="0" collapsed="false">
      <c r="A41" s="3" t="n">
        <v>46273</v>
      </c>
      <c r="B41" s="1"/>
      <c r="C41" s="1"/>
      <c r="D41" s="1"/>
      <c r="E41" s="1"/>
    </row>
    <row r="42" customFormat="false" ht="15" hidden="false" customHeight="false" outlineLevel="0" collapsed="false">
      <c r="A42" s="3" t="n">
        <v>46274</v>
      </c>
      <c r="B42" s="1"/>
      <c r="C42" s="1"/>
      <c r="D42" s="1"/>
      <c r="E42" s="1"/>
    </row>
    <row r="43" customFormat="false" ht="15" hidden="false" customHeight="false" outlineLevel="0" collapsed="false">
      <c r="A43" s="3" t="n">
        <v>46275</v>
      </c>
      <c r="B43" s="1"/>
      <c r="C43" s="1"/>
      <c r="D43" s="1"/>
      <c r="E43" s="1"/>
    </row>
    <row r="44" customFormat="false" ht="15" hidden="false" customHeight="false" outlineLevel="0" collapsed="false">
      <c r="A44" s="3" t="n">
        <v>46276</v>
      </c>
      <c r="B44" s="1"/>
      <c r="C44" s="1"/>
      <c r="D44" s="1"/>
      <c r="E44" s="1"/>
    </row>
    <row r="45" customFormat="false" ht="15" hidden="false" customHeight="false" outlineLevel="0" collapsed="false">
      <c r="A45" s="3" t="n">
        <v>46277</v>
      </c>
      <c r="B45" s="1"/>
      <c r="C45" s="1"/>
      <c r="D45" s="1"/>
      <c r="E45" s="1"/>
    </row>
    <row r="46" customFormat="false" ht="15" hidden="false" customHeight="false" outlineLevel="0" collapsed="false">
      <c r="A46" s="3" t="n">
        <v>46278</v>
      </c>
      <c r="B46" s="1"/>
      <c r="C46" s="1"/>
      <c r="D46" s="1"/>
      <c r="E46" s="1"/>
    </row>
    <row r="47" customFormat="false" ht="15" hidden="false" customHeight="false" outlineLevel="0" collapsed="false">
      <c r="A47" s="3" t="n">
        <v>46279</v>
      </c>
      <c r="B47" s="1"/>
      <c r="C47" s="1"/>
      <c r="D47" s="1"/>
      <c r="E47" s="1"/>
    </row>
    <row r="48" customFormat="false" ht="15" hidden="false" customHeight="false" outlineLevel="0" collapsed="false">
      <c r="A48" s="3" t="n">
        <v>46280</v>
      </c>
      <c r="B48" s="1"/>
      <c r="C48" s="1"/>
      <c r="D48" s="1"/>
      <c r="E48" s="1"/>
    </row>
    <row r="49" customFormat="false" ht="15" hidden="false" customHeight="false" outlineLevel="0" collapsed="false">
      <c r="A49" s="3" t="n">
        <v>46281</v>
      </c>
      <c r="B49" s="1"/>
      <c r="C49" s="1"/>
      <c r="D49" s="1"/>
      <c r="E49" s="1"/>
    </row>
    <row r="50" customFormat="false" ht="15" hidden="false" customHeight="false" outlineLevel="0" collapsed="false">
      <c r="A50" s="3" t="n">
        <v>46282</v>
      </c>
      <c r="B50" s="1"/>
      <c r="C50" s="1"/>
      <c r="D50" s="1"/>
      <c r="E50" s="1"/>
    </row>
    <row r="51" customFormat="false" ht="15" hidden="false" customHeight="false" outlineLevel="0" collapsed="false">
      <c r="A51" s="3" t="n">
        <v>46283</v>
      </c>
      <c r="B51" s="1"/>
      <c r="C51" s="1"/>
      <c r="D51" s="1"/>
      <c r="E51" s="1"/>
    </row>
    <row r="52" customFormat="false" ht="15" hidden="false" customHeight="false" outlineLevel="0" collapsed="false">
      <c r="A52" s="3" t="n">
        <v>46284</v>
      </c>
      <c r="B52" s="1"/>
      <c r="C52" s="1"/>
      <c r="D52" s="1"/>
      <c r="E52" s="1"/>
    </row>
    <row r="53" customFormat="false" ht="15" hidden="false" customHeight="false" outlineLevel="0" collapsed="false">
      <c r="A53" s="3" t="n">
        <v>46285</v>
      </c>
      <c r="B53" s="1"/>
      <c r="C53" s="1"/>
      <c r="D53" s="1"/>
      <c r="E53" s="1"/>
    </row>
    <row r="54" customFormat="false" ht="15" hidden="false" customHeight="false" outlineLevel="0" collapsed="false">
      <c r="A54" s="3" t="n">
        <v>46286</v>
      </c>
      <c r="B54" s="1"/>
      <c r="C54" s="1"/>
      <c r="D54" s="1"/>
      <c r="E54" s="1"/>
    </row>
    <row r="55" customFormat="false" ht="15" hidden="false" customHeight="false" outlineLevel="0" collapsed="false">
      <c r="A55" s="3" t="n">
        <v>46287</v>
      </c>
      <c r="B55" s="1"/>
      <c r="C55" s="1"/>
      <c r="D55" s="1"/>
      <c r="E55" s="1"/>
    </row>
    <row r="56" customFormat="false" ht="15" hidden="false" customHeight="false" outlineLevel="0" collapsed="false">
      <c r="A56" s="3" t="n">
        <v>46288</v>
      </c>
      <c r="B56" s="1"/>
      <c r="C56" s="1"/>
      <c r="D56" s="1"/>
      <c r="E56" s="1"/>
    </row>
    <row r="57" customFormat="false" ht="15" hidden="false" customHeight="false" outlineLevel="0" collapsed="false">
      <c r="A57" s="3" t="n">
        <v>46289</v>
      </c>
      <c r="B57" s="1"/>
      <c r="C57" s="1"/>
      <c r="D57" s="1"/>
      <c r="E57" s="1"/>
    </row>
    <row r="58" customFormat="false" ht="15" hidden="false" customHeight="false" outlineLevel="0" collapsed="false">
      <c r="A58" s="3" t="n">
        <v>46290</v>
      </c>
      <c r="B58" s="1"/>
      <c r="C58" s="1"/>
      <c r="D58" s="1"/>
      <c r="E58" s="1"/>
    </row>
    <row r="59" customFormat="false" ht="15" hidden="false" customHeight="false" outlineLevel="0" collapsed="false">
      <c r="A59" s="3" t="n">
        <v>46291</v>
      </c>
      <c r="B59" s="1"/>
      <c r="C59" s="1"/>
      <c r="D59" s="1"/>
      <c r="E59" s="1"/>
    </row>
    <row r="60" customFormat="false" ht="15" hidden="false" customHeight="false" outlineLevel="0" collapsed="false">
      <c r="A60" s="3" t="n">
        <v>46292</v>
      </c>
      <c r="B60" s="1"/>
      <c r="C60" s="1"/>
      <c r="D60" s="1"/>
      <c r="E60" s="1"/>
    </row>
    <row r="61" customFormat="false" ht="15" hidden="false" customHeight="false" outlineLevel="0" collapsed="false">
      <c r="A61" s="3" t="n">
        <v>46293</v>
      </c>
      <c r="B61" s="1"/>
      <c r="C61" s="1"/>
      <c r="D61" s="1"/>
      <c r="E61" s="1"/>
    </row>
    <row r="62" customFormat="false" ht="15" hidden="false" customHeight="false" outlineLevel="0" collapsed="false">
      <c r="A62" s="0" t="s">
        <v>6</v>
      </c>
      <c r="B62" s="4" t="n">
        <f aca="false">SUBTOTAL(109,Таблица1[ПП])</f>
        <v>138.724</v>
      </c>
      <c r="C62" s="4" t="n">
        <f aca="false">SUBTOTAL(109,Таблица1[БС])</f>
        <v>570.959</v>
      </c>
      <c r="D62" s="4" t="n">
        <f aca="false">SUBTOTAL(109,Таблица1[ВС])</f>
        <v>0</v>
      </c>
      <c r="E62" s="4" t="n">
        <f aca="false">SUBTOTAL(109,Таблица1[1с])</f>
        <v>0</v>
      </c>
    </row>
    <row r="63" customFormat="false" ht="15" hidden="false" customHeight="false" outlineLevel="0" collapsed="false">
      <c r="A63" s="3"/>
      <c r="B63" s="1"/>
      <c r="C63" s="1"/>
      <c r="D63" s="1"/>
      <c r="E63" s="1"/>
    </row>
    <row r="64" customFormat="false" ht="15" hidden="false" customHeight="false" outlineLevel="0" collapsed="false">
      <c r="A64" s="3"/>
      <c r="B64" s="1"/>
      <c r="C64" s="1"/>
      <c r="D64" s="1"/>
      <c r="E64" s="1"/>
    </row>
    <row r="65" customFormat="false" ht="15" hidden="false" customHeight="false" outlineLevel="0" collapsed="false">
      <c r="A65" s="3"/>
      <c r="B65" s="1"/>
      <c r="C65" s="1"/>
      <c r="D65" s="1"/>
      <c r="E65" s="1"/>
    </row>
    <row r="66" customFormat="false" ht="15" hidden="false" customHeight="false" outlineLevel="0" collapsed="false">
      <c r="A66" s="3"/>
      <c r="B66" s="1"/>
      <c r="C66" s="1"/>
      <c r="D66" s="1"/>
      <c r="E66" s="1"/>
    </row>
    <row r="67" customFormat="false" ht="15" hidden="false" customHeight="false" outlineLevel="0" collapsed="false">
      <c r="A67" s="3"/>
      <c r="B67" s="1"/>
      <c r="C67" s="1"/>
      <c r="D67" s="1"/>
      <c r="E67" s="1"/>
    </row>
    <row r="68" customFormat="false" ht="15" hidden="false" customHeight="false" outlineLevel="0" collapsed="false">
      <c r="A68" s="3"/>
      <c r="B68" s="1"/>
      <c r="C68" s="1"/>
      <c r="D68" s="1"/>
      <c r="E68" s="1"/>
    </row>
    <row r="69" customFormat="false" ht="15" hidden="false" customHeight="false" outlineLevel="0" collapsed="false">
      <c r="A69" s="3"/>
      <c r="B69" s="1"/>
      <c r="C69" s="1"/>
      <c r="D69" s="1"/>
      <c r="E69" s="1"/>
    </row>
    <row r="70" customFormat="false" ht="15" hidden="false" customHeight="false" outlineLevel="0" collapsed="false">
      <c r="A70" s="3"/>
      <c r="B70" s="1"/>
      <c r="C70" s="1"/>
      <c r="D70" s="1"/>
      <c r="E70" s="1"/>
    </row>
    <row r="71" customFormat="false" ht="15" hidden="false" customHeight="false" outlineLevel="0" collapsed="false">
      <c r="A71" s="3"/>
      <c r="B71" s="1"/>
      <c r="C71" s="1"/>
      <c r="D71" s="1"/>
      <c r="E71" s="1"/>
    </row>
    <row r="72" customFormat="false" ht="15" hidden="false" customHeight="false" outlineLevel="0" collapsed="false">
      <c r="A72" s="3"/>
      <c r="B72" s="1"/>
      <c r="C72" s="1"/>
      <c r="D72" s="1"/>
      <c r="E72" s="1"/>
    </row>
    <row r="73" customFormat="false" ht="15" hidden="false" customHeight="false" outlineLevel="0" collapsed="false">
      <c r="A73" s="3"/>
      <c r="B73" s="1"/>
      <c r="C73" s="1"/>
      <c r="D73" s="1"/>
      <c r="E73" s="1"/>
    </row>
    <row r="74" customFormat="false" ht="15" hidden="false" customHeight="false" outlineLevel="0" collapsed="false">
      <c r="A74" s="3"/>
      <c r="B74" s="1"/>
      <c r="C74" s="1"/>
      <c r="D74" s="1"/>
      <c r="E74" s="1"/>
    </row>
    <row r="75" customFormat="false" ht="15" hidden="false" customHeight="false" outlineLevel="0" collapsed="false">
      <c r="A75" s="3"/>
      <c r="B75" s="1"/>
      <c r="C75" s="1"/>
      <c r="D75" s="1"/>
      <c r="E75" s="1"/>
    </row>
    <row r="76" customFormat="false" ht="15" hidden="false" customHeight="false" outlineLevel="0" collapsed="false">
      <c r="A76" s="3"/>
      <c r="B76" s="1"/>
      <c r="C76" s="1"/>
      <c r="D76" s="1"/>
      <c r="E76" s="1"/>
    </row>
    <row r="77" customFormat="false" ht="15" hidden="false" customHeight="false" outlineLevel="0" collapsed="false">
      <c r="A77" s="3"/>
      <c r="B77" s="1"/>
      <c r="C77" s="1"/>
      <c r="D77" s="1"/>
      <c r="E77" s="1"/>
    </row>
    <row r="78" customFormat="false" ht="15" hidden="false" customHeight="false" outlineLevel="0" collapsed="false">
      <c r="A78" s="3"/>
      <c r="B78" s="1"/>
      <c r="C78" s="1"/>
      <c r="D78" s="1"/>
      <c r="E78" s="1"/>
    </row>
    <row r="79" customFormat="false" ht="15" hidden="false" customHeight="false" outlineLevel="0" collapsed="false">
      <c r="A79" s="3"/>
      <c r="B79" s="1"/>
      <c r="C79" s="1"/>
      <c r="D79" s="1"/>
      <c r="E79" s="1"/>
    </row>
    <row r="80" customFormat="false" ht="15" hidden="false" customHeight="false" outlineLevel="0" collapsed="false">
      <c r="A80" s="3"/>
      <c r="B80" s="1"/>
      <c r="C80" s="1"/>
      <c r="D80" s="1"/>
      <c r="E80" s="1"/>
    </row>
    <row r="81" customFormat="false" ht="15" hidden="false" customHeight="false" outlineLevel="0" collapsed="false">
      <c r="A81" s="3"/>
      <c r="B81" s="1"/>
      <c r="C81" s="1"/>
      <c r="D81" s="1"/>
      <c r="E81" s="1"/>
    </row>
    <row r="82" customFormat="false" ht="15" hidden="false" customHeight="false" outlineLevel="0" collapsed="false">
      <c r="A82" s="3"/>
      <c r="B82" s="1"/>
      <c r="C82" s="1"/>
      <c r="D82" s="1"/>
      <c r="E82" s="1"/>
    </row>
    <row r="83" customFormat="false" ht="15" hidden="false" customHeight="false" outlineLevel="0" collapsed="false">
      <c r="A83" s="3"/>
      <c r="B83" s="1"/>
      <c r="C83" s="1"/>
      <c r="D83" s="1"/>
      <c r="E83" s="1"/>
    </row>
    <row r="84" customFormat="false" ht="15" hidden="false" customHeight="false" outlineLevel="0" collapsed="false">
      <c r="A84" s="3"/>
      <c r="B84" s="1"/>
      <c r="C84" s="1"/>
      <c r="D84" s="1"/>
      <c r="E84" s="1"/>
    </row>
    <row r="85" customFormat="false" ht="15" hidden="false" customHeight="false" outlineLevel="0" collapsed="false">
      <c r="A85" s="3"/>
      <c r="B85" s="1"/>
      <c r="C85" s="1"/>
      <c r="D85" s="1"/>
      <c r="E85" s="1"/>
    </row>
    <row r="86" customFormat="false" ht="15" hidden="false" customHeight="false" outlineLevel="0" collapsed="false">
      <c r="A86" s="3"/>
      <c r="B86" s="1"/>
      <c r="C86" s="1"/>
      <c r="D86" s="1"/>
      <c r="E86" s="1"/>
    </row>
    <row r="87" customFormat="false" ht="15" hidden="false" customHeight="false" outlineLevel="0" collapsed="false">
      <c r="A87" s="3"/>
      <c r="B87" s="1"/>
      <c r="C87" s="1"/>
      <c r="D87" s="1"/>
      <c r="E87" s="1"/>
    </row>
    <row r="88" customFormat="false" ht="15" hidden="false" customHeight="false" outlineLevel="0" collapsed="false">
      <c r="A88" s="3"/>
      <c r="B88" s="1"/>
      <c r="C88" s="1"/>
      <c r="D88" s="1"/>
      <c r="E88" s="1"/>
    </row>
    <row r="89" customFormat="false" ht="15" hidden="false" customHeight="false" outlineLevel="0" collapsed="false">
      <c r="B89" s="1"/>
      <c r="C89" s="1"/>
      <c r="D89" s="1"/>
      <c r="E89" s="1"/>
    </row>
    <row r="90" customFormat="false" ht="15" hidden="false" customHeight="false" outlineLevel="0" collapsed="false">
      <c r="B90" s="1"/>
      <c r="C90" s="1"/>
      <c r="D90" s="1"/>
      <c r="E90" s="1"/>
    </row>
    <row r="91" customFormat="false" ht="15" hidden="false" customHeight="false" outlineLevel="0" collapsed="false">
      <c r="B91" s="1"/>
      <c r="C91" s="1"/>
      <c r="D91" s="1"/>
      <c r="E91" s="1"/>
    </row>
    <row r="92" customFormat="false" ht="15" hidden="false" customHeight="false" outlineLevel="0" collapsed="false">
      <c r="B92" s="1"/>
      <c r="C92" s="1"/>
      <c r="D92" s="1"/>
      <c r="E92" s="1"/>
    </row>
    <row r="93" customFormat="false" ht="15" hidden="false" customHeight="false" outlineLevel="0" collapsed="false">
      <c r="C93" s="1"/>
      <c r="D93" s="1"/>
      <c r="E93" s="1"/>
    </row>
    <row r="94" customFormat="false" ht="15" hidden="false" customHeight="false" outlineLevel="0" collapsed="false">
      <c r="C94" s="1"/>
      <c r="D94" s="1"/>
      <c r="E94" s="1"/>
    </row>
    <row r="95" customFormat="false" ht="15" hidden="false" customHeight="false" outlineLevel="0" collapsed="false">
      <c r="C95" s="1"/>
      <c r="D95" s="1"/>
      <c r="E95" s="1"/>
    </row>
    <row r="96" customFormat="false" ht="15" hidden="false" customHeight="false" outlineLevel="0" collapsed="false">
      <c r="C96" s="1"/>
      <c r="D96" s="1"/>
      <c r="E96" s="1"/>
    </row>
    <row r="97" customFormat="false" ht="15" hidden="false" customHeight="false" outlineLevel="0" collapsed="false">
      <c r="C97" s="1"/>
      <c r="D97" s="1"/>
      <c r="E97" s="1"/>
    </row>
    <row r="98" customFormat="false" ht="15" hidden="false" customHeight="false" outlineLevel="0" collapsed="false">
      <c r="C98" s="1"/>
      <c r="D98" s="1"/>
      <c r="E98" s="1"/>
    </row>
    <row r="99" customFormat="false" ht="15" hidden="false" customHeight="false" outlineLevel="0" collapsed="false">
      <c r="C99" s="1"/>
      <c r="D99" s="1"/>
      <c r="E99" s="1"/>
    </row>
    <row r="100" customFormat="false" ht="15" hidden="false" customHeight="false" outlineLevel="0" collapsed="false">
      <c r="C100" s="1"/>
      <c r="D100" s="1"/>
      <c r="E100" s="1"/>
    </row>
    <row r="101" customFormat="false" ht="15" hidden="false" customHeight="false" outlineLevel="0" collapsed="false">
      <c r="C101" s="1"/>
      <c r="D101" s="1"/>
      <c r="E101" s="1"/>
    </row>
    <row r="102" customFormat="false" ht="15" hidden="false" customHeight="false" outlineLevel="0" collapsed="false">
      <c r="C102" s="1"/>
      <c r="D102" s="1"/>
      <c r="E102" s="1"/>
    </row>
    <row r="103" customFormat="false" ht="15" hidden="false" customHeight="false" outlineLevel="0" collapsed="false">
      <c r="C103" s="1"/>
      <c r="D103" s="1"/>
      <c r="E103" s="1"/>
    </row>
    <row r="104" customFormat="false" ht="15" hidden="false" customHeight="false" outlineLevel="0" collapsed="false">
      <c r="C104" s="1"/>
      <c r="D104" s="1"/>
      <c r="E104" s="1"/>
    </row>
    <row r="105" customFormat="false" ht="15" hidden="false" customHeight="false" outlineLevel="0" collapsed="false">
      <c r="C105" s="1"/>
      <c r="D105" s="1"/>
      <c r="E105" s="1"/>
    </row>
    <row r="106" customFormat="false" ht="15" hidden="false" customHeight="false" outlineLevel="0" collapsed="false">
      <c r="C106" s="1"/>
      <c r="D106" s="1"/>
      <c r="E106" s="1"/>
    </row>
    <row r="107" customFormat="false" ht="15" hidden="false" customHeight="false" outlineLevel="0" collapsed="false">
      <c r="C107" s="1"/>
      <c r="D107" s="1"/>
      <c r="E107" s="1"/>
    </row>
    <row r="108" customFormat="false" ht="15" hidden="false" customHeight="false" outlineLevel="0" collapsed="false">
      <c r="C108" s="1"/>
      <c r="D108" s="1"/>
      <c r="E108" s="1"/>
    </row>
    <row r="109" customFormat="false" ht="15" hidden="false" customHeight="false" outlineLevel="0" collapsed="false">
      <c r="C109" s="1"/>
      <c r="D109" s="1"/>
      <c r="E109" s="1"/>
    </row>
    <row r="110" customFormat="false" ht="15" hidden="false" customHeight="false" outlineLevel="0" collapsed="false">
      <c r="C110" s="1"/>
      <c r="D110" s="1"/>
      <c r="E110" s="1"/>
    </row>
    <row r="111" customFormat="false" ht="15" hidden="false" customHeight="false" outlineLevel="0" collapsed="false">
      <c r="C111" s="1"/>
      <c r="D111" s="1"/>
      <c r="E111" s="1"/>
    </row>
    <row r="112" customFormat="false" ht="15" hidden="false" customHeight="false" outlineLevel="0" collapsed="false">
      <c r="C112" s="1"/>
      <c r="D112" s="1"/>
      <c r="E112" s="1"/>
    </row>
    <row r="113" customFormat="false" ht="15" hidden="false" customHeight="false" outlineLevel="0" collapsed="false">
      <c r="C113" s="1"/>
      <c r="D113" s="1"/>
      <c r="E113" s="1"/>
    </row>
    <row r="114" customFormat="false" ht="15" hidden="false" customHeight="false" outlineLevel="0" collapsed="false">
      <c r="C114" s="1"/>
      <c r="D114" s="1"/>
      <c r="E114" s="1"/>
    </row>
    <row r="115" customFormat="false" ht="15" hidden="false" customHeight="false" outlineLevel="0" collapsed="false">
      <c r="C115" s="1"/>
      <c r="D115" s="1"/>
      <c r="E115" s="1"/>
    </row>
    <row r="116" customFormat="false" ht="15" hidden="false" customHeight="false" outlineLevel="0" collapsed="false">
      <c r="C116" s="1"/>
      <c r="D116" s="1"/>
      <c r="E116" s="1"/>
    </row>
    <row r="117" customFormat="false" ht="15" hidden="false" customHeight="false" outlineLevel="0" collapsed="false">
      <c r="C117" s="1"/>
      <c r="D117" s="1"/>
      <c r="E117" s="1"/>
    </row>
    <row r="118" customFormat="false" ht="15" hidden="false" customHeight="false" outlineLevel="0" collapsed="false">
      <c r="C118" s="1"/>
      <c r="D118" s="1"/>
      <c r="E118" s="1"/>
    </row>
    <row r="119" customFormat="false" ht="15" hidden="false" customHeight="false" outlineLevel="0" collapsed="false">
      <c r="C119" s="1"/>
      <c r="D119" s="1"/>
      <c r="E119" s="1"/>
    </row>
    <row r="120" customFormat="false" ht="15" hidden="false" customHeight="false" outlineLevel="0" collapsed="false">
      <c r="C120" s="1"/>
      <c r="D120" s="1"/>
      <c r="E120" s="1"/>
    </row>
    <row r="121" customFormat="false" ht="15" hidden="false" customHeight="false" outlineLevel="0" collapsed="false">
      <c r="C121" s="1"/>
      <c r="D121" s="1"/>
      <c r="E121" s="1"/>
    </row>
    <row r="122" customFormat="false" ht="15" hidden="false" customHeight="false" outlineLevel="0" collapsed="false">
      <c r="C122" s="1"/>
      <c r="D122" s="1"/>
      <c r="E122" s="1"/>
    </row>
    <row r="123" customFormat="false" ht="15" hidden="false" customHeight="false" outlineLevel="0" collapsed="false">
      <c r="C123" s="1"/>
      <c r="D123" s="1"/>
      <c r="E123" s="1"/>
    </row>
    <row r="124" customFormat="false" ht="15" hidden="false" customHeight="false" outlineLevel="0" collapsed="false">
      <c r="C124" s="1"/>
      <c r="D124" s="1"/>
      <c r="E124" s="1"/>
    </row>
    <row r="125" customFormat="false" ht="15" hidden="false" customHeight="false" outlineLevel="0" collapsed="false">
      <c r="C125" s="1"/>
      <c r="D125" s="1"/>
      <c r="E125" s="1"/>
    </row>
    <row r="126" customFormat="false" ht="15" hidden="false" customHeight="false" outlineLevel="0" collapsed="false">
      <c r="C126" s="1"/>
      <c r="D126" s="1"/>
      <c r="E126" s="1"/>
    </row>
    <row r="127" customFormat="false" ht="15" hidden="false" customHeight="false" outlineLevel="0" collapsed="false">
      <c r="C127" s="1"/>
      <c r="D127" s="1"/>
      <c r="E127" s="1"/>
    </row>
    <row r="128" customFormat="false" ht="15" hidden="false" customHeight="false" outlineLevel="0" collapsed="false">
      <c r="C128" s="1"/>
      <c r="D128" s="1"/>
      <c r="E128" s="1"/>
    </row>
    <row r="129" customFormat="false" ht="15" hidden="false" customHeight="false" outlineLevel="0" collapsed="false">
      <c r="C129" s="1"/>
      <c r="D129" s="1"/>
      <c r="E129" s="1"/>
    </row>
    <row r="130" customFormat="false" ht="15" hidden="false" customHeight="false" outlineLevel="0" collapsed="false">
      <c r="C130" s="1"/>
      <c r="D130" s="1"/>
      <c r="E130" s="1"/>
    </row>
    <row r="131" customFormat="false" ht="15" hidden="false" customHeight="false" outlineLevel="0" collapsed="false">
      <c r="C131" s="1"/>
      <c r="D131" s="1"/>
      <c r="E131" s="1"/>
    </row>
    <row r="132" customFormat="false" ht="15" hidden="false" customHeight="false" outlineLevel="0" collapsed="false">
      <c r="C132" s="1"/>
      <c r="D132" s="1"/>
      <c r="E132" s="1"/>
    </row>
    <row r="133" customFormat="false" ht="15" hidden="false" customHeight="false" outlineLevel="0" collapsed="false">
      <c r="C133" s="1"/>
      <c r="D133" s="1"/>
      <c r="E133" s="1"/>
    </row>
    <row r="134" customFormat="false" ht="15" hidden="false" customHeight="false" outlineLevel="0" collapsed="false">
      <c r="C134" s="1"/>
      <c r="D134" s="1"/>
      <c r="E134" s="1"/>
    </row>
    <row r="135" customFormat="false" ht="15" hidden="false" customHeight="false" outlineLevel="0" collapsed="false">
      <c r="C135" s="1"/>
      <c r="D135" s="1"/>
      <c r="E135" s="1"/>
    </row>
    <row r="136" customFormat="false" ht="15" hidden="false" customHeight="false" outlineLevel="0" collapsed="false">
      <c r="C136" s="1"/>
      <c r="D136" s="1"/>
      <c r="E136" s="1"/>
    </row>
    <row r="137" customFormat="false" ht="15" hidden="false" customHeight="false" outlineLevel="0" collapsed="false">
      <c r="C137" s="1"/>
      <c r="D137" s="1"/>
      <c r="E137" s="1"/>
    </row>
    <row r="138" customFormat="false" ht="15" hidden="false" customHeight="false" outlineLevel="0" collapsed="false">
      <c r="C138" s="1"/>
      <c r="D138" s="1"/>
      <c r="E138" s="1"/>
    </row>
    <row r="139" customFormat="false" ht="15" hidden="false" customHeight="false" outlineLevel="0" collapsed="false">
      <c r="C139" s="1"/>
      <c r="D139" s="1"/>
      <c r="E139" s="1"/>
    </row>
    <row r="140" customFormat="false" ht="15" hidden="false" customHeight="false" outlineLevel="0" collapsed="false">
      <c r="C140" s="1"/>
      <c r="D140" s="1"/>
      <c r="E140" s="1"/>
    </row>
    <row r="141" customFormat="false" ht="15" hidden="false" customHeight="false" outlineLevel="0" collapsed="false">
      <c r="C141" s="1"/>
      <c r="D141" s="1"/>
      <c r="E14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6640625" defaultRowHeight="15" customHeight="true" zeroHeight="false" outlineLevelRow="0" outlineLevelCol="0"/>
  <cols>
    <col collapsed="false" customWidth="true" hidden="false" outlineLevel="0" max="1" min="1" style="0" width="18.77"/>
    <col collapsed="false" customWidth="true" hidden="false" outlineLevel="0" max="2" min="2" style="0" width="12.44"/>
    <col collapsed="false" customWidth="true" hidden="false" outlineLevel="0" max="4" min="3" style="0" width="11"/>
    <col collapsed="false" customWidth="true" hidden="false" outlineLevel="0" max="7" min="7" style="0" width="11"/>
    <col collapsed="false" customWidth="true" hidden="false" outlineLevel="0" max="11" min="11" style="0" width="39.66"/>
  </cols>
  <sheetData>
    <row r="1" customFormat="false" ht="15" hidden="false" customHeight="false" outlineLevel="0" collapsed="false">
      <c r="A1" s="5" t="s">
        <v>7</v>
      </c>
      <c r="B1" s="6" t="s">
        <v>8</v>
      </c>
      <c r="C1" s="6" t="s">
        <v>9</v>
      </c>
      <c r="D1" s="7" t="s">
        <v>10</v>
      </c>
    </row>
    <row r="2" customFormat="false" ht="15" hidden="false" customHeight="false" outlineLevel="0" collapsed="false">
      <c r="A2" s="0" t="s">
        <v>4</v>
      </c>
      <c r="B2" s="8" t="n">
        <v>13049.448</v>
      </c>
      <c r="C2" s="8" t="n">
        <v>15920.81</v>
      </c>
      <c r="D2" s="8" t="n">
        <f aca="false">+Таблица1[[#Totals],[ВС]]</f>
        <v>0</v>
      </c>
    </row>
    <row r="3" customFormat="false" ht="15" hidden="false" customHeight="false" outlineLevel="0" collapsed="false">
      <c r="A3" s="0" t="s">
        <v>5</v>
      </c>
      <c r="B3" s="8" t="n">
        <v>12629.881</v>
      </c>
      <c r="C3" s="8" t="n">
        <v>17245.885</v>
      </c>
      <c r="D3" s="8" t="n">
        <f aca="false">+Таблица1[[#Totals],[1с]]</f>
        <v>0</v>
      </c>
    </row>
    <row r="4" customFormat="false" ht="15" hidden="false" customHeight="false" outlineLevel="0" collapsed="false">
      <c r="A4" s="0" t="s">
        <v>11</v>
      </c>
      <c r="B4" s="8" t="n">
        <v>4184.744</v>
      </c>
      <c r="C4" s="8" t="n">
        <v>9825.936</v>
      </c>
      <c r="D4" s="8" t="n">
        <f aca="false">+Таблица1[[#Totals],[БС]]</f>
        <v>570.959</v>
      </c>
    </row>
    <row r="5" customFormat="false" ht="15" hidden="false" customHeight="false" outlineLevel="0" collapsed="false">
      <c r="A5" s="0" t="s">
        <v>12</v>
      </c>
      <c r="B5" s="8" t="n">
        <v>0</v>
      </c>
      <c r="C5" s="8" t="n">
        <v>189.323</v>
      </c>
      <c r="D5" s="8" t="n">
        <f aca="false">+Таблица1[[#Totals],[ПП]]</f>
        <v>138.724</v>
      </c>
    </row>
    <row r="6" customFormat="false" ht="15" hidden="false" customHeight="false" outlineLevel="0" collapsed="false">
      <c r="A6" s="9" t="s">
        <v>13</v>
      </c>
      <c r="B6" s="10" t="n">
        <f aca="false">SUM(B2:B5)</f>
        <v>29864.073</v>
      </c>
      <c r="C6" s="10" t="n">
        <f aca="false">SUM(C2:C5)</f>
        <v>43181.954</v>
      </c>
      <c r="D6" s="10" t="n">
        <f aca="false">SUM(D2:D5)</f>
        <v>709.683</v>
      </c>
    </row>
    <row r="7" customFormat="false" ht="15" hidden="false" customHeight="false" outlineLevel="0" collapsed="false">
      <c r="C7" s="4"/>
    </row>
    <row r="8" customFormat="false" ht="15" hidden="false" customHeight="false" outlineLevel="0" collapsed="false">
      <c r="A8" s="11"/>
      <c r="B8" s="5"/>
      <c r="C8" s="12"/>
      <c r="D8" s="5"/>
      <c r="E8" s="5"/>
      <c r="F8" s="5"/>
      <c r="G8" s="5"/>
      <c r="H8" s="5"/>
      <c r="I8" s="5"/>
      <c r="J8" s="5"/>
    </row>
    <row r="25" customFormat="false" ht="15" hidden="false" customHeight="false" outlineLevel="0" collapsed="false">
      <c r="A25" s="11" t="s">
        <v>14</v>
      </c>
      <c r="B25" s="5" t="str">
        <f aca="false">+B30</f>
        <v>2026г</v>
      </c>
      <c r="C25" s="5" t="str">
        <f aca="false">+C30</f>
        <v>2025г</v>
      </c>
      <c r="D25" s="5" t="str">
        <f aca="false">+D30</f>
        <v>2024г</v>
      </c>
      <c r="E25" s="5" t="str">
        <f aca="false">+E30</f>
        <v>2023г</v>
      </c>
    </row>
    <row r="26" customFormat="false" ht="15" hidden="false" customHeight="false" outlineLevel="0" collapsed="false">
      <c r="A26" s="0" t="s">
        <v>15</v>
      </c>
      <c r="B26" s="1" t="n">
        <f aca="false">MAX(B31:B850)</f>
        <v>0</v>
      </c>
      <c r="C26" s="1" t="n">
        <f aca="false">MAX(C31:C850)</f>
        <v>894.416</v>
      </c>
      <c r="D26" s="1" t="n">
        <f aca="false">MAX(D31:D850)</f>
        <v>857.998</v>
      </c>
      <c r="E26" s="1" t="n">
        <f aca="false">MAX(E31:E850)</f>
        <v>698.071</v>
      </c>
    </row>
    <row r="27" customFormat="false" ht="15" hidden="false" customHeight="false" outlineLevel="0" collapsed="false">
      <c r="A27" s="13" t="s">
        <v>16</v>
      </c>
      <c r="B27" s="14" t="e">
        <f aca="false">SUM(B31:B850)/B28</f>
        <v>#DIV/0!</v>
      </c>
      <c r="C27" s="14" t="n">
        <f aca="false">SUM(C31:C850)/C28</f>
        <v>479.799488888889</v>
      </c>
      <c r="D27" s="14" t="n">
        <f aca="false">SUM(D31:D850)/D28</f>
        <v>432.812652173913</v>
      </c>
      <c r="E27" s="14" t="n">
        <f aca="false">SUM(E31:E850)/E28</f>
        <v>377.327638888889</v>
      </c>
    </row>
    <row r="28" customFormat="false" ht="15" hidden="false" customHeight="false" outlineLevel="0" collapsed="false">
      <c r="A28" s="0" t="s">
        <v>17</v>
      </c>
      <c r="B28" s="0" t="n">
        <f aca="false">COUNTIF(B31:B185,"&gt;0")</f>
        <v>0</v>
      </c>
      <c r="C28" s="0" t="n">
        <f aca="false">COUNTIF(C31:C185,"&gt;0")</f>
        <v>90</v>
      </c>
      <c r="D28" s="0" t="n">
        <f aca="false">COUNTIF(D31:D185,"&gt;0")</f>
        <v>69</v>
      </c>
      <c r="E28" s="0" t="n">
        <f aca="false">COUNTIF(E31:E185,"&gt;0")</f>
        <v>72</v>
      </c>
    </row>
    <row r="30" customFormat="false" ht="15" hidden="false" customHeight="false" outlineLevel="0" collapsed="false">
      <c r="A30" s="11" t="s">
        <v>18</v>
      </c>
      <c r="B30" s="5" t="s">
        <v>19</v>
      </c>
      <c r="C30" s="5" t="s">
        <v>20</v>
      </c>
      <c r="D30" s="5" t="s">
        <v>21</v>
      </c>
      <c r="E30" s="5" t="s">
        <v>22</v>
      </c>
      <c r="G30" s="15"/>
    </row>
    <row r="31" customFormat="false" ht="15" hidden="false" customHeight="false" outlineLevel="0" collapsed="false">
      <c r="A31" s="15" t="n">
        <v>46204</v>
      </c>
      <c r="C31" s="16"/>
      <c r="D31" s="16"/>
      <c r="E31" s="16"/>
      <c r="G31" s="15"/>
      <c r="H31" s="15"/>
    </row>
    <row r="32" customFormat="false" ht="15" hidden="false" customHeight="false" outlineLevel="0" collapsed="false">
      <c r="A32" s="15" t="n">
        <v>46205</v>
      </c>
      <c r="C32" s="16"/>
      <c r="D32" s="16"/>
      <c r="E32" s="16"/>
      <c r="G32" s="15"/>
      <c r="H32" s="15"/>
    </row>
    <row r="33" customFormat="false" ht="15" hidden="false" customHeight="false" outlineLevel="0" collapsed="false">
      <c r="A33" s="15" t="n">
        <v>46206</v>
      </c>
      <c r="C33" s="16"/>
      <c r="D33" s="16"/>
      <c r="E33" s="16"/>
      <c r="G33" s="15"/>
      <c r="H33" s="15"/>
    </row>
    <row r="34" customFormat="false" ht="15" hidden="false" customHeight="false" outlineLevel="0" collapsed="false">
      <c r="A34" s="15" t="n">
        <v>46207</v>
      </c>
      <c r="C34" s="16"/>
      <c r="D34" s="16"/>
      <c r="E34" s="16"/>
      <c r="G34" s="15"/>
      <c r="H34" s="15"/>
    </row>
    <row r="35" customFormat="false" ht="15" hidden="false" customHeight="false" outlineLevel="0" collapsed="false">
      <c r="A35" s="15" t="n">
        <v>46208</v>
      </c>
      <c r="C35" s="16"/>
      <c r="D35" s="16"/>
      <c r="E35" s="16"/>
      <c r="G35" s="15"/>
      <c r="H35" s="15"/>
    </row>
    <row r="36" customFormat="false" ht="15" hidden="false" customHeight="false" outlineLevel="0" collapsed="false">
      <c r="A36" s="15" t="n">
        <v>46209</v>
      </c>
      <c r="C36" s="16"/>
      <c r="D36" s="16"/>
      <c r="E36" s="16"/>
      <c r="G36" s="15"/>
      <c r="H36" s="15"/>
    </row>
    <row r="37" customFormat="false" ht="15" hidden="false" customHeight="false" outlineLevel="0" collapsed="false">
      <c r="A37" s="15" t="n">
        <v>46210</v>
      </c>
      <c r="C37" s="16"/>
      <c r="D37" s="16"/>
      <c r="E37" s="16"/>
      <c r="G37" s="15"/>
      <c r="H37" s="15"/>
    </row>
    <row r="38" customFormat="false" ht="15" hidden="false" customHeight="false" outlineLevel="0" collapsed="false">
      <c r="A38" s="15" t="n">
        <v>46211</v>
      </c>
      <c r="C38" s="16"/>
      <c r="D38" s="16"/>
      <c r="E38" s="16"/>
      <c r="G38" s="15"/>
      <c r="H38" s="15"/>
    </row>
    <row r="39" customFormat="false" ht="15" hidden="false" customHeight="false" outlineLevel="0" collapsed="false">
      <c r="A39" s="15" t="n">
        <v>46212</v>
      </c>
      <c r="C39" s="16"/>
      <c r="D39" s="16"/>
      <c r="E39" s="16"/>
      <c r="G39" s="15"/>
      <c r="H39" s="15"/>
    </row>
    <row r="40" customFormat="false" ht="15" hidden="false" customHeight="false" outlineLevel="0" collapsed="false">
      <c r="A40" s="15" t="n">
        <v>46213</v>
      </c>
      <c r="C40" s="16"/>
      <c r="D40" s="16"/>
      <c r="E40" s="16"/>
      <c r="G40" s="15"/>
      <c r="H40" s="15"/>
    </row>
    <row r="41" customFormat="false" ht="15" hidden="false" customHeight="false" outlineLevel="0" collapsed="false">
      <c r="A41" s="15" t="n">
        <v>46214</v>
      </c>
      <c r="B41" s="1"/>
      <c r="C41" s="1"/>
      <c r="D41" s="16"/>
      <c r="E41" s="16"/>
      <c r="G41" s="15"/>
      <c r="H41" s="15"/>
    </row>
    <row r="42" customFormat="false" ht="15" hidden="false" customHeight="false" outlineLevel="0" collapsed="false">
      <c r="A42" s="15" t="n">
        <v>46215</v>
      </c>
      <c r="B42" s="1"/>
      <c r="C42" s="1"/>
      <c r="D42" s="16"/>
      <c r="E42" s="16"/>
      <c r="G42" s="15"/>
      <c r="H42" s="15"/>
    </row>
    <row r="43" customFormat="false" ht="15" hidden="false" customHeight="false" outlineLevel="0" collapsed="false">
      <c r="A43" s="15" t="n">
        <v>46216</v>
      </c>
      <c r="B43" s="1"/>
      <c r="C43" s="1"/>
      <c r="D43" s="16"/>
      <c r="E43" s="16"/>
      <c r="G43" s="15"/>
      <c r="H43" s="15"/>
    </row>
    <row r="44" customFormat="false" ht="15" hidden="false" customHeight="false" outlineLevel="0" collapsed="false">
      <c r="A44" s="15" t="n">
        <v>46217</v>
      </c>
      <c r="B44" s="1"/>
      <c r="C44" s="1"/>
      <c r="D44" s="16"/>
      <c r="E44" s="16"/>
      <c r="G44" s="15"/>
      <c r="H44" s="15"/>
    </row>
    <row r="45" customFormat="false" ht="15" hidden="false" customHeight="false" outlineLevel="0" collapsed="false">
      <c r="A45" s="15" t="n">
        <v>46218</v>
      </c>
      <c r="B45" s="1"/>
      <c r="C45" s="1"/>
      <c r="D45" s="16"/>
      <c r="E45" s="16"/>
      <c r="G45" s="15"/>
      <c r="H45" s="15"/>
    </row>
    <row r="46" customFormat="false" ht="15" hidden="false" customHeight="false" outlineLevel="0" collapsed="false">
      <c r="A46" s="15" t="n">
        <v>46219</v>
      </c>
      <c r="B46" s="1"/>
      <c r="C46" s="1"/>
      <c r="D46" s="16"/>
      <c r="E46" s="16"/>
      <c r="G46" s="15"/>
      <c r="H46" s="15"/>
    </row>
    <row r="47" customFormat="false" ht="15" hidden="false" customHeight="false" outlineLevel="0" collapsed="false">
      <c r="A47" s="15" t="n">
        <v>46220</v>
      </c>
      <c r="B47" s="1"/>
      <c r="C47" s="1"/>
      <c r="D47" s="16"/>
      <c r="E47" s="16"/>
      <c r="G47" s="15"/>
      <c r="H47" s="15"/>
    </row>
    <row r="48" customFormat="false" ht="15" hidden="false" customHeight="false" outlineLevel="0" collapsed="false">
      <c r="A48" s="15" t="n">
        <v>46221</v>
      </c>
      <c r="B48" s="1"/>
      <c r="C48" s="1"/>
      <c r="D48" s="16"/>
      <c r="E48" s="16"/>
      <c r="G48" s="17"/>
      <c r="H48" s="15"/>
    </row>
    <row r="49" customFormat="false" ht="15" hidden="false" customHeight="false" outlineLevel="0" collapsed="false">
      <c r="A49" s="15" t="n">
        <v>46222</v>
      </c>
      <c r="B49" s="1"/>
      <c r="C49" s="1"/>
      <c r="D49" s="16"/>
      <c r="E49" s="16"/>
      <c r="G49" s="17"/>
      <c r="H49" s="15"/>
    </row>
    <row r="50" customFormat="false" ht="15" hidden="false" customHeight="false" outlineLevel="0" collapsed="false">
      <c r="A50" s="15" t="n">
        <v>46223</v>
      </c>
      <c r="B50" s="1"/>
      <c r="C50" s="1"/>
      <c r="D50" s="16"/>
      <c r="E50" s="16"/>
      <c r="G50" s="15"/>
      <c r="H50" s="15"/>
    </row>
    <row r="51" customFormat="false" ht="15" hidden="false" customHeight="false" outlineLevel="0" collapsed="false">
      <c r="A51" s="15" t="n">
        <v>46224</v>
      </c>
      <c r="B51" s="1"/>
      <c r="C51" s="1"/>
      <c r="D51" s="16"/>
      <c r="E51" s="16"/>
      <c r="G51" s="15"/>
      <c r="H51" s="15"/>
    </row>
    <row r="52" customFormat="false" ht="15" hidden="false" customHeight="false" outlineLevel="0" collapsed="false">
      <c r="A52" s="15" t="n">
        <v>46225</v>
      </c>
      <c r="B52" s="1"/>
      <c r="C52" s="1"/>
      <c r="D52" s="16"/>
      <c r="E52" s="16"/>
      <c r="G52" s="15"/>
      <c r="H52" s="15"/>
    </row>
    <row r="53" customFormat="false" ht="15" hidden="false" customHeight="false" outlineLevel="0" collapsed="false">
      <c r="A53" s="15" t="n">
        <v>46226</v>
      </c>
      <c r="B53" s="1"/>
      <c r="C53" s="1"/>
      <c r="D53" s="16"/>
      <c r="E53" s="16"/>
      <c r="G53" s="15"/>
      <c r="H53" s="15"/>
    </row>
    <row r="54" customFormat="false" ht="15" hidden="false" customHeight="false" outlineLevel="0" collapsed="false">
      <c r="A54" s="15" t="n">
        <v>46227</v>
      </c>
      <c r="B54" s="1"/>
      <c r="C54" s="1"/>
      <c r="D54" s="16"/>
      <c r="E54" s="16"/>
      <c r="G54" s="15"/>
      <c r="H54" s="15"/>
    </row>
    <row r="55" customFormat="false" ht="15" hidden="false" customHeight="false" outlineLevel="0" collapsed="false">
      <c r="A55" s="15" t="n">
        <v>46228</v>
      </c>
      <c r="B55" s="1"/>
      <c r="C55" s="1"/>
      <c r="D55" s="16"/>
      <c r="E55" s="16"/>
      <c r="G55" s="15"/>
      <c r="H55" s="15"/>
    </row>
    <row r="56" customFormat="false" ht="15" hidden="false" customHeight="false" outlineLevel="0" collapsed="false">
      <c r="A56" s="15" t="n">
        <v>46229</v>
      </c>
      <c r="B56" s="1"/>
      <c r="C56" s="1" t="n">
        <v>0</v>
      </c>
      <c r="D56" s="1" t="n">
        <v>22.238</v>
      </c>
      <c r="E56" s="16"/>
      <c r="G56" s="15"/>
      <c r="H56" s="15"/>
    </row>
    <row r="57" customFormat="false" ht="15" hidden="false" customHeight="false" outlineLevel="0" collapsed="false">
      <c r="A57" s="15" t="n">
        <v>46230</v>
      </c>
      <c r="B57" s="1"/>
      <c r="C57" s="1" t="n">
        <v>0</v>
      </c>
      <c r="D57" s="1" t="n">
        <v>0</v>
      </c>
      <c r="E57" s="16"/>
      <c r="G57" s="15"/>
      <c r="H57" s="15"/>
    </row>
    <row r="58" customFormat="false" ht="15" hidden="false" customHeight="false" outlineLevel="0" collapsed="false">
      <c r="A58" s="15" t="n">
        <v>46231</v>
      </c>
      <c r="B58" s="1"/>
      <c r="C58" s="1" t="n">
        <v>0</v>
      </c>
      <c r="D58" s="1" t="n">
        <v>0</v>
      </c>
      <c r="E58" s="16"/>
      <c r="G58" s="15"/>
      <c r="H58" s="15"/>
    </row>
    <row r="59" customFormat="false" ht="15" hidden="false" customHeight="false" outlineLevel="0" collapsed="false">
      <c r="A59" s="15" t="n">
        <v>46232</v>
      </c>
      <c r="B59" s="1"/>
      <c r="C59" s="1" t="n">
        <v>0</v>
      </c>
      <c r="D59" s="1" t="n">
        <v>8.04</v>
      </c>
      <c r="E59" s="16"/>
      <c r="G59" s="15"/>
      <c r="H59" s="15"/>
    </row>
    <row r="60" customFormat="false" ht="15" hidden="false" customHeight="false" outlineLevel="0" collapsed="false">
      <c r="A60" s="15" t="n">
        <v>46233</v>
      </c>
      <c r="B60" s="1"/>
      <c r="C60" s="1" t="n">
        <v>0</v>
      </c>
      <c r="D60" s="1" t="n">
        <v>263.238</v>
      </c>
      <c r="E60" s="16"/>
      <c r="G60" s="15"/>
      <c r="H60" s="15"/>
    </row>
    <row r="61" customFormat="false" ht="15" hidden="false" customHeight="false" outlineLevel="0" collapsed="false">
      <c r="A61" s="15" t="n">
        <v>46234</v>
      </c>
      <c r="B61" s="1"/>
      <c r="C61" s="1" t="n">
        <v>0</v>
      </c>
      <c r="D61" s="1" t="n">
        <v>81.636</v>
      </c>
      <c r="E61" s="16"/>
      <c r="G61" s="15"/>
      <c r="H61" s="15"/>
    </row>
    <row r="62" customFormat="false" ht="15" hidden="false" customHeight="false" outlineLevel="0" collapsed="false">
      <c r="A62" s="15" t="n">
        <v>46235</v>
      </c>
      <c r="B62" s="1"/>
      <c r="C62" s="1" t="n">
        <v>0</v>
      </c>
      <c r="D62" s="1" t="n">
        <v>307.492</v>
      </c>
      <c r="E62" s="16"/>
      <c r="G62" s="15"/>
      <c r="H62" s="15"/>
    </row>
    <row r="63" customFormat="false" ht="15" hidden="false" customHeight="false" outlineLevel="0" collapsed="false">
      <c r="A63" s="15" t="n">
        <v>46236</v>
      </c>
      <c r="B63" s="1"/>
      <c r="C63" s="1" t="n">
        <v>0</v>
      </c>
      <c r="D63" s="1" t="n">
        <v>95.595</v>
      </c>
      <c r="E63" s="16"/>
      <c r="G63" s="15"/>
      <c r="H63" s="15"/>
    </row>
    <row r="64" customFormat="false" ht="15" hidden="false" customHeight="false" outlineLevel="0" collapsed="false">
      <c r="A64" s="15" t="n">
        <v>46237</v>
      </c>
      <c r="B64" s="1"/>
      <c r="C64" s="1" t="n">
        <v>0</v>
      </c>
      <c r="D64" s="1" t="n">
        <v>113.595</v>
      </c>
      <c r="E64" s="16"/>
      <c r="G64" s="17"/>
      <c r="H64" s="15"/>
    </row>
    <row r="65" customFormat="false" ht="15" hidden="false" customHeight="false" outlineLevel="0" collapsed="false">
      <c r="A65" s="15" t="n">
        <v>46238</v>
      </c>
      <c r="B65" s="1"/>
      <c r="C65" s="1" t="n">
        <v>54.44</v>
      </c>
      <c r="D65" s="1" t="n">
        <v>222.432</v>
      </c>
      <c r="E65" s="16"/>
      <c r="G65" s="17"/>
      <c r="H65" s="15"/>
    </row>
    <row r="66" customFormat="false" ht="15" hidden="false" customHeight="false" outlineLevel="0" collapsed="false">
      <c r="A66" s="15" t="n">
        <v>46239</v>
      </c>
      <c r="B66" s="1"/>
      <c r="C66" s="1" t="n">
        <v>7.728</v>
      </c>
      <c r="D66" s="1" t="n">
        <v>383.39</v>
      </c>
      <c r="E66" s="16"/>
      <c r="G66" s="17"/>
      <c r="H66" s="15"/>
    </row>
    <row r="67" customFormat="false" ht="15" hidden="false" customHeight="false" outlineLevel="0" collapsed="false">
      <c r="A67" s="15" t="n">
        <v>46240</v>
      </c>
      <c r="B67" s="1"/>
      <c r="C67" s="1" t="n">
        <v>186.904</v>
      </c>
      <c r="D67" s="1" t="n">
        <v>313.698</v>
      </c>
      <c r="E67" s="16"/>
      <c r="G67" s="17"/>
      <c r="H67" s="15"/>
    </row>
    <row r="68" customFormat="false" ht="15" hidden="false" customHeight="false" outlineLevel="0" collapsed="false">
      <c r="A68" s="15" t="n">
        <v>46241</v>
      </c>
      <c r="B68" s="1"/>
      <c r="C68" s="1" t="n">
        <v>277.178</v>
      </c>
      <c r="D68" s="1" t="n">
        <v>394.995</v>
      </c>
      <c r="E68" s="16"/>
      <c r="G68" s="17"/>
      <c r="H68" s="15"/>
    </row>
    <row r="69" customFormat="false" ht="15" hidden="false" customHeight="false" outlineLevel="0" collapsed="false">
      <c r="A69" s="15" t="n">
        <v>46242</v>
      </c>
      <c r="B69" s="1"/>
      <c r="C69" s="1" t="n">
        <v>94.683</v>
      </c>
      <c r="D69" s="1" t="n">
        <v>629.813</v>
      </c>
      <c r="E69" s="16"/>
      <c r="G69" s="17"/>
      <c r="H69" s="15"/>
    </row>
    <row r="70" customFormat="false" ht="15" hidden="false" customHeight="false" outlineLevel="0" collapsed="false">
      <c r="A70" s="15" t="n">
        <v>46243</v>
      </c>
      <c r="B70" s="1"/>
      <c r="C70" s="1" t="n">
        <v>239.021</v>
      </c>
      <c r="D70" s="1" t="n">
        <v>421.253</v>
      </c>
      <c r="E70" s="16"/>
      <c r="G70" s="17"/>
      <c r="H70" s="15"/>
    </row>
    <row r="71" customFormat="false" ht="15" hidden="false" customHeight="false" outlineLevel="0" collapsed="false">
      <c r="A71" s="15" t="n">
        <v>46244</v>
      </c>
      <c r="B71" s="1"/>
      <c r="C71" s="1" t="n">
        <v>324.207</v>
      </c>
      <c r="D71" s="1" t="n">
        <v>0</v>
      </c>
      <c r="E71" s="16"/>
      <c r="G71" s="17"/>
      <c r="H71" s="15"/>
    </row>
    <row r="72" customFormat="false" ht="15" hidden="false" customHeight="false" outlineLevel="0" collapsed="false">
      <c r="A72" s="15" t="n">
        <v>46245</v>
      </c>
      <c r="B72" s="1"/>
      <c r="C72" s="1" t="n">
        <v>303.086</v>
      </c>
      <c r="D72" s="1" t="n">
        <v>227.195</v>
      </c>
      <c r="E72" s="16"/>
      <c r="G72" s="17"/>
      <c r="H72" s="15"/>
    </row>
    <row r="73" customFormat="false" ht="15" hidden="false" customHeight="false" outlineLevel="0" collapsed="false">
      <c r="A73" s="15" t="n">
        <v>46246</v>
      </c>
      <c r="B73" s="1"/>
      <c r="C73" s="1" t="n">
        <v>464.096</v>
      </c>
      <c r="D73" s="1" t="n">
        <v>0</v>
      </c>
      <c r="E73" s="16"/>
      <c r="G73" s="17"/>
      <c r="H73" s="15"/>
    </row>
    <row r="74" customFormat="false" ht="15" hidden="false" customHeight="false" outlineLevel="0" collapsed="false">
      <c r="A74" s="15" t="n">
        <v>46247</v>
      </c>
      <c r="B74" s="1"/>
      <c r="C74" s="1" t="n">
        <v>494.695</v>
      </c>
      <c r="D74" s="1" t="n">
        <v>0</v>
      </c>
      <c r="E74" s="16"/>
      <c r="G74" s="17"/>
      <c r="H74" s="15"/>
    </row>
    <row r="75" customFormat="false" ht="15" hidden="false" customHeight="false" outlineLevel="0" collapsed="false">
      <c r="A75" s="15" t="n">
        <v>46248</v>
      </c>
      <c r="B75" s="1"/>
      <c r="C75" s="1" t="n">
        <v>359.76</v>
      </c>
      <c r="D75" s="1" t="n">
        <v>0</v>
      </c>
      <c r="E75" s="16"/>
      <c r="G75" s="17"/>
      <c r="H75" s="15"/>
    </row>
    <row r="76" customFormat="false" ht="15" hidden="false" customHeight="false" outlineLevel="0" collapsed="false">
      <c r="A76" s="15" t="n">
        <v>46249</v>
      </c>
      <c r="B76" s="1"/>
      <c r="C76" s="1" t="n">
        <v>316.651</v>
      </c>
      <c r="D76" s="1" t="n">
        <v>0</v>
      </c>
      <c r="E76" s="16"/>
      <c r="G76" s="17"/>
      <c r="H76" s="15"/>
    </row>
    <row r="77" customFormat="false" ht="15" hidden="false" customHeight="false" outlineLevel="0" collapsed="false">
      <c r="A77" s="15" t="n">
        <v>46250</v>
      </c>
      <c r="B77" s="1"/>
      <c r="C77" s="1" t="n">
        <v>0</v>
      </c>
      <c r="D77" s="1" t="n">
        <v>0</v>
      </c>
      <c r="E77" s="1" t="n">
        <v>23.299</v>
      </c>
      <c r="G77" s="17"/>
      <c r="H77" s="15"/>
    </row>
    <row r="78" customFormat="false" ht="15" hidden="false" customHeight="false" outlineLevel="0" collapsed="false">
      <c r="A78" s="15" t="n">
        <v>46251</v>
      </c>
      <c r="B78" s="1"/>
      <c r="C78" s="1" t="n">
        <v>0</v>
      </c>
      <c r="D78" s="1" t="n">
        <v>0</v>
      </c>
      <c r="E78" s="1" t="n">
        <v>140.048</v>
      </c>
      <c r="G78" s="17"/>
      <c r="H78" s="15"/>
    </row>
    <row r="79" customFormat="false" ht="15" hidden="false" customHeight="false" outlineLevel="0" collapsed="false">
      <c r="A79" s="15" t="n">
        <v>46252</v>
      </c>
      <c r="B79" s="1"/>
      <c r="C79" s="1" t="n">
        <v>162.439</v>
      </c>
      <c r="D79" s="1" t="n">
        <v>298.227</v>
      </c>
      <c r="E79" s="1" t="n">
        <v>222.642</v>
      </c>
      <c r="G79" s="17"/>
      <c r="H79" s="15"/>
    </row>
    <row r="80" customFormat="false" ht="15" hidden="false" customHeight="false" outlineLevel="0" collapsed="false">
      <c r="A80" s="15" t="n">
        <v>46253</v>
      </c>
      <c r="B80" s="1"/>
      <c r="C80" s="1" t="n">
        <v>416.625</v>
      </c>
      <c r="D80" s="1" t="n">
        <v>466.19</v>
      </c>
      <c r="E80" s="1" t="n">
        <v>241.562</v>
      </c>
      <c r="G80" s="17"/>
      <c r="H80" s="15"/>
    </row>
    <row r="81" customFormat="false" ht="15" hidden="false" customHeight="false" outlineLevel="0" collapsed="false">
      <c r="A81" s="15" t="n">
        <v>46254</v>
      </c>
      <c r="B81" s="1"/>
      <c r="C81" s="1" t="n">
        <v>494.715</v>
      </c>
      <c r="D81" s="1" t="n">
        <v>381.078</v>
      </c>
      <c r="E81" s="1" t="n">
        <v>180.357</v>
      </c>
      <c r="G81" s="17"/>
      <c r="H81" s="15"/>
    </row>
    <row r="82" customFormat="false" ht="15" hidden="false" customHeight="false" outlineLevel="0" collapsed="false">
      <c r="A82" s="15" t="n">
        <v>46255</v>
      </c>
      <c r="B82" s="1"/>
      <c r="C82" s="1" t="n">
        <v>331.672</v>
      </c>
      <c r="D82" s="1" t="n">
        <v>266.749</v>
      </c>
      <c r="E82" s="1" t="n">
        <v>205.912</v>
      </c>
      <c r="G82" s="17"/>
      <c r="H82" s="15"/>
    </row>
    <row r="83" customFormat="false" ht="15" hidden="false" customHeight="false" outlineLevel="0" collapsed="false">
      <c r="A83" s="15" t="n">
        <v>46256</v>
      </c>
      <c r="B83" s="1"/>
      <c r="C83" s="1" t="n">
        <v>260.299</v>
      </c>
      <c r="D83" s="1" t="n">
        <v>156.189</v>
      </c>
      <c r="E83" s="1" t="n">
        <v>168.175</v>
      </c>
      <c r="G83" s="17"/>
      <c r="H83" s="15"/>
    </row>
    <row r="84" customFormat="false" ht="15" hidden="false" customHeight="false" outlineLevel="0" collapsed="false">
      <c r="A84" s="15" t="n">
        <v>46257</v>
      </c>
      <c r="B84" s="1"/>
      <c r="C84" s="1" t="n">
        <v>483.768</v>
      </c>
      <c r="D84" s="1" t="n">
        <v>231.907</v>
      </c>
      <c r="E84" s="1" t="n">
        <v>137.261</v>
      </c>
      <c r="G84" s="17"/>
      <c r="H84" s="15"/>
    </row>
    <row r="85" customFormat="false" ht="15" hidden="false" customHeight="false" outlineLevel="0" collapsed="false">
      <c r="A85" s="15" t="n">
        <v>46258</v>
      </c>
      <c r="B85" s="1"/>
      <c r="C85" s="1" t="n">
        <v>595.615</v>
      </c>
      <c r="D85" s="1" t="n">
        <v>444.952</v>
      </c>
      <c r="E85" s="1" t="n">
        <v>236.652</v>
      </c>
      <c r="G85" s="17"/>
      <c r="H85" s="15"/>
    </row>
    <row r="86" customFormat="false" ht="15" hidden="false" customHeight="false" outlineLevel="0" collapsed="false">
      <c r="A86" s="15" t="n">
        <v>46259</v>
      </c>
      <c r="C86" s="1" t="n">
        <v>245.454</v>
      </c>
      <c r="D86" s="1" t="n">
        <v>111.259</v>
      </c>
      <c r="E86" s="1" t="n">
        <v>235.479</v>
      </c>
    </row>
    <row r="87" customFormat="false" ht="15" hidden="false" customHeight="false" outlineLevel="0" collapsed="false">
      <c r="A87" s="15" t="n">
        <v>46260</v>
      </c>
      <c r="C87" s="1" t="n">
        <v>739.504</v>
      </c>
      <c r="D87" s="1" t="n">
        <v>293.473</v>
      </c>
      <c r="E87" s="1" t="n">
        <v>314.771</v>
      </c>
    </row>
    <row r="88" customFormat="false" ht="15" hidden="false" customHeight="false" outlineLevel="0" collapsed="false">
      <c r="A88" s="15" t="n">
        <v>46261</v>
      </c>
      <c r="C88" s="1" t="n">
        <v>889.817</v>
      </c>
      <c r="D88" s="1" t="n">
        <v>494.609</v>
      </c>
      <c r="E88" s="1" t="n">
        <v>315.837</v>
      </c>
    </row>
    <row r="89" customFormat="false" ht="15" hidden="false" customHeight="false" outlineLevel="0" collapsed="false">
      <c r="A89" s="15" t="n">
        <v>46262</v>
      </c>
      <c r="C89" s="1" t="n">
        <v>762.357</v>
      </c>
      <c r="D89" s="1" t="n">
        <v>408.609</v>
      </c>
      <c r="E89" s="1" t="n">
        <v>308.841</v>
      </c>
    </row>
    <row r="90" customFormat="false" ht="15" hidden="false" customHeight="false" outlineLevel="0" collapsed="false">
      <c r="A90" s="15" t="n">
        <v>46263</v>
      </c>
      <c r="B90" s="4"/>
      <c r="C90" s="1" t="n">
        <v>757.402</v>
      </c>
      <c r="D90" s="1" t="n">
        <v>305.349</v>
      </c>
      <c r="E90" s="1" t="n">
        <v>328.991</v>
      </c>
    </row>
    <row r="91" customFormat="false" ht="15" hidden="false" customHeight="false" outlineLevel="0" collapsed="false">
      <c r="A91" s="15" t="n">
        <v>46264</v>
      </c>
      <c r="B91" s="18"/>
      <c r="C91" s="1" t="n">
        <v>619.74</v>
      </c>
      <c r="D91" s="1" t="n">
        <v>0</v>
      </c>
      <c r="E91" s="1" t="n">
        <v>328.967</v>
      </c>
    </row>
    <row r="92" customFormat="false" ht="15" hidden="false" customHeight="false" outlineLevel="0" collapsed="false">
      <c r="A92" s="15" t="n">
        <v>46265</v>
      </c>
      <c r="C92" s="1" t="n">
        <v>572.788</v>
      </c>
      <c r="D92" s="1" t="n">
        <v>0</v>
      </c>
      <c r="E92" s="1" t="n">
        <v>357.338</v>
      </c>
    </row>
    <row r="93" customFormat="false" ht="15" hidden="false" customHeight="false" outlineLevel="0" collapsed="false">
      <c r="A93" s="15" t="n">
        <v>46266</v>
      </c>
      <c r="C93" s="1" t="n">
        <v>0</v>
      </c>
      <c r="D93" s="1" t="n">
        <v>523.035</v>
      </c>
      <c r="E93" s="1" t="n">
        <v>428.352</v>
      </c>
    </row>
    <row r="94" customFormat="false" ht="15" hidden="false" customHeight="false" outlineLevel="0" collapsed="false">
      <c r="A94" s="15" t="n">
        <v>46267</v>
      </c>
      <c r="C94" s="1" t="n">
        <v>0</v>
      </c>
      <c r="D94" s="1" t="n">
        <v>302.969</v>
      </c>
      <c r="E94" s="1" t="n">
        <v>184.591</v>
      </c>
    </row>
    <row r="95" customFormat="false" ht="15" hidden="false" customHeight="false" outlineLevel="0" collapsed="false">
      <c r="A95" s="15" t="n">
        <v>46268</v>
      </c>
      <c r="C95" s="1" t="n">
        <v>378.635</v>
      </c>
      <c r="D95" s="1" t="n">
        <v>251.191</v>
      </c>
      <c r="E95" s="1" t="n">
        <v>369.149</v>
      </c>
    </row>
    <row r="96" customFormat="false" ht="15" hidden="false" customHeight="false" outlineLevel="0" collapsed="false">
      <c r="A96" s="15" t="n">
        <v>46269</v>
      </c>
      <c r="C96" s="1" t="n">
        <v>224.067</v>
      </c>
      <c r="D96" s="1" t="n">
        <v>728.843</v>
      </c>
      <c r="E96" s="1" t="n">
        <v>301.042</v>
      </c>
    </row>
    <row r="97" customFormat="false" ht="15" hidden="false" customHeight="false" outlineLevel="0" collapsed="false">
      <c r="A97" s="15" t="n">
        <v>46270</v>
      </c>
      <c r="C97" s="1" t="n">
        <v>603.015</v>
      </c>
      <c r="D97" s="1" t="n">
        <v>727.799</v>
      </c>
      <c r="E97" s="1" t="n">
        <v>292.299</v>
      </c>
    </row>
    <row r="98" customFormat="false" ht="15" hidden="false" customHeight="false" outlineLevel="0" collapsed="false">
      <c r="A98" s="15" t="n">
        <v>46271</v>
      </c>
      <c r="C98" s="1" t="n">
        <v>0</v>
      </c>
      <c r="D98" s="1" t="n">
        <v>796.851</v>
      </c>
      <c r="E98" s="1" t="n">
        <v>418.043</v>
      </c>
    </row>
    <row r="99" customFormat="false" ht="15" hidden="false" customHeight="false" outlineLevel="0" collapsed="false">
      <c r="A99" s="15" t="n">
        <v>46272</v>
      </c>
      <c r="C99" s="1" t="n">
        <v>179.843</v>
      </c>
      <c r="D99" s="1" t="n">
        <v>789.525</v>
      </c>
      <c r="E99" s="1" t="n">
        <v>402.31</v>
      </c>
    </row>
    <row r="100" customFormat="false" ht="15" hidden="false" customHeight="false" outlineLevel="0" collapsed="false">
      <c r="A100" s="15" t="n">
        <v>46273</v>
      </c>
      <c r="C100" s="1" t="n">
        <v>739.32</v>
      </c>
      <c r="D100" s="1" t="n">
        <v>830.593</v>
      </c>
      <c r="E100" s="1" t="n">
        <v>463.789</v>
      </c>
    </row>
    <row r="101" customFormat="false" ht="15" hidden="false" customHeight="false" outlineLevel="0" collapsed="false">
      <c r="A101" s="15" t="n">
        <v>46274</v>
      </c>
      <c r="C101" s="1" t="n">
        <v>598.448</v>
      </c>
      <c r="D101" s="1" t="n">
        <v>857.998</v>
      </c>
      <c r="E101" s="1" t="n">
        <v>459.078</v>
      </c>
    </row>
    <row r="102" customFormat="false" ht="15" hidden="false" customHeight="false" outlineLevel="0" collapsed="false">
      <c r="A102" s="15" t="n">
        <v>46275</v>
      </c>
      <c r="C102" s="1" t="n">
        <v>84.222</v>
      </c>
      <c r="D102" s="1" t="n">
        <v>350.278</v>
      </c>
      <c r="E102" s="1" t="n">
        <v>359.719</v>
      </c>
    </row>
    <row r="103" customFormat="false" ht="15" hidden="false" customHeight="false" outlineLevel="0" collapsed="false">
      <c r="A103" s="15" t="n">
        <v>46276</v>
      </c>
      <c r="C103" s="1" t="n">
        <v>149.079</v>
      </c>
      <c r="D103" s="1" t="n">
        <v>774.967</v>
      </c>
      <c r="E103" s="1" t="n">
        <v>491.411</v>
      </c>
    </row>
    <row r="104" customFormat="false" ht="15" hidden="false" customHeight="false" outlineLevel="0" collapsed="false">
      <c r="A104" s="15" t="n">
        <v>46277</v>
      </c>
      <c r="C104" s="1" t="n">
        <v>513.719</v>
      </c>
      <c r="D104" s="1" t="n">
        <v>829.974</v>
      </c>
      <c r="E104" s="1" t="n">
        <v>255.597</v>
      </c>
    </row>
    <row r="105" customFormat="false" ht="15" hidden="false" customHeight="false" outlineLevel="0" collapsed="false">
      <c r="A105" s="15" t="n">
        <v>46278</v>
      </c>
      <c r="C105" s="1" t="n">
        <v>466.497</v>
      </c>
      <c r="D105" s="1" t="n">
        <v>631.951</v>
      </c>
      <c r="E105" s="1" t="n">
        <v>376.252</v>
      </c>
    </row>
    <row r="106" customFormat="false" ht="15" hidden="false" customHeight="false" outlineLevel="0" collapsed="false">
      <c r="A106" s="15" t="n">
        <v>46279</v>
      </c>
      <c r="C106" s="1" t="n">
        <v>480.147</v>
      </c>
      <c r="D106" s="1" t="n">
        <v>789.638</v>
      </c>
      <c r="E106" s="1" t="n">
        <v>531.414</v>
      </c>
    </row>
    <row r="107" customFormat="false" ht="15" hidden="false" customHeight="false" outlineLevel="0" collapsed="false">
      <c r="A107" s="15" t="n">
        <v>46280</v>
      </c>
      <c r="C107" s="1" t="n">
        <v>588.32</v>
      </c>
      <c r="D107" s="1" t="n">
        <v>459.972</v>
      </c>
      <c r="E107" s="1" t="n">
        <v>293.453</v>
      </c>
    </row>
    <row r="108" customFormat="false" ht="15" hidden="false" customHeight="false" outlineLevel="0" collapsed="false">
      <c r="A108" s="15" t="n">
        <v>46281</v>
      </c>
      <c r="C108" s="1" t="n">
        <v>98.412</v>
      </c>
      <c r="D108" s="1" t="n">
        <v>0</v>
      </c>
      <c r="E108" s="1" t="n">
        <v>319.484</v>
      </c>
    </row>
    <row r="109" customFormat="false" ht="15" hidden="false" customHeight="false" outlineLevel="0" collapsed="false">
      <c r="A109" s="15" t="n">
        <v>46282</v>
      </c>
      <c r="C109" s="1" t="n">
        <v>182.292</v>
      </c>
      <c r="D109" s="1" t="n">
        <v>0</v>
      </c>
      <c r="E109" s="1" t="n">
        <v>293.476</v>
      </c>
    </row>
    <row r="110" customFormat="false" ht="15" hidden="false" customHeight="false" outlineLevel="0" collapsed="false">
      <c r="A110" s="15" t="n">
        <v>46283</v>
      </c>
      <c r="C110" s="1" t="n">
        <v>534.8</v>
      </c>
      <c r="D110" s="1" t="n">
        <v>0</v>
      </c>
      <c r="E110" s="1" t="n">
        <v>179.869</v>
      </c>
    </row>
    <row r="111" customFormat="false" ht="15" hidden="false" customHeight="false" outlineLevel="0" collapsed="false">
      <c r="A111" s="15" t="n">
        <v>46284</v>
      </c>
      <c r="C111" s="1" t="n">
        <v>648.453</v>
      </c>
      <c r="D111" s="1" t="n">
        <v>141.079</v>
      </c>
      <c r="E111" s="1" t="n">
        <v>331.435</v>
      </c>
    </row>
    <row r="112" customFormat="false" ht="15" hidden="false" customHeight="false" outlineLevel="0" collapsed="false">
      <c r="A112" s="15" t="n">
        <v>46285</v>
      </c>
      <c r="C112" s="1" t="n">
        <v>312.493</v>
      </c>
      <c r="D112" s="1" t="n">
        <v>0</v>
      </c>
      <c r="E112" s="1" t="n">
        <v>291.726</v>
      </c>
    </row>
    <row r="113" customFormat="false" ht="15" hidden="false" customHeight="false" outlineLevel="0" collapsed="false">
      <c r="A113" s="15" t="n">
        <v>46286</v>
      </c>
      <c r="C113" s="1" t="n">
        <v>115.987</v>
      </c>
      <c r="D113" s="1" t="n">
        <v>142.021</v>
      </c>
      <c r="E113" s="1" t="n">
        <v>0</v>
      </c>
    </row>
    <row r="114" customFormat="false" ht="15" hidden="false" customHeight="false" outlineLevel="0" collapsed="false">
      <c r="A114" s="15" t="n">
        <v>46287</v>
      </c>
      <c r="C114" s="1" t="n">
        <v>0</v>
      </c>
      <c r="D114" s="1" t="n">
        <v>332.68</v>
      </c>
      <c r="E114" s="1" t="n">
        <v>0</v>
      </c>
    </row>
    <row r="115" customFormat="false" ht="15" hidden="false" customHeight="false" outlineLevel="0" collapsed="false">
      <c r="A115" s="15" t="n">
        <v>46288</v>
      </c>
      <c r="C115" s="1" t="n">
        <v>0</v>
      </c>
      <c r="D115" s="1" t="n">
        <v>461.462</v>
      </c>
      <c r="E115" s="1" t="n">
        <v>0</v>
      </c>
    </row>
    <row r="116" customFormat="false" ht="15" hidden="false" customHeight="false" outlineLevel="0" collapsed="false">
      <c r="A116" s="15" t="n">
        <v>46289</v>
      </c>
      <c r="C116" s="1" t="n">
        <v>0</v>
      </c>
      <c r="D116" s="1" t="n">
        <v>442.534</v>
      </c>
      <c r="E116" s="1" t="n">
        <v>0</v>
      </c>
    </row>
    <row r="117" customFormat="false" ht="15" hidden="false" customHeight="false" outlineLevel="0" collapsed="false">
      <c r="A117" s="15" t="n">
        <v>46290</v>
      </c>
      <c r="C117" s="1" t="n">
        <v>400.012</v>
      </c>
      <c r="D117" s="1" t="n">
        <v>440.228</v>
      </c>
      <c r="E117" s="1" t="n">
        <v>0</v>
      </c>
    </row>
    <row r="118" customFormat="false" ht="15" hidden="false" customHeight="false" outlineLevel="0" collapsed="false">
      <c r="A118" s="15" t="n">
        <v>46291</v>
      </c>
      <c r="C118" s="1" t="n">
        <v>453.187</v>
      </c>
      <c r="D118" s="1" t="n">
        <v>487.597</v>
      </c>
      <c r="E118" s="1" t="n">
        <v>23.66</v>
      </c>
    </row>
    <row r="119" customFormat="false" ht="15" hidden="false" customHeight="false" outlineLevel="0" collapsed="false">
      <c r="A119" s="15" t="n">
        <v>46292</v>
      </c>
      <c r="C119" s="1" t="n">
        <v>540.966</v>
      </c>
      <c r="D119" s="1" t="n">
        <v>620.04</v>
      </c>
      <c r="E119" s="1" t="n">
        <v>321.843</v>
      </c>
    </row>
    <row r="120" customFormat="false" ht="15" hidden="false" customHeight="false" outlineLevel="0" collapsed="false">
      <c r="A120" s="15" t="n">
        <v>46293</v>
      </c>
      <c r="C120" s="1" t="n">
        <v>272.261</v>
      </c>
      <c r="D120" s="1" t="n">
        <v>620.034</v>
      </c>
      <c r="E120" s="1" t="n">
        <v>450.274</v>
      </c>
    </row>
    <row r="121" customFormat="false" ht="15" hidden="false" customHeight="false" outlineLevel="0" collapsed="false">
      <c r="A121" s="15" t="n">
        <v>46294</v>
      </c>
      <c r="C121" s="1" t="n">
        <v>363.821</v>
      </c>
      <c r="D121" s="1" t="n">
        <v>267.47</v>
      </c>
      <c r="E121" s="1" t="n">
        <v>459.117</v>
      </c>
    </row>
    <row r="122" customFormat="false" ht="15" hidden="false" customHeight="false" outlineLevel="0" collapsed="false">
      <c r="A122" s="15" t="n">
        <v>46295</v>
      </c>
      <c r="C122" s="1" t="n">
        <v>0</v>
      </c>
      <c r="D122" s="1" t="n">
        <v>108.415</v>
      </c>
      <c r="E122" s="1" t="n">
        <v>499.376</v>
      </c>
    </row>
    <row r="123" customFormat="false" ht="15" hidden="false" customHeight="false" outlineLevel="0" collapsed="false">
      <c r="A123" s="15" t="n">
        <v>46296</v>
      </c>
      <c r="C123" s="1" t="n">
        <v>533.34</v>
      </c>
      <c r="D123" s="1" t="n">
        <v>431.957</v>
      </c>
      <c r="E123" s="1" t="n">
        <v>507.46</v>
      </c>
    </row>
    <row r="124" customFormat="false" ht="15" hidden="false" customHeight="false" outlineLevel="0" collapsed="false">
      <c r="A124" s="15" t="n">
        <v>46297</v>
      </c>
      <c r="C124" s="1" t="n">
        <v>610.836</v>
      </c>
      <c r="D124" s="1" t="n">
        <v>599.428</v>
      </c>
      <c r="E124" s="1" t="n">
        <v>468.523</v>
      </c>
    </row>
    <row r="125" customFormat="false" ht="15" hidden="false" customHeight="false" outlineLevel="0" collapsed="false">
      <c r="A125" s="15" t="n">
        <v>46298</v>
      </c>
      <c r="C125" s="1" t="n">
        <v>562.553</v>
      </c>
      <c r="D125" s="1" t="n">
        <v>510.707</v>
      </c>
      <c r="E125" s="1" t="n">
        <v>339.791</v>
      </c>
    </row>
    <row r="126" customFormat="false" ht="15" hidden="false" customHeight="false" outlineLevel="0" collapsed="false">
      <c r="A126" s="15" t="n">
        <v>46299</v>
      </c>
      <c r="C126" s="1" t="n">
        <v>612.435</v>
      </c>
      <c r="D126" s="1" t="n">
        <v>452.06</v>
      </c>
      <c r="E126" s="1" t="n">
        <v>660.276</v>
      </c>
    </row>
    <row r="127" customFormat="false" ht="15" hidden="false" customHeight="false" outlineLevel="0" collapsed="false">
      <c r="A127" s="15" t="n">
        <v>46300</v>
      </c>
      <c r="C127" s="1" t="n">
        <v>707.803</v>
      </c>
      <c r="D127" s="1" t="n">
        <v>596.331</v>
      </c>
      <c r="E127" s="1" t="n">
        <v>643.648</v>
      </c>
    </row>
    <row r="128" customFormat="false" ht="15" hidden="false" customHeight="false" outlineLevel="0" collapsed="false">
      <c r="A128" s="15" t="n">
        <v>46301</v>
      </c>
      <c r="C128" s="1" t="n">
        <v>769.448</v>
      </c>
      <c r="D128" s="1" t="n">
        <v>504.075</v>
      </c>
      <c r="E128" s="1" t="n">
        <v>698.071</v>
      </c>
    </row>
    <row r="129" customFormat="false" ht="15" hidden="false" customHeight="false" outlineLevel="0" collapsed="false">
      <c r="A129" s="15" t="n">
        <v>46302</v>
      </c>
      <c r="C129" s="1" t="n">
        <v>662.801</v>
      </c>
      <c r="D129" s="1" t="n">
        <v>384.947</v>
      </c>
      <c r="E129" s="1" t="n">
        <v>695.7</v>
      </c>
    </row>
    <row r="130" customFormat="false" ht="15" hidden="false" customHeight="false" outlineLevel="0" collapsed="false">
      <c r="A130" s="15" t="n">
        <v>46303</v>
      </c>
      <c r="C130" s="1" t="n">
        <v>828.453</v>
      </c>
      <c r="D130" s="1" t="n">
        <v>397.712</v>
      </c>
      <c r="E130" s="1" t="n">
        <v>237.132</v>
      </c>
    </row>
    <row r="131" customFormat="false" ht="15" hidden="false" customHeight="false" outlineLevel="0" collapsed="false">
      <c r="A131" s="15" t="n">
        <v>46304</v>
      </c>
      <c r="C131" s="1" t="n">
        <v>808.37</v>
      </c>
      <c r="D131" s="1" t="n">
        <v>718.138</v>
      </c>
      <c r="E131" s="1" t="n">
        <v>625.866</v>
      </c>
    </row>
    <row r="132" customFormat="false" ht="15" hidden="false" customHeight="false" outlineLevel="0" collapsed="false">
      <c r="A132" s="15" t="n">
        <v>46305</v>
      </c>
      <c r="C132" s="1" t="n">
        <v>705.083</v>
      </c>
      <c r="D132" s="1" t="n">
        <v>357.32</v>
      </c>
      <c r="E132" s="1" t="n">
        <v>511.142</v>
      </c>
    </row>
    <row r="133" customFormat="false" ht="15" hidden="false" customHeight="false" outlineLevel="0" collapsed="false">
      <c r="A133" s="15" t="n">
        <v>46306</v>
      </c>
      <c r="C133" s="1" t="n">
        <v>751.416</v>
      </c>
      <c r="D133" s="1" t="n">
        <v>837.749</v>
      </c>
      <c r="E133" s="1" t="n">
        <v>509.934</v>
      </c>
    </row>
    <row r="134" customFormat="false" ht="15" hidden="false" customHeight="false" outlineLevel="0" collapsed="false">
      <c r="A134" s="15" t="n">
        <v>46307</v>
      </c>
      <c r="C134" s="1" t="n">
        <v>771.659</v>
      </c>
      <c r="D134" s="1" t="n">
        <v>712.336</v>
      </c>
      <c r="E134" s="1" t="n">
        <v>501.681</v>
      </c>
    </row>
    <row r="135" customFormat="false" ht="15" hidden="false" customHeight="false" outlineLevel="0" collapsed="false">
      <c r="A135" s="15" t="n">
        <v>46308</v>
      </c>
      <c r="C135" s="1" t="n">
        <v>97.033</v>
      </c>
      <c r="D135" s="1" t="n">
        <v>676.815</v>
      </c>
      <c r="E135" s="1" t="n">
        <v>435.437</v>
      </c>
    </row>
    <row r="136" customFormat="false" ht="15" hidden="false" customHeight="false" outlineLevel="0" collapsed="false">
      <c r="A136" s="15" t="n">
        <v>46309</v>
      </c>
      <c r="C136" s="1" t="n">
        <v>0</v>
      </c>
      <c r="D136" s="1" t="n">
        <v>725.323</v>
      </c>
      <c r="E136" s="1" t="n">
        <v>586.864</v>
      </c>
    </row>
    <row r="137" customFormat="false" ht="15" hidden="false" customHeight="false" outlineLevel="0" collapsed="false">
      <c r="A137" s="15" t="n">
        <v>46310</v>
      </c>
      <c r="C137" s="1" t="n">
        <v>279.345</v>
      </c>
      <c r="D137" s="1" t="n">
        <v>516.998</v>
      </c>
      <c r="E137" s="1" t="n">
        <v>565.551</v>
      </c>
    </row>
    <row r="138" customFormat="false" ht="15" hidden="false" customHeight="false" outlineLevel="0" collapsed="false">
      <c r="A138" s="15" t="n">
        <v>46311</v>
      </c>
      <c r="C138" s="1" t="n">
        <v>660.352</v>
      </c>
      <c r="D138" s="1" t="n">
        <v>288.721</v>
      </c>
      <c r="E138" s="1" t="n">
        <v>388.146</v>
      </c>
    </row>
    <row r="139" customFormat="false" ht="15" hidden="false" customHeight="false" outlineLevel="0" collapsed="false">
      <c r="A139" s="15" t="n">
        <v>46312</v>
      </c>
      <c r="C139" s="1" t="n">
        <v>650.914</v>
      </c>
      <c r="D139" s="1" t="n">
        <v>101.111</v>
      </c>
      <c r="E139" s="1" t="n">
        <v>558.48</v>
      </c>
    </row>
    <row r="140" customFormat="false" ht="15" hidden="false" customHeight="false" outlineLevel="0" collapsed="false">
      <c r="A140" s="15" t="n">
        <v>46313</v>
      </c>
      <c r="C140" s="1" t="n">
        <v>494.072</v>
      </c>
      <c r="D140" s="1" t="n">
        <v>0</v>
      </c>
      <c r="E140" s="1" t="n">
        <v>213.579</v>
      </c>
    </row>
    <row r="141" customFormat="false" ht="15" hidden="false" customHeight="false" outlineLevel="0" collapsed="false">
      <c r="A141" s="15" t="n">
        <v>46314</v>
      </c>
      <c r="C141" s="1" t="n">
        <v>352.696</v>
      </c>
      <c r="D141" s="1" t="n">
        <v>0</v>
      </c>
      <c r="E141" s="1" t="n">
        <v>558.454</v>
      </c>
    </row>
    <row r="142" customFormat="false" ht="15" hidden="false" customHeight="false" outlineLevel="0" collapsed="false">
      <c r="A142" s="15" t="n">
        <v>46315</v>
      </c>
      <c r="C142" s="1" t="n">
        <v>374.096</v>
      </c>
      <c r="D142" s="1" t="n">
        <v>0</v>
      </c>
      <c r="E142" s="1" t="n">
        <v>433.13</v>
      </c>
    </row>
    <row r="143" customFormat="false" ht="15" hidden="false" customHeight="false" outlineLevel="0" collapsed="false">
      <c r="A143" s="15" t="n">
        <v>46316</v>
      </c>
      <c r="C143" s="1" t="n">
        <v>726.587</v>
      </c>
      <c r="D143" s="1" t="n">
        <v>0</v>
      </c>
      <c r="E143" s="1" t="n">
        <v>385.74</v>
      </c>
    </row>
    <row r="144" customFormat="false" ht="15" hidden="false" customHeight="false" outlineLevel="0" collapsed="false">
      <c r="A144" s="15" t="n">
        <v>46317</v>
      </c>
      <c r="C144" s="1" t="n">
        <v>636.856</v>
      </c>
      <c r="D144" s="1" t="n">
        <v>0</v>
      </c>
      <c r="E144" s="1" t="n">
        <v>567.908</v>
      </c>
    </row>
    <row r="145" customFormat="false" ht="15" hidden="false" customHeight="false" outlineLevel="0" collapsed="false">
      <c r="A145" s="15" t="n">
        <v>46318</v>
      </c>
      <c r="C145" s="1" t="n">
        <v>717.142</v>
      </c>
      <c r="D145" s="1" t="n">
        <v>0</v>
      </c>
      <c r="E145" s="1" t="n">
        <v>478.038</v>
      </c>
    </row>
    <row r="146" customFormat="false" ht="15" hidden="false" customHeight="false" outlineLevel="0" collapsed="false">
      <c r="A146" s="15" t="n">
        <v>46319</v>
      </c>
      <c r="C146" s="1" t="n">
        <v>851.844</v>
      </c>
      <c r="D146" s="1" t="n">
        <v>0</v>
      </c>
      <c r="E146" s="1" t="n">
        <v>352.601</v>
      </c>
    </row>
    <row r="147" customFormat="false" ht="15" hidden="false" customHeight="false" outlineLevel="0" collapsed="false">
      <c r="A147" s="15" t="n">
        <v>46320</v>
      </c>
      <c r="C147" s="1" t="n">
        <v>765.92</v>
      </c>
      <c r="D147" s="1" t="n">
        <v>0</v>
      </c>
      <c r="E147" s="1" t="n">
        <v>485.2</v>
      </c>
    </row>
    <row r="148" customFormat="false" ht="15" hidden="false" customHeight="false" outlineLevel="0" collapsed="false">
      <c r="A148" s="15" t="n">
        <v>46321</v>
      </c>
      <c r="C148" s="1" t="n">
        <v>476.974</v>
      </c>
      <c r="D148" s="1" t="n">
        <v>0</v>
      </c>
      <c r="E148" s="1" t="n">
        <v>380.993</v>
      </c>
    </row>
    <row r="149" customFormat="false" ht="15" hidden="false" customHeight="false" outlineLevel="0" collapsed="false">
      <c r="A149" s="15" t="n">
        <v>46322</v>
      </c>
      <c r="C149" s="1" t="n">
        <v>744.252</v>
      </c>
      <c r="D149" s="1" t="n">
        <v>0</v>
      </c>
      <c r="E149" s="1" t="n">
        <v>492.298</v>
      </c>
    </row>
    <row r="150" customFormat="false" ht="15" hidden="false" customHeight="false" outlineLevel="0" collapsed="false">
      <c r="A150" s="15" t="n">
        <v>46323</v>
      </c>
      <c r="C150" s="1" t="n">
        <v>758.561</v>
      </c>
      <c r="D150" s="1" t="n">
        <v>0</v>
      </c>
      <c r="E150" s="1" t="n">
        <v>551.452</v>
      </c>
    </row>
    <row r="151" customFormat="false" ht="15" hidden="false" customHeight="false" outlineLevel="0" collapsed="false">
      <c r="A151" s="15" t="n">
        <v>46324</v>
      </c>
      <c r="C151" s="1" t="n">
        <v>435.401</v>
      </c>
      <c r="D151" s="1" t="n">
        <v>0</v>
      </c>
      <c r="E151" s="1" t="n">
        <v>407.048</v>
      </c>
    </row>
    <row r="152" customFormat="false" ht="15" hidden="false" customHeight="false" outlineLevel="0" collapsed="false">
      <c r="A152" s="15" t="n">
        <v>46325</v>
      </c>
      <c r="C152" s="1" t="n">
        <v>558.737</v>
      </c>
      <c r="D152" s="1" t="n">
        <v>0</v>
      </c>
      <c r="E152" s="1" t="n">
        <v>221.168</v>
      </c>
    </row>
    <row r="153" customFormat="false" ht="15" hidden="false" customHeight="false" outlineLevel="0" collapsed="false">
      <c r="A153" s="15" t="n">
        <v>46326</v>
      </c>
      <c r="C153" s="1" t="n">
        <v>771.556</v>
      </c>
      <c r="D153" s="1" t="n">
        <v>0</v>
      </c>
      <c r="E153" s="1" t="n">
        <v>163.388</v>
      </c>
    </row>
    <row r="154" customFormat="false" ht="15" hidden="false" customHeight="false" outlineLevel="0" collapsed="false">
      <c r="A154" s="15" t="n">
        <v>46327</v>
      </c>
      <c r="C154" s="1" t="n">
        <v>794.722</v>
      </c>
      <c r="D154" s="1" t="n">
        <v>0</v>
      </c>
    </row>
    <row r="155" customFormat="false" ht="15" hidden="false" customHeight="false" outlineLevel="0" collapsed="false">
      <c r="A155" s="15" t="n">
        <v>46328</v>
      </c>
      <c r="C155" s="1" t="n">
        <v>894.416</v>
      </c>
      <c r="D155" s="1" t="n">
        <v>0</v>
      </c>
    </row>
    <row r="156" customFormat="false" ht="15" hidden="false" customHeight="false" outlineLevel="0" collapsed="false">
      <c r="A156" s="15" t="n">
        <v>46329</v>
      </c>
      <c r="C156" s="1" t="n">
        <v>780.976</v>
      </c>
      <c r="D156" s="1" t="n">
        <v>0</v>
      </c>
    </row>
    <row r="157" customFormat="false" ht="15" hidden="false" customHeight="false" outlineLevel="0" collapsed="false">
      <c r="A157" s="15" t="n">
        <v>46330</v>
      </c>
      <c r="C157" s="1" t="n">
        <v>741.369</v>
      </c>
      <c r="D157" s="1" t="n">
        <v>0</v>
      </c>
    </row>
    <row r="158" customFormat="false" ht="15" hidden="false" customHeight="false" outlineLevel="0" collapsed="false">
      <c r="A158" s="15" t="n">
        <v>46331</v>
      </c>
      <c r="C158" s="1" t="n">
        <v>608.236</v>
      </c>
      <c r="D158" s="1" t="n">
        <v>0</v>
      </c>
    </row>
    <row r="159" customFormat="false" ht="15" hidden="false" customHeight="false" outlineLevel="0" collapsed="false">
      <c r="A159" s="15" t="n">
        <v>46332</v>
      </c>
      <c r="C159" s="1" t="n">
        <v>560.853</v>
      </c>
      <c r="D159" s="1" t="n">
        <v>0</v>
      </c>
    </row>
    <row r="160" customFormat="false" ht="15" hidden="false" customHeight="false" outlineLevel="0" collapsed="false">
      <c r="A160" s="15" t="n">
        <v>46333</v>
      </c>
      <c r="C160" s="1" t="n">
        <v>30.773</v>
      </c>
      <c r="D160" s="1" t="n">
        <v>0</v>
      </c>
    </row>
    <row r="161" customFormat="false" ht="15" hidden="false" customHeight="false" outlineLevel="0" collapsed="false">
      <c r="A161" s="15" t="n">
        <v>46334</v>
      </c>
      <c r="C161" s="1" t="n">
        <v>205.851</v>
      </c>
      <c r="D161" s="1" t="n">
        <v>0</v>
      </c>
    </row>
    <row r="162" customFormat="false" ht="15" hidden="false" customHeight="false" outlineLevel="0" collapsed="false">
      <c r="A162" s="15" t="n">
        <v>46335</v>
      </c>
      <c r="C162" s="1" t="n">
        <v>355.686</v>
      </c>
      <c r="D162" s="1" t="n">
        <v>0</v>
      </c>
    </row>
    <row r="163" customFormat="false" ht="15" hidden="false" customHeight="false" outlineLevel="0" collapsed="false">
      <c r="A163" s="15" t="n">
        <v>46336</v>
      </c>
      <c r="C163" s="1" t="n">
        <v>148.974</v>
      </c>
      <c r="D163" s="1" t="n">
        <v>0</v>
      </c>
    </row>
    <row r="164" customFormat="false" ht="15" hidden="false" customHeight="false" outlineLevel="0" collapsed="false">
      <c r="A164" s="15" t="n">
        <v>46337</v>
      </c>
      <c r="C164" s="1" t="n">
        <v>0</v>
      </c>
      <c r="D164" s="1" t="n">
        <v>0</v>
      </c>
    </row>
    <row r="165" customFormat="false" ht="15" hidden="false" customHeight="false" outlineLevel="0" collapsed="false">
      <c r="A165" s="15" t="n">
        <v>46338</v>
      </c>
      <c r="C165" s="1" t="n">
        <v>0.923</v>
      </c>
      <c r="D165" s="1" t="n">
        <v>0</v>
      </c>
    </row>
    <row r="166" customFormat="false" ht="15" hidden="false" customHeight="false" outlineLevel="0" collapsed="false">
      <c r="A166" s="15"/>
      <c r="C166" s="1"/>
      <c r="D166" s="1"/>
    </row>
    <row r="167" customFormat="false" ht="15" hidden="false" customHeight="false" outlineLevel="0" collapsed="false">
      <c r="A167" s="15"/>
      <c r="C167" s="1"/>
      <c r="D167" s="1"/>
    </row>
    <row r="168" customFormat="false" ht="15" hidden="false" customHeight="false" outlineLevel="0" collapsed="false">
      <c r="A168" s="15"/>
      <c r="C168" s="1"/>
      <c r="D168" s="1"/>
    </row>
    <row r="169" customFormat="false" ht="15" hidden="false" customHeight="false" outlineLevel="0" collapsed="false">
      <c r="A169" s="15"/>
      <c r="C169" s="1"/>
      <c r="D169" s="1"/>
    </row>
    <row r="170" customFormat="false" ht="15" hidden="false" customHeight="false" outlineLevel="0" collapsed="false">
      <c r="C170" s="1"/>
      <c r="D170" s="1"/>
    </row>
    <row r="171" customFormat="false" ht="15" hidden="false" customHeight="false" outlineLevel="0" collapsed="false">
      <c r="C171" s="1"/>
      <c r="D171" s="1"/>
    </row>
    <row r="172" customFormat="false" ht="15" hidden="false" customHeight="false" outlineLevel="0" collapsed="false">
      <c r="C172" s="1"/>
      <c r="D172" s="1"/>
    </row>
    <row r="173" customFormat="false" ht="15" hidden="false" customHeight="false" outlineLevel="0" collapsed="false">
      <c r="C173" s="1"/>
      <c r="D173" s="1"/>
    </row>
    <row r="174" customFormat="false" ht="15" hidden="false" customHeight="false" outlineLevel="0" collapsed="false">
      <c r="C174" s="1"/>
      <c r="D174" s="1"/>
    </row>
    <row r="175" customFormat="false" ht="15" hidden="false" customHeight="false" outlineLevel="0" collapsed="false">
      <c r="C175" s="1"/>
      <c r="D175" s="1"/>
    </row>
    <row r="176" customFormat="false" ht="15" hidden="false" customHeight="false" outlineLevel="0" collapsed="false">
      <c r="C176" s="1"/>
      <c r="D176" s="1"/>
    </row>
    <row r="177" customFormat="false" ht="15" hidden="false" customHeight="false" outlineLevel="0" collapsed="false">
      <c r="C177" s="1"/>
      <c r="D177" s="1"/>
    </row>
    <row r="178" customFormat="false" ht="15" hidden="false" customHeight="false" outlineLevel="0" collapsed="false">
      <c r="C178" s="1"/>
      <c r="D178" s="1"/>
    </row>
    <row r="179" customFormat="false" ht="15" hidden="false" customHeight="false" outlineLevel="0" collapsed="false">
      <c r="C179" s="1"/>
      <c r="D179" s="1"/>
    </row>
    <row r="180" customFormat="false" ht="15" hidden="false" customHeight="false" outlineLevel="0" collapsed="false">
      <c r="C180" s="1"/>
      <c r="D180" s="1"/>
    </row>
    <row r="181" customFormat="false" ht="15" hidden="false" customHeight="false" outlineLevel="0" collapsed="false">
      <c r="C181" s="1"/>
      <c r="D181" s="1"/>
    </row>
    <row r="182" customFormat="false" ht="15" hidden="false" customHeight="false" outlineLevel="0" collapsed="false">
      <c r="C182" s="1"/>
      <c r="D182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56640625" defaultRowHeight="15" customHeight="true" zeroHeight="false" outlineLevelRow="0" outlineLevelCol="0"/>
  <cols>
    <col collapsed="false" customWidth="true" hidden="false" outlineLevel="0" max="5" min="5" style="0" width="40.89"/>
  </cols>
  <sheetData>
    <row r="1" customFormat="false" ht="15" hidden="false" customHeight="false" outlineLevel="0" collapsed="false">
      <c r="A1" s="9" t="s">
        <v>23</v>
      </c>
      <c r="B1" s="9" t="s">
        <v>24</v>
      </c>
      <c r="C1" s="9" t="s">
        <v>25</v>
      </c>
      <c r="D1" s="9" t="s">
        <v>26</v>
      </c>
      <c r="E1" s="9" t="s">
        <v>27</v>
      </c>
    </row>
    <row r="2" customFormat="false" ht="15" hidden="false" customHeight="false" outlineLevel="0" collapsed="false">
      <c r="A2" s="19" t="n">
        <v>46238</v>
      </c>
      <c r="B2" s="20" t="s">
        <v>28</v>
      </c>
      <c r="C2" s="0" t="n">
        <v>289</v>
      </c>
      <c r="D2" s="0" t="n">
        <v>646</v>
      </c>
      <c r="E2" s="0" t="s">
        <v>29</v>
      </c>
      <c r="G2" s="20"/>
    </row>
    <row r="3" customFormat="false" ht="15" hidden="false" customHeight="false" outlineLevel="0" collapsed="false">
      <c r="A3" s="20" t="n">
        <f aca="false">+A2</f>
        <v>46238</v>
      </c>
      <c r="B3" s="20" t="s">
        <v>30</v>
      </c>
      <c r="C3" s="0" t="n">
        <v>255</v>
      </c>
      <c r="D3" s="0" t="n">
        <v>304</v>
      </c>
      <c r="E3" s="0" t="s">
        <v>31</v>
      </c>
      <c r="G3" s="20"/>
    </row>
    <row r="4" customFormat="false" ht="15" hidden="false" customHeight="false" outlineLevel="0" collapsed="false">
      <c r="A4" s="20" t="n">
        <f aca="false">+A2+1</f>
        <v>46239</v>
      </c>
      <c r="B4" s="20" t="s">
        <v>28</v>
      </c>
      <c r="C4" s="0" t="n">
        <v>326</v>
      </c>
      <c r="D4" s="0" t="n">
        <v>123</v>
      </c>
      <c r="E4" s="0" t="s">
        <v>32</v>
      </c>
      <c r="G4" s="20"/>
    </row>
    <row r="5" customFormat="false" ht="15" hidden="false" customHeight="false" outlineLevel="0" collapsed="false">
      <c r="A5" s="20" t="n">
        <f aca="false">+A3+1</f>
        <v>46239</v>
      </c>
      <c r="B5" s="20" t="s">
        <v>30</v>
      </c>
      <c r="C5" s="0" t="n">
        <v>127</v>
      </c>
      <c r="D5" s="0" t="n">
        <v>254</v>
      </c>
      <c r="E5" s="0" t="s">
        <v>33</v>
      </c>
      <c r="G5" s="20"/>
    </row>
    <row r="6" customFormat="false" ht="15" hidden="false" customHeight="false" outlineLevel="0" collapsed="false">
      <c r="A6" s="20" t="n">
        <f aca="false">+A4+1</f>
        <v>46240</v>
      </c>
      <c r="B6" s="20" t="s">
        <v>28</v>
      </c>
      <c r="G6" s="20"/>
    </row>
    <row r="7" customFormat="false" ht="15" hidden="false" customHeight="false" outlineLevel="0" collapsed="false">
      <c r="A7" s="20" t="n">
        <f aca="false">+A5+1</f>
        <v>46240</v>
      </c>
      <c r="B7" s="20" t="s">
        <v>30</v>
      </c>
      <c r="G7" s="20"/>
    </row>
    <row r="8" customFormat="false" ht="15" hidden="false" customHeight="false" outlineLevel="0" collapsed="false">
      <c r="A8" s="20" t="n">
        <f aca="false">+A6+1</f>
        <v>46241</v>
      </c>
      <c r="B8" s="20" t="s">
        <v>28</v>
      </c>
      <c r="G8" s="20"/>
    </row>
    <row r="9" customFormat="false" ht="15" hidden="false" customHeight="false" outlineLevel="0" collapsed="false">
      <c r="A9" s="20" t="n">
        <f aca="false">+A7+1</f>
        <v>46241</v>
      </c>
      <c r="B9" s="20" t="s">
        <v>30</v>
      </c>
      <c r="G9" s="20"/>
    </row>
    <row r="10" customFormat="false" ht="15" hidden="false" customHeight="false" outlineLevel="0" collapsed="false">
      <c r="A10" s="20" t="n">
        <f aca="false">+A8+1</f>
        <v>46242</v>
      </c>
      <c r="B10" s="20" t="s">
        <v>28</v>
      </c>
      <c r="G10" s="20"/>
    </row>
    <row r="11" customFormat="false" ht="15" hidden="false" customHeight="false" outlineLevel="0" collapsed="false">
      <c r="A11" s="20" t="n">
        <f aca="false">+A9+1</f>
        <v>46242</v>
      </c>
      <c r="B11" s="20" t="s">
        <v>30</v>
      </c>
      <c r="G11" s="20"/>
    </row>
    <row r="12" customFormat="false" ht="15" hidden="false" customHeight="false" outlineLevel="0" collapsed="false">
      <c r="A12" s="20" t="n">
        <f aca="false">+A10+1</f>
        <v>46243</v>
      </c>
      <c r="B12" s="20" t="s">
        <v>28</v>
      </c>
      <c r="G12" s="20"/>
    </row>
    <row r="13" customFormat="false" ht="15" hidden="false" customHeight="false" outlineLevel="0" collapsed="false">
      <c r="A13" s="20" t="n">
        <f aca="false">+A11+1</f>
        <v>46243</v>
      </c>
      <c r="B13" s="20" t="s">
        <v>30</v>
      </c>
      <c r="G13" s="20"/>
    </row>
    <row r="14" customFormat="false" ht="15" hidden="false" customHeight="false" outlineLevel="0" collapsed="false">
      <c r="A14" s="20" t="n">
        <f aca="false">+A12+1</f>
        <v>46244</v>
      </c>
      <c r="B14" s="20" t="s">
        <v>28</v>
      </c>
      <c r="G14" s="20"/>
    </row>
    <row r="15" customFormat="false" ht="15" hidden="false" customHeight="false" outlineLevel="0" collapsed="false">
      <c r="A15" s="20" t="n">
        <f aca="false">+A13+1</f>
        <v>46244</v>
      </c>
      <c r="B15" s="20" t="s">
        <v>30</v>
      </c>
      <c r="G15" s="20"/>
    </row>
    <row r="16" customFormat="false" ht="15" hidden="false" customHeight="false" outlineLevel="0" collapsed="false">
      <c r="A16" s="20" t="n">
        <f aca="false">+A14+1</f>
        <v>46245</v>
      </c>
      <c r="B16" s="20" t="s">
        <v>28</v>
      </c>
      <c r="G16" s="20"/>
    </row>
    <row r="17" customFormat="false" ht="15" hidden="false" customHeight="false" outlineLevel="0" collapsed="false">
      <c r="A17" s="20" t="n">
        <f aca="false">+A15+1</f>
        <v>46245</v>
      </c>
      <c r="B17" s="20" t="s">
        <v>30</v>
      </c>
      <c r="G17" s="20"/>
    </row>
    <row r="18" customFormat="false" ht="15" hidden="false" customHeight="false" outlineLevel="0" collapsed="false">
      <c r="A18" s="20" t="n">
        <f aca="false">+A16+1</f>
        <v>46246</v>
      </c>
      <c r="B18" s="20" t="s">
        <v>28</v>
      </c>
      <c r="G18" s="20"/>
    </row>
    <row r="19" customFormat="false" ht="15" hidden="false" customHeight="false" outlineLevel="0" collapsed="false">
      <c r="A19" s="20" t="n">
        <f aca="false">+A17+1</f>
        <v>46246</v>
      </c>
      <c r="B19" s="20" t="s">
        <v>30</v>
      </c>
      <c r="G19" s="20"/>
    </row>
    <row r="20" customFormat="false" ht="15" hidden="false" customHeight="false" outlineLevel="0" collapsed="false">
      <c r="A20" s="20" t="n">
        <f aca="false">+A18+1</f>
        <v>46247</v>
      </c>
      <c r="B20" s="20" t="s">
        <v>28</v>
      </c>
      <c r="G20" s="20"/>
    </row>
    <row r="21" customFormat="false" ht="15" hidden="false" customHeight="false" outlineLevel="0" collapsed="false">
      <c r="A21" s="20" t="n">
        <f aca="false">+A19+1</f>
        <v>46247</v>
      </c>
      <c r="B21" s="20" t="s">
        <v>30</v>
      </c>
      <c r="G21" s="20"/>
    </row>
    <row r="22" customFormat="false" ht="15" hidden="false" customHeight="false" outlineLevel="0" collapsed="false">
      <c r="A22" s="20" t="n">
        <f aca="false">+A20+1</f>
        <v>46248</v>
      </c>
      <c r="B22" s="0" t="s">
        <v>28</v>
      </c>
      <c r="G22" s="20"/>
    </row>
    <row r="23" customFormat="false" ht="15" hidden="false" customHeight="false" outlineLevel="0" collapsed="false">
      <c r="A23" s="20" t="n">
        <f aca="false">+A21+1</f>
        <v>46248</v>
      </c>
      <c r="B23" s="0" t="s">
        <v>30</v>
      </c>
      <c r="G23" s="20"/>
    </row>
    <row r="24" customFormat="false" ht="15" hidden="false" customHeight="false" outlineLevel="0" collapsed="false">
      <c r="A24" s="20" t="n">
        <f aca="false">+A22+1</f>
        <v>46249</v>
      </c>
      <c r="B24" s="0" t="s">
        <v>28</v>
      </c>
      <c r="G24" s="20"/>
    </row>
    <row r="25" customFormat="false" ht="15" hidden="false" customHeight="false" outlineLevel="0" collapsed="false">
      <c r="A25" s="20" t="n">
        <f aca="false">+A23+1</f>
        <v>46249</v>
      </c>
      <c r="B25" s="0" t="s">
        <v>30</v>
      </c>
      <c r="G25" s="20"/>
    </row>
    <row r="26" customFormat="false" ht="15" hidden="false" customHeight="false" outlineLevel="0" collapsed="false">
      <c r="A26" s="20" t="n">
        <f aca="false">+A24+1</f>
        <v>46250</v>
      </c>
      <c r="B26" s="0" t="s">
        <v>28</v>
      </c>
      <c r="G26" s="20"/>
    </row>
    <row r="27" customFormat="false" ht="15" hidden="false" customHeight="false" outlineLevel="0" collapsed="false">
      <c r="A27" s="20" t="n">
        <f aca="false">+A25+1</f>
        <v>46250</v>
      </c>
      <c r="B27" s="0" t="s">
        <v>30</v>
      </c>
      <c r="G27" s="20"/>
    </row>
    <row r="28" customFormat="false" ht="15" hidden="false" customHeight="false" outlineLevel="0" collapsed="false">
      <c r="A28" s="20" t="n">
        <f aca="false">+A26+1</f>
        <v>46251</v>
      </c>
      <c r="B28" s="0" t="s">
        <v>28</v>
      </c>
      <c r="G28" s="20"/>
    </row>
    <row r="29" customFormat="false" ht="15" hidden="false" customHeight="false" outlineLevel="0" collapsed="false">
      <c r="A29" s="20" t="n">
        <f aca="false">+A27+1</f>
        <v>46251</v>
      </c>
      <c r="B29" s="0" t="s">
        <v>30</v>
      </c>
      <c r="G29" s="20"/>
    </row>
    <row r="30" customFormat="false" ht="15" hidden="false" customHeight="false" outlineLevel="0" collapsed="false">
      <c r="A30" s="20" t="n">
        <f aca="false">+A28+1</f>
        <v>46252</v>
      </c>
      <c r="B30" s="0" t="s">
        <v>28</v>
      </c>
      <c r="G30" s="20"/>
    </row>
    <row r="31" customFormat="false" ht="15" hidden="false" customHeight="false" outlineLevel="0" collapsed="false">
      <c r="A31" s="20" t="n">
        <f aca="false">+A29+1</f>
        <v>46252</v>
      </c>
      <c r="B31" s="0" t="s">
        <v>30</v>
      </c>
      <c r="G31" s="20"/>
    </row>
    <row r="32" customFormat="false" ht="15" hidden="false" customHeight="false" outlineLevel="0" collapsed="false">
      <c r="A32" s="20" t="n">
        <f aca="false">+A30+1</f>
        <v>46253</v>
      </c>
      <c r="B32" s="0" t="s">
        <v>28</v>
      </c>
      <c r="G32" s="20"/>
    </row>
    <row r="33" customFormat="false" ht="15" hidden="false" customHeight="false" outlineLevel="0" collapsed="false">
      <c r="A33" s="20" t="n">
        <f aca="false">+A31+1</f>
        <v>46253</v>
      </c>
      <c r="B33" s="0" t="s">
        <v>30</v>
      </c>
      <c r="G33" s="20"/>
    </row>
    <row r="34" customFormat="false" ht="15" hidden="false" customHeight="false" outlineLevel="0" collapsed="false">
      <c r="A34" s="20" t="n">
        <f aca="false">+A32+1</f>
        <v>46254</v>
      </c>
      <c r="B34" s="0" t="s">
        <v>28</v>
      </c>
      <c r="G34" s="20"/>
    </row>
    <row r="35" customFormat="false" ht="15" hidden="false" customHeight="false" outlineLevel="0" collapsed="false">
      <c r="A35" s="20" t="n">
        <f aca="false">+A33+1</f>
        <v>46254</v>
      </c>
      <c r="B35" s="0" t="s">
        <v>30</v>
      </c>
      <c r="G35" s="20"/>
    </row>
    <row r="36" customFormat="false" ht="15" hidden="false" customHeight="false" outlineLevel="0" collapsed="false">
      <c r="A36" s="20" t="n">
        <f aca="false">+A34+1</f>
        <v>46255</v>
      </c>
      <c r="B36" s="0" t="s">
        <v>28</v>
      </c>
      <c r="G36" s="20"/>
    </row>
    <row r="37" customFormat="false" ht="15" hidden="false" customHeight="false" outlineLevel="0" collapsed="false">
      <c r="A37" s="20" t="n">
        <f aca="false">+A35+1</f>
        <v>46255</v>
      </c>
      <c r="B37" s="0" t="s">
        <v>30</v>
      </c>
      <c r="G37" s="20"/>
    </row>
    <row r="38" customFormat="false" ht="15" hidden="false" customHeight="false" outlineLevel="0" collapsed="false">
      <c r="A38" s="20" t="n">
        <f aca="false">+A36+1</f>
        <v>46256</v>
      </c>
      <c r="B38" s="0" t="s">
        <v>28</v>
      </c>
      <c r="G38" s="20"/>
    </row>
    <row r="39" customFormat="false" ht="15" hidden="false" customHeight="false" outlineLevel="0" collapsed="false">
      <c r="A39" s="20" t="n">
        <f aca="false">+A37+1</f>
        <v>46256</v>
      </c>
      <c r="B39" s="0" t="s">
        <v>30</v>
      </c>
      <c r="G39" s="20"/>
    </row>
    <row r="40" customFormat="false" ht="15" hidden="false" customHeight="false" outlineLevel="0" collapsed="false">
      <c r="A40" s="20" t="n">
        <f aca="false">+A38+1</f>
        <v>46257</v>
      </c>
      <c r="B40" s="0" t="s">
        <v>28</v>
      </c>
      <c r="G40" s="20"/>
    </row>
    <row r="41" customFormat="false" ht="15" hidden="false" customHeight="false" outlineLevel="0" collapsed="false">
      <c r="A41" s="20" t="n">
        <f aca="false">+A39+1</f>
        <v>46257</v>
      </c>
      <c r="B41" s="0" t="s">
        <v>30</v>
      </c>
      <c r="G41" s="20"/>
    </row>
    <row r="42" customFormat="false" ht="15" hidden="false" customHeight="false" outlineLevel="0" collapsed="false">
      <c r="A42" s="20" t="n">
        <f aca="false">+A40+1</f>
        <v>46258</v>
      </c>
      <c r="B42" s="0" t="s">
        <v>28</v>
      </c>
      <c r="G42" s="20"/>
    </row>
    <row r="43" customFormat="false" ht="15" hidden="false" customHeight="false" outlineLevel="0" collapsed="false">
      <c r="A43" s="20" t="n">
        <f aca="false">+A41+1</f>
        <v>46258</v>
      </c>
      <c r="B43" s="0" t="s">
        <v>30</v>
      </c>
      <c r="G43" s="20"/>
    </row>
    <row r="44" customFormat="false" ht="15" hidden="false" customHeight="false" outlineLevel="0" collapsed="false">
      <c r="A44" s="20" t="n">
        <f aca="false">+A42+1</f>
        <v>46259</v>
      </c>
      <c r="B44" s="0" t="s">
        <v>28</v>
      </c>
      <c r="G44" s="20"/>
    </row>
    <row r="45" customFormat="false" ht="15" hidden="false" customHeight="false" outlineLevel="0" collapsed="false">
      <c r="A45" s="20" t="n">
        <f aca="false">+A43+1</f>
        <v>46259</v>
      </c>
      <c r="B45" s="0" t="s">
        <v>30</v>
      </c>
      <c r="G45" s="20"/>
    </row>
    <row r="46" customFormat="false" ht="15" hidden="false" customHeight="false" outlineLevel="0" collapsed="false">
      <c r="A46" s="20" t="n">
        <f aca="false">+A44+1</f>
        <v>46260</v>
      </c>
      <c r="B46" s="0" t="s">
        <v>28</v>
      </c>
      <c r="G46" s="20"/>
    </row>
    <row r="47" customFormat="false" ht="15" hidden="false" customHeight="false" outlineLevel="0" collapsed="false">
      <c r="A47" s="20" t="n">
        <f aca="false">+A45+1</f>
        <v>46260</v>
      </c>
      <c r="B47" s="0" t="s">
        <v>30</v>
      </c>
      <c r="G47" s="20"/>
    </row>
    <row r="48" customFormat="false" ht="15" hidden="false" customHeight="false" outlineLevel="0" collapsed="false">
      <c r="A48" s="20" t="n">
        <f aca="false">+A46+1</f>
        <v>46261</v>
      </c>
      <c r="B48" s="0" t="s">
        <v>28</v>
      </c>
      <c r="G48" s="20"/>
    </row>
    <row r="49" customFormat="false" ht="15" hidden="false" customHeight="false" outlineLevel="0" collapsed="false">
      <c r="A49" s="20" t="n">
        <f aca="false">+A47+1</f>
        <v>46261</v>
      </c>
      <c r="B49" s="0" t="s">
        <v>30</v>
      </c>
      <c r="G49" s="20"/>
    </row>
    <row r="50" customFormat="false" ht="15" hidden="false" customHeight="false" outlineLevel="0" collapsed="false">
      <c r="A50" s="20" t="n">
        <f aca="false">+A48+1</f>
        <v>46262</v>
      </c>
      <c r="B50" s="0" t="s">
        <v>28</v>
      </c>
      <c r="G50" s="20"/>
    </row>
    <row r="51" customFormat="false" ht="15" hidden="false" customHeight="false" outlineLevel="0" collapsed="false">
      <c r="A51" s="20" t="n">
        <f aca="false">+A49+1</f>
        <v>46262</v>
      </c>
      <c r="B51" s="0" t="s">
        <v>30</v>
      </c>
      <c r="G51" s="20"/>
    </row>
    <row r="52" customFormat="false" ht="15" hidden="false" customHeight="false" outlineLevel="0" collapsed="false">
      <c r="A52" s="20" t="n">
        <f aca="false">+A50+1</f>
        <v>46263</v>
      </c>
      <c r="B52" s="0" t="s">
        <v>28</v>
      </c>
      <c r="G52" s="20"/>
    </row>
    <row r="53" customFormat="false" ht="15" hidden="false" customHeight="false" outlineLevel="0" collapsed="false">
      <c r="A53" s="20" t="n">
        <f aca="false">+A51+1</f>
        <v>46263</v>
      </c>
      <c r="B53" s="0" t="s">
        <v>30</v>
      </c>
      <c r="G53" s="20"/>
    </row>
    <row r="54" customFormat="false" ht="15" hidden="false" customHeight="false" outlineLevel="0" collapsed="false">
      <c r="A54" s="20" t="n">
        <f aca="false">+A52+1</f>
        <v>46264</v>
      </c>
      <c r="B54" s="0" t="s">
        <v>28</v>
      </c>
      <c r="G54" s="20"/>
    </row>
    <row r="55" customFormat="false" ht="15" hidden="false" customHeight="false" outlineLevel="0" collapsed="false">
      <c r="A55" s="20" t="n">
        <f aca="false">+A53+1</f>
        <v>46264</v>
      </c>
      <c r="B55" s="0" t="s">
        <v>30</v>
      </c>
      <c r="G55" s="20"/>
    </row>
    <row r="56" customFormat="false" ht="15" hidden="false" customHeight="false" outlineLevel="0" collapsed="false">
      <c r="A56" s="20" t="n">
        <f aca="false">+A54+1</f>
        <v>46265</v>
      </c>
      <c r="B56" s="0" t="s">
        <v>28</v>
      </c>
      <c r="G56" s="20"/>
    </row>
    <row r="57" customFormat="false" ht="15" hidden="false" customHeight="false" outlineLevel="0" collapsed="false">
      <c r="A57" s="20" t="n">
        <f aca="false">+A55+1</f>
        <v>46265</v>
      </c>
      <c r="B57" s="0" t="s">
        <v>30</v>
      </c>
      <c r="G57" s="20"/>
    </row>
    <row r="58" customFormat="false" ht="15" hidden="false" customHeight="false" outlineLevel="0" collapsed="false">
      <c r="A58" s="20" t="n">
        <f aca="false">+A56+1</f>
        <v>46266</v>
      </c>
      <c r="B58" s="0" t="s">
        <v>28</v>
      </c>
      <c r="G58" s="20"/>
    </row>
    <row r="59" customFormat="false" ht="15" hidden="false" customHeight="false" outlineLevel="0" collapsed="false">
      <c r="A59" s="20" t="n">
        <f aca="false">+A57+1</f>
        <v>46266</v>
      </c>
      <c r="B59" s="0" t="s">
        <v>30</v>
      </c>
      <c r="G59" s="20"/>
    </row>
    <row r="60" customFormat="false" ht="15" hidden="false" customHeight="false" outlineLevel="0" collapsed="false">
      <c r="A60" s="20" t="n">
        <f aca="false">+A58+1</f>
        <v>46267</v>
      </c>
      <c r="B60" s="0" t="s">
        <v>28</v>
      </c>
      <c r="G60" s="20"/>
    </row>
    <row r="61" customFormat="false" ht="15" hidden="false" customHeight="false" outlineLevel="0" collapsed="false">
      <c r="A61" s="20" t="n">
        <f aca="false">+A59+1</f>
        <v>46267</v>
      </c>
      <c r="B61" s="0" t="s">
        <v>30</v>
      </c>
      <c r="G61" s="20"/>
    </row>
    <row r="62" customFormat="false" ht="15" hidden="false" customHeight="false" outlineLevel="0" collapsed="false">
      <c r="A62" s="20" t="n">
        <f aca="false">+A60+1</f>
        <v>46268</v>
      </c>
      <c r="B62" s="0" t="s">
        <v>28</v>
      </c>
      <c r="G62" s="20"/>
    </row>
    <row r="63" customFormat="false" ht="15" hidden="false" customHeight="false" outlineLevel="0" collapsed="false">
      <c r="A63" s="20" t="n">
        <f aca="false">+A61+1</f>
        <v>46268</v>
      </c>
      <c r="B63" s="0" t="s">
        <v>30</v>
      </c>
      <c r="G63" s="20"/>
    </row>
    <row r="64" customFormat="false" ht="15" hidden="false" customHeight="false" outlineLevel="0" collapsed="false">
      <c r="A64" s="20" t="n">
        <f aca="false">+A62+1</f>
        <v>46269</v>
      </c>
      <c r="B64" s="0" t="s">
        <v>28</v>
      </c>
      <c r="G64" s="20"/>
    </row>
    <row r="65" customFormat="false" ht="15" hidden="false" customHeight="false" outlineLevel="0" collapsed="false">
      <c r="A65" s="20" t="n">
        <f aca="false">+A63+1</f>
        <v>46269</v>
      </c>
      <c r="B65" s="0" t="s">
        <v>30</v>
      </c>
      <c r="G65" s="20"/>
    </row>
    <row r="66" customFormat="false" ht="15" hidden="false" customHeight="false" outlineLevel="0" collapsed="false">
      <c r="A66" s="20" t="n">
        <f aca="false">+A64+1</f>
        <v>46270</v>
      </c>
      <c r="B66" s="0" t="s">
        <v>28</v>
      </c>
      <c r="G66" s="20"/>
    </row>
    <row r="67" customFormat="false" ht="15" hidden="false" customHeight="false" outlineLevel="0" collapsed="false">
      <c r="A67" s="20" t="n">
        <f aca="false">+A65+1</f>
        <v>46270</v>
      </c>
      <c r="B67" s="0" t="s">
        <v>30</v>
      </c>
      <c r="G67" s="20"/>
    </row>
    <row r="68" customFormat="false" ht="15" hidden="false" customHeight="false" outlineLevel="0" collapsed="false">
      <c r="A68" s="20" t="n">
        <f aca="false">+A66+1</f>
        <v>46271</v>
      </c>
      <c r="B68" s="0" t="s">
        <v>28</v>
      </c>
      <c r="G68" s="20"/>
    </row>
    <row r="69" customFormat="false" ht="15" hidden="false" customHeight="false" outlineLevel="0" collapsed="false">
      <c r="A69" s="20" t="n">
        <f aca="false">+A67+1</f>
        <v>46271</v>
      </c>
      <c r="B69" s="0" t="s">
        <v>30</v>
      </c>
      <c r="G69" s="20"/>
    </row>
    <row r="70" customFormat="false" ht="15" hidden="false" customHeight="false" outlineLevel="0" collapsed="false">
      <c r="A70" s="20" t="n">
        <f aca="false">+A68+1</f>
        <v>46272</v>
      </c>
      <c r="B70" s="0" t="s">
        <v>28</v>
      </c>
      <c r="G70" s="20"/>
    </row>
    <row r="71" customFormat="false" ht="15" hidden="false" customHeight="false" outlineLevel="0" collapsed="false">
      <c r="A71" s="20" t="n">
        <f aca="false">+A69+1</f>
        <v>46272</v>
      </c>
      <c r="B71" s="0" t="s">
        <v>30</v>
      </c>
      <c r="G71" s="20"/>
    </row>
    <row r="72" customFormat="false" ht="15" hidden="false" customHeight="false" outlineLevel="0" collapsed="false">
      <c r="A72" s="20" t="n">
        <f aca="false">+A70+1</f>
        <v>46273</v>
      </c>
      <c r="B72" s="0" t="s">
        <v>28</v>
      </c>
    </row>
    <row r="73" customFormat="false" ht="15" hidden="false" customHeight="false" outlineLevel="0" collapsed="false">
      <c r="A73" s="20" t="n">
        <f aca="false">+A71+1</f>
        <v>46273</v>
      </c>
      <c r="B73" s="0" t="s">
        <v>30</v>
      </c>
    </row>
    <row r="74" customFormat="false" ht="15" hidden="false" customHeight="false" outlineLevel="0" collapsed="false">
      <c r="A74" s="20"/>
    </row>
    <row r="75" customFormat="false" ht="15" hidden="false" customHeight="false" outlineLevel="0" collapsed="false">
      <c r="A75" s="20"/>
    </row>
    <row r="76" customFormat="false" ht="15" hidden="false" customHeight="false" outlineLevel="0" collapsed="false">
      <c r="A76" s="20"/>
    </row>
    <row r="77" customFormat="false" ht="15" hidden="false" customHeight="false" outlineLevel="0" collapsed="false">
      <c r="A77" s="20"/>
    </row>
    <row r="78" customFormat="false" ht="15" hidden="false" customHeight="false" outlineLevel="0" collapsed="false">
      <c r="A78" s="20"/>
    </row>
    <row r="79" customFormat="false" ht="15" hidden="false" customHeight="false" outlineLevel="0" collapsed="false">
      <c r="A79" s="20"/>
    </row>
    <row r="80" customFormat="false" ht="15" hidden="false" customHeight="false" outlineLevel="0" collapsed="false">
      <c r="A80" s="20"/>
    </row>
    <row r="81" customFormat="false" ht="15" hidden="false" customHeight="false" outlineLevel="0" collapsed="false">
      <c r="A81" s="20"/>
    </row>
    <row r="82" customFormat="false" ht="15" hidden="false" customHeight="false" outlineLevel="0" collapsed="false">
      <c r="A82" s="20"/>
    </row>
    <row r="83" customFormat="false" ht="15" hidden="false" customHeight="false" outlineLevel="0" collapsed="false">
      <c r="A83" s="20"/>
    </row>
    <row r="84" customFormat="false" ht="15" hidden="false" customHeight="false" outlineLevel="0" collapsed="false">
      <c r="A84" s="20"/>
    </row>
    <row r="85" customFormat="false" ht="15" hidden="false" customHeight="false" outlineLevel="0" collapsed="false">
      <c r="A85" s="20"/>
    </row>
    <row r="86" customFormat="false" ht="15" hidden="false" customHeight="false" outlineLevel="0" collapsed="false">
      <c r="A86" s="20"/>
    </row>
    <row r="87" customFormat="false" ht="15" hidden="false" customHeight="false" outlineLevel="0" collapsed="false">
      <c r="A87" s="20"/>
    </row>
    <row r="88" customFormat="false" ht="15" hidden="false" customHeight="false" outlineLevel="0" collapsed="false">
      <c r="A88" s="20"/>
    </row>
    <row r="89" customFormat="false" ht="15" hidden="false" customHeight="false" outlineLevel="0" collapsed="false">
      <c r="A89" s="20"/>
    </row>
    <row r="90" customFormat="false" ht="15" hidden="false" customHeight="false" outlineLevel="0" collapsed="false">
      <c r="A90" s="20"/>
    </row>
    <row r="91" customFormat="false" ht="15" hidden="false" customHeight="false" outlineLevel="0" collapsed="false">
      <c r="A91" s="20"/>
    </row>
    <row r="92" customFormat="false" ht="15" hidden="false" customHeight="false" outlineLevel="0" collapsed="false">
      <c r="A92" s="20"/>
    </row>
    <row r="93" customFormat="false" ht="15" hidden="false" customHeight="false" outlineLevel="0" collapsed="false">
      <c r="A93" s="20"/>
    </row>
    <row r="94" customFormat="false" ht="15" hidden="false" customHeight="false" outlineLevel="0" collapsed="false">
      <c r="A94" s="20"/>
    </row>
    <row r="95" customFormat="false" ht="15" hidden="false" customHeight="false" outlineLevel="0" collapsed="false">
      <c r="A95" s="20"/>
    </row>
    <row r="96" customFormat="false" ht="15" hidden="false" customHeight="false" outlineLevel="0" collapsed="false">
      <c r="A96" s="20"/>
    </row>
    <row r="97" customFormat="false" ht="15" hidden="false" customHeight="false" outlineLevel="0" collapsed="false">
      <c r="A97" s="20"/>
    </row>
    <row r="98" customFormat="false" ht="15" hidden="false" customHeight="false" outlineLevel="0" collapsed="false">
      <c r="A98" s="20"/>
    </row>
    <row r="99" customFormat="false" ht="15" hidden="false" customHeight="false" outlineLevel="0" collapsed="false">
      <c r="A99" s="20"/>
    </row>
    <row r="100" customFormat="false" ht="15" hidden="false" customHeight="false" outlineLevel="0" collapsed="false">
      <c r="A100" s="20"/>
    </row>
    <row r="101" customFormat="false" ht="15" hidden="false" customHeight="false" outlineLevel="0" collapsed="false">
      <c r="A101" s="20"/>
    </row>
    <row r="102" customFormat="false" ht="15" hidden="false" customHeight="false" outlineLevel="0" collapsed="false">
      <c r="A102" s="20"/>
    </row>
    <row r="103" customFormat="false" ht="15" hidden="false" customHeight="false" outlineLevel="0" collapsed="false">
      <c r="A103" s="20"/>
    </row>
    <row r="104" customFormat="false" ht="15" hidden="false" customHeight="false" outlineLevel="0" collapsed="false">
      <c r="A104" s="20"/>
    </row>
    <row r="105" customFormat="false" ht="15" hidden="false" customHeight="false" outlineLevel="0" collapsed="false">
      <c r="A105" s="20"/>
    </row>
    <row r="106" customFormat="false" ht="15" hidden="false" customHeight="false" outlineLevel="0" collapsed="false">
      <c r="A106" s="20"/>
    </row>
    <row r="107" customFormat="false" ht="15" hidden="false" customHeight="false" outlineLevel="0" collapsed="false">
      <c r="A107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wGAABQSwMEFAAGAAgAAAAhACrdqkDSAAAANwEAABMACAJbQ29udGVudF9UeXBlc10ueG1sIKIEAiigAAI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GyPvU7EMBCEeyTewdr+soECIZTkCn5KuOJ4gJWzyVnYa8teUO7tcS5UQLk/M99Mt1+CN1+ci4vSw03TgmGxcXQy9/B+fNndgylKMpKPwj2cucB+uL7qjufExVS1lB5OqukBsdgTBypNTCz1MsUcSOuYZ0xkP2hmvG3bO7RRlEV3unrA0D3xRJ9ezfNS11uSAOZx+1pBPSgvismTE8B/BZX3S0IpeWdJazNcr1X3VptmN7I5UNZXCtUYK2ZyMx62gM1fnwv6xwAvtYdvAAAA//8DAFBLAwQUAAIACAAAACEAmj2RKK0AAAD3AAAAEgAAAENvbmZpZy9QYWNrYWdlLnhtbHq/e7+NfUVujkJZalFxZn6erZKhnoGSQnFJYl5KYk5+XqqtUl6+kr0dL5dNQGJydmJ6qgJQdV6xVUVxiq1SRklJgZW+fnl5uV65sV5+Ubq+kYGBoX6Er09wckZqbqISXHEmYcW6mXkga5NTlexswiCusTPSMzQ11TMzstQzsNGHCdr4ZuYhFBgBHQySRRK0cS7NKSktSrUrKtUNCrXRh3Ft9KF+sAMAAAD//wMAUEsDBBQAAgAIAAAAIQBy1oIlqwEAAOgDAAATAAAARm9ybXVsYXMvU2VjdGlvbjEubayTzWrCQBDH74LvsGwvCkHq2dqL9NqCWnoQD1G3KMZdSWI/EMFqsQd76KHQ3op9gmgbmvr5CrNv1EkiqJFWShsIYWdn//P7z2wMVjQrgpOM/40nQiGjrOqsROAVLBjCBBzZAytOkkRjZjhE8IFneSM7MJd3MAMHxrh3dFVkWizV0HXGzTOhVwtCVCPRZu5YrbEkDYjRfCuXEtzE3Lzia+5ReIYPmIKNmu47k334JFjGgQXFClm1oLFYVle5cS70WkpojRrPXteZEQnyKM0mhXewMGZRhZiYREqqyVqt6Krao2zLLrxhvk3844g3lD3ZxyVBsU4AZopxGIGN5zq4HKEjt5oN0xXeKa9XLoR5YpaZ7hMakZ+dKWSNtaUQCg8o38a9oezKDnUjT3jIQnO2X5CuuXhxeXDDWerPl1xujaCvFWaacRzLGuB/NsPr/raJAapgMt0YwveNie+Y+W+9e1TBRi7vBm/UCkzfABt4/HMYg+N1YOG52erBLQYn8n6ZvHYRMkzDPyotLnfMP44MTC2WSSQXpMuTg0OyH42GQxX+V67EFwAAAP//AwBQSwECLQAUAAYACAAAACEAKt2qQNIAAAA3AQAAEwAAAAAAAAAAAAAAAAAAAAAAW0NvbnRlbnRfVHlwZXNdLnhtbFBLAQItABQAAgAIAAAAIQCaPZEorQAAAPcAAAASAAAAAAAAAAAAAAAAAAsDAABDb25maWcvUGFja2FnZS54bWxQSwECLQAUAAIACAAAACEActaCJasBAADoAwAAEwAAAAAAAAAAAAAAAADoAwAARm9ybXVsYXMvU2VjdGlvbjEubVBLBQYAAAAAAwADAMIAAADEBQAAAAARAQAA77u/PD94bWwgdmVyc2lvbj0iMS4wIiBzdGFuZGFsb25lPSJubyI/Pg0K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qhAAAAAAAACIEAAA77u/PD94bWwgdmVyc2lvbj0iMS4wIiBzdGFuZGFsb25lPSJubyI/Pg0KPExvY2FsUGFja2FnZU1ldGFkYXRhRmlsZSB4bWxuczp4c2Q9Imh0dHA6Ly93d3cudzMub3JnLzIwMDEvWE1MU2NoZW1hIiB4bWxuczp4c2k9Imh0dHA6Ly93d3cudzMub3JnLzIwMDEvWE1MU2NoZW1hLWluc3RhbmNlIj48SXRlbXM+PEl0ZW0+PEl0ZW1Mb2NhdGlvbj48SXRlbVR5cGU+Rm9ybXVsYTwvSXRlbVR5cGU+PEl0ZW1QYXRoPlNlY3Rpb24xLyVEMCVBMiVEMCVCMCVEMCVCMSVEMCVCQiVEMCVCOCVEMSU4NiVEMCVCMDE8L0l0ZW1QYXRoPjwvSXRlbUxvY2F0aW9uPjxTdGFibGVFbnRyaWVzPjxFbnRyeSBUeXBlPSJBZGRlZFRvRGF0YU1vZGVsIiBWYWx1ZT0ibDAiLz48RW50cnkgVHlwZT0iQnVmZmVyTmV4dFJlZnJlc2giIFZhbHVlPSJsMSIvPjxFbnRyeSBUeXBlPSJGaWxsRW5hYmxlZCIgVmFsdWU9ImwwIi8+PEVudHJ5IFR5cGU9IkZpbGxFcnJvckNvZGUiIFZhbHVlPSJzVW5rbm93biIvPjxFbnRyeSBUeXBlPSJGaWxsRXJyb3JDb3VudCIgVmFsdWU9ImwwIi8+PEVudHJ5IFR5cGU9IkZpbGxMYXN0VXBkYXRlZCIgVmFsdWU9ImQyMDI2LTA3LTA3VDE3OjEzOjUyLjk0NjU5NzhaIi8+PEVudHJ5IFR5cGU9IkZpbGxDb2x1bW5UeXBlcyIgVmFsdWU9InNDUVlGIi8+PEVudHJ5IFR5cGU9IkZpbGxDb2x1bW5OYW1lcyIgVmFsdWU9InNbJnF1b3Q70LTQsNGC0LAmcXVvdDssJnF1b3Q70KHQvtGA0YImcXVvdDssJnF1b3Q70JfQvdCw0YfQtdC90LjQtSZxdW90O10iLz48RW50cnkgVHlwZT0iRmlsbGVkQ29tcGxldGVSZXN1bHRUb1dvcmtzaGVldCIgVmFsdWU9ImwwIi8+PEVudHJ5IFR5cGU9IkZpbGxTdGF0dXMiIFZhbHVlPSJzQ29tcGxldGUiLz48RW50cnkgVHlwZT0iRmlsbFRvRGF0YU1vZGVsRW5hYmxlZCIgVmFsdWU9ImwwIi8+PEVudHJ5IFR5cGU9IklzUHJpdmF0ZSIgVmFsdWU9ImwwIi8+PEVudHJ5IFR5cGU9IlF1ZXJ5SUQiIFZhbHVlPSJzNGMyYzU4NTctNWFjMC00MjIxLThhN2ItN2FiOGMyOGU2ZGExIi8+PEVudHJ5IFR5cGU9IlJlY292ZXJ5VGFyZ2V0Q29sdW1uIiBWYWx1ZT0ibDEiLz48RW50cnkgVHlwZT0iUmVjb3ZlcnlUYXJnZXRSb3ciIFZhbHVlPSJsMiIvPjxFbnRyeSBUeXBlPSJSZWNvdmVyeVRhcmdldFNoZWV0IiBWYWx1ZT0ic9Cy0YvRgNCw0LHQvtGC0LrQsCIvPjxFbnRyeSBUeXBlPSJSZWxhdGlvbnNoaXBJbmZvQ29udGFpbmVyIiBWYWx1ZT0ic3smcXVvdDtjb2x1bW5Db3VudCZxdW90OzozLCZxdW90O2tleUNvbHVtbk5hbWVzJnF1b3Q7OltdLCZxdW90O3F1ZXJ5UmVsYXRpb25zaGlwcyZxdW90OzpbXSwmcXVvdDtjb2x1bW5JZGVudGl0aWVzJnF1b3Q7OlsmcXVvdDtTZWN0aW9uMS/QotCw0LHQu9C40YbQsDEv0JTRgNGD0LPQuNC1INGB0YLQvtC70LHRhtGLINGBINC+0YLQvNC10L3QtdC90L3Ri9C8INGB0LLQtdGA0YLRi9Cy0LDQvdC40LXQvC570LTQsNGC0LAsMH0mcXVvdDssJnF1b3Q7U2VjdGlvbjEv0KLQsNCx0LvQuNGG0LAxL9CU0YDRg9Cz0LjQtSDRgdGC0L7Qu9Cx0YbRiyDRgSDQvtGC0LzQtdC90LXQvdC90YvQvCDRgdCy0LXRgNGC0YvQstCw0L3QuNC10Lwue9CQ0YLRgNC40LHRg9GCLDF9JnF1b3Q7LCZxdW90O1NlY3Rpb24xL9Ci0LDQsdC70LjRhtCwMS/QmNC30LzQtdC90LXQvdC90YvQuSDRgtC40L8xLnvQl9C90LDRh9C10L3QuNC1LDJ9JnF1b3Q7XSwmcXVvdDtDb2x1bW5Db3VudCZxdW90OzozLCZxdW90O0tleUNvbHVtbk5hbWVzJnF1b3Q7OltdLCZxdW90O0NvbHVtbklkZW50aXRpZXMmcXVvdDs6WyZxdW90O1NlY3Rpb24xL9Ci0LDQsdC70LjRhtCwMS/QlNGA0YPQs9C40LUg0YHRgtC+0LvQsdGG0Ysg0YEg0L7RgtC80LXQvdC10L3QvdGL0Lwg0YHQstC10YDRgtGL0LLQsNC90LjQtdC8LnvQtNCw0YLQsCwwfSZxdW90OywmcXVvdDtTZWN0aW9uMS/QotCw0LHQu9C40YbQsDEv0JTRgNGD0LPQuNC1INGB0YLQvtC70LHRhtGLINGBINC+0YLQvNC10L3QtdC90L3Ri9C8INGB0LLQtdGA0YLRi9Cy0LDQvdC40LXQvC570JDRgtGA0LjQsdGD0YIsMX0mcXVvdDssJnF1b3Q7U2VjdGlvbjEv0KLQsNCx0LvQuNGG0LAxL9CY0LfQvNC10L3QtdC90L3Ri9C5INGC0LjQvzEue9CX0L3QsNGH0LXQvdC40LUsMn0mcXVvdDtdLCZxdW90O1JlbGF0aW9uc2hpcEluZm8mcXVvdDs6W119Ii8+PEVudHJ5IFR5cGU9IlJlc3VsdFR5cGUiIFZhbHVlPSJzVGFibGUiLz48RW50cnkgVHlwZT0iTmF2aWdhdGlvblN0ZXBOYW1lIiBWYWx1ZT0ic9Cd0LDQstC40LPQsNGG0LjRjyIvPjxFbnRyeSBUeXBlPSJGaWxsT2JqZWN0VHlwZSIgVmFsdWU9InNDb25uZWN0aW9uT25seSIvPjxFbnRyeSBUeXBlPSJOYW1lVXBkYXRlZEFmdGVyRmlsbCIgVmFsdWU9ImwwIi8+PC9TdGFibGVFbnRyaWVzPjwvSXRlbT48SXRlbT48SXRlbUxvY2F0aW9uPjxJdGVtVHlwZT5Gb3JtdWxhPC9JdGVtVHlwZT48SXRlbVBhdGg+U2VjdGlvbjEvJUQwJUEyJUQwJUIwJUQwJUIxJUQwJUJCJUQwJUI4JUQxJTg2JUQwJUIwMS8lRDAlOTglRDElODElRDElODIlRDAlQkUlRDElODclRDAlQkQlRDAlQjglRDAlQkE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PC9JdGVtUGF0aD48L0l0ZW1Mb2NhdGlvbj48U3RhYmxlRW50cmllcy8+PC9JdGVtPjxJdGVtPjxJdGVtTG9jYXRpb24+PEl0ZW1UeXBlPkZvcm11bGE8L0l0ZW1UeXBlPjxJdGVtUGF0aD5TZWN0aW9uMS8lRDAlQTIlRDAlQjAlRDAlQjElRDAlQkIlRDAlQjglRDElODYlRDAlQjAxLyVEMCU5NCVEMSU4MCVEMSU4MyVEMCVCMyVEMCVCOCVEMCVCNSUyMCVEMSU4MSVEMSU4MiVEMCVCRSVEMCVCQiVEMCVCMSVEMSU4NiVEMSU4QiUyMCVEMSU4MSUyMCVEMCVCRSVEMSU4MiVEMCVCQyVEMCVCNSVEMCVCRCVEMCVCNSVEMCVCRCVEMCVCRCVEMSU4QiVEMCVCQyUyMCVEMSU4MSVEMCVCMiVEMCVCNSVEMSU4MCVEMSU4MiVEMSU4QiVEMCVCMiVEMCVCMCVEMCVCRCVEMCVCOCVEMCVCNSVEMCVCQzwvSXRlbVBhdGg+PC9JdGVtTG9jYXRpb24+PFN0YWJsZUVudHJpZXMvPjwvSXRlbT48SXRlbT48SXRlbUxvY2F0aW9uPjxJdGVtVHlwZT5Gb3JtdWxhPC9JdGVtVHlwZT48SXRlbVBhdGg+U2VjdGlvbjEvJUQwJUEyJUQwJUIwJUQwJUIxJUQwJUJCJUQwJUI4JUQxJTg2JUQwJUIwMS8lRDAlOUYlRDAlQjUlRDElODAlRDAlQjUlRDAlQjglRDAlQkMlRDAlQjUlRDAlQkQlRDAlQkUlRDAlQjIlRDAlQjAlRDAlQkQlRDAlQkQlRDElOEIlRDAlQjUlMjAlRDElODElRDElODIlRDAlQkUlRDAlQkIlRDAlQjElRDElODYlRDElOEI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MTwvSXRlbVBhdGg+PC9JdGVtTG9jYXRpb24+PFN0YWJsZUVudHJpZXMvPjwvSXRlbT48SXRlbT48SXRlbUxvY2F0aW9uPjxJdGVtVHlwZT5Gb3JtdWxhPC9JdGVtVHlwZT48SXRlbVBhdGg+U2VjdGlvbjEvJUQwJUEyJUQwJUIwJUQwJUIxJUQwJUJCJUQwJUI4JUQxJTg2JUQwJUIwMS8lRDAlQTElRDElODIlRDElODAlRDAlQkUlRDAlQkElRDAlQjglMjAlRDElODElMjAlRDAlQkYlRDElODAlRDAlQjglRDAlQkMlRDAlQjUlRDAlQkQlRDAlQjUlRDAlQkQlRDAlQkQlRDElOEIlRDAlQkMlMjAlRDElODQlRDAlQjglRDAlQkIlRDElOEMlRDElODIlRDElODAlRDAlQkUlRDAlQkM8L0l0ZW1QYXRoPjwvSXRlbUxvY2F0aW9uPjxTdGFibGVFbnRyaWVzLz48L0l0ZW0+PEl0ZW0+PEl0ZW1Mb2NhdGlvbj48SXRlbVR5cGU+QWxsRm9ybXVsYXM8L0l0ZW1UeXBlPjxJdGVtUGF0aD48L0l0ZW1QYXRoPjwvSXRlbUxvY2F0aW9uPjxTdGFibGVFbnRyaWVzLz48L0l0ZW0+PC9JdGVtcz48L0xvY2FsUGFja2FnZU1ldGFkYXRhRmlsZT4WAAAAUEsFBgAAAAAAAAAAAAAAAAAAAAAAANoAAAABAAAA0Iyd3wEV0RGMegDAT8KX6wEAAABX/U1kzre8Rb4VK2rluO/QAAAAAAIAAAAAAANmAADAAAAAEAAAAAnWJ2daPLVrRkTvS7BJR98AAAAABIAAAKAAAAAQAAAAr92L3GsbZix54zfUysV3pFAAAABMS0p/ZLOcYlsDx0B/31olPrQVZuMtiuie8QIEReKdZSHjsdEmJaBbkyZfgBPwgQQuhSswDLl9ZH2PIJ+G2v8ja6Grkd8n4bpNbGSxulz/IBQAAABRSU8wJP0WPYFf3YeeoW30HA0ayw==</DataMashup>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2026-07-07T16:41:02Z</dcterms:created>
  <dc:creator>Огей Маргарита Викторовна</dc:creator>
  <dc:description/>
  <dc:language>ru-RU</dc:language>
  <cp:lastModifiedBy/>
  <dcterms:modified xsi:type="dcterms:W3CDTF">2026-08-07T11:41:03Z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