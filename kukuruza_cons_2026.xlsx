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70.200\плановый отдел\Бюджет 2026\ФАКТ\Производство\"/>
    </mc:Choice>
  </mc:AlternateContent>
  <xr:revisionPtr revIDLastSave="0" documentId="13_ncr:1_{7D1FE643-0010-43B3-8D38-579AF03D5B7C}" xr6:coauthVersionLast="47" xr6:coauthVersionMax="47" xr10:uidLastSave="{00000000-0000-0000-0000-000000000000}"/>
  <bookViews>
    <workbookView xWindow="-120" yWindow="-120" windowWidth="29040" windowHeight="15840" activeTab="1" xr2:uid="{5697CE9D-D76D-4881-B63D-1C855ABBD3CE}"/>
  </bookViews>
  <sheets>
    <sheet name="по сортам" sheetId="4" r:id="rId1"/>
    <sheet name="выработка" sheetId="2" r:id="rId2"/>
    <sheet name="простои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9" i="2" l="1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65" i="2"/>
  <c r="B66" i="2"/>
  <c r="B67" i="2"/>
  <c r="B68" i="2"/>
  <c r="B64" i="2"/>
  <c r="C26" i="2"/>
  <c r="D26" i="2"/>
  <c r="C27" i="2"/>
  <c r="D27" i="2"/>
  <c r="E27" i="2"/>
  <c r="E26" i="2"/>
  <c r="D28" i="2"/>
  <c r="E28" i="2"/>
  <c r="B28" i="2" l="1"/>
  <c r="B27" i="2" s="1"/>
  <c r="B26" i="2"/>
  <c r="A4" i="3"/>
  <c r="A6" i="3" s="1"/>
  <c r="A8" i="3" s="1"/>
  <c r="A10" i="3" s="1"/>
  <c r="A12" i="3" s="1"/>
  <c r="A14" i="3" s="1"/>
  <c r="A16" i="3" s="1"/>
  <c r="A18" i="3" s="1"/>
  <c r="A20" i="3" s="1"/>
  <c r="A22" i="3" s="1"/>
  <c r="A24" i="3" s="1"/>
  <c r="A26" i="3" s="1"/>
  <c r="A28" i="3" s="1"/>
  <c r="A30" i="3" s="1"/>
  <c r="A32" i="3" s="1"/>
  <c r="A34" i="3" s="1"/>
  <c r="A36" i="3" s="1"/>
  <c r="A38" i="3" s="1"/>
  <c r="A40" i="3" s="1"/>
  <c r="A42" i="3" s="1"/>
  <c r="A44" i="3" s="1"/>
  <c r="A46" i="3" s="1"/>
  <c r="A48" i="3" s="1"/>
  <c r="A50" i="3" s="1"/>
  <c r="A52" i="3" s="1"/>
  <c r="A54" i="3" s="1"/>
  <c r="A56" i="3" s="1"/>
  <c r="A58" i="3" s="1"/>
  <c r="A60" i="3" s="1"/>
  <c r="A62" i="3" s="1"/>
  <c r="A64" i="3" s="1"/>
  <c r="A66" i="3" s="1"/>
  <c r="A68" i="3" s="1"/>
  <c r="A70" i="3" s="1"/>
  <c r="A72" i="3" s="1"/>
  <c r="A3" i="3"/>
  <c r="A5" i="3" s="1"/>
  <c r="A7" i="3" s="1"/>
  <c r="A9" i="3" s="1"/>
  <c r="A11" i="3" s="1"/>
  <c r="A13" i="3" s="1"/>
  <c r="A15" i="3" s="1"/>
  <c r="A17" i="3" s="1"/>
  <c r="A19" i="3" s="1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C28" i="2"/>
  <c r="C6" i="2"/>
  <c r="B6" i="2"/>
  <c r="B62" i="4" l="1"/>
  <c r="D5" i="2" s="1"/>
  <c r="C62" i="4"/>
  <c r="D4" i="2" s="1"/>
  <c r="D62" i="4"/>
  <c r="D2" i="2" s="1"/>
  <c r="E62" i="4"/>
  <c r="D3" i="2" s="1"/>
  <c r="D6" i="2" l="1"/>
  <c r="C25" i="2"/>
  <c r="D25" i="2"/>
  <c r="E25" i="2"/>
  <c r="B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Огей Маргарита Викторовна</author>
  </authors>
  <commentList>
    <comment ref="A31" authorId="0" shapeId="0" xr:uid="{953FB75A-8A39-4037-9DFE-15D4983F9ABA}">
      <text>
        <r>
          <rPr>
            <b/>
            <sz val="9"/>
            <color indexed="81"/>
            <rFont val="Tahoma"/>
            <family val="2"/>
            <charset val="204"/>
          </rPr>
          <t>Огей Маргарита Викторовна:</t>
        </r>
        <r>
          <rPr>
            <sz val="9"/>
            <color indexed="81"/>
            <rFont val="Tahoma"/>
            <family val="2"/>
            <charset val="204"/>
          </rPr>
          <t xml:space="preserve">
+1 день, т.к. мобильн отчет не понимает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Огей Маргарита Викторовна</author>
  </authors>
  <commentList>
    <comment ref="A2" authorId="0" shapeId="0" xr:uid="{BBE5C3E6-BA4B-4CA6-A19F-94E821D16263}">
      <text>
        <r>
          <rPr>
            <b/>
            <sz val="9"/>
            <color indexed="81"/>
            <rFont val="Tahoma"/>
            <family val="2"/>
            <charset val="204"/>
          </rPr>
          <t>Огей Маргарита Викторовна:</t>
        </r>
        <r>
          <rPr>
            <sz val="9"/>
            <color indexed="81"/>
            <rFont val="Tahoma"/>
            <family val="2"/>
            <charset val="204"/>
          </rPr>
          <t xml:space="preserve">
+1 день для моб отчета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02BE1F-6EB1-4923-AD41-8C4BE630FB65}" keepAlive="1" name="Запрос — Таблица1" description="Соединение с запросом &quot;Таблица1&quot; в книге." type="5" refreshedVersion="8" background="1">
    <dbPr connection="Provider=Microsoft.Mashup.OleDb.1;Data Source=$Workbook$;Location=Таблица1;Extended Properties=&quot;&quot;" command="SELECT * FROM [Таблица1]"/>
  </connection>
</connections>
</file>

<file path=xl/sharedStrings.xml><?xml version="1.0" encoding="utf-8"?>
<sst xmlns="http://schemas.openxmlformats.org/spreadsheetml/2006/main" count="122" uniqueCount="49">
  <si>
    <t>Дата</t>
  </si>
  <si>
    <t>ПП</t>
  </si>
  <si>
    <t>ВС</t>
  </si>
  <si>
    <t>1с</t>
  </si>
  <si>
    <t>Выработка по дням</t>
  </si>
  <si>
    <t>2026г</t>
  </si>
  <si>
    <t>2025г</t>
  </si>
  <si>
    <t>2024г</t>
  </si>
  <si>
    <t>2023г</t>
  </si>
  <si>
    <t>max выраб.в сутки тыс.шт</t>
  </si>
  <si>
    <t>колич-во раб дней</t>
  </si>
  <si>
    <t>Показатели</t>
  </si>
  <si>
    <t>Сорт</t>
  </si>
  <si>
    <t>2024 г</t>
  </si>
  <si>
    <t>2025 г</t>
  </si>
  <si>
    <t>2026 г</t>
  </si>
  <si>
    <t>среднедевная выраб</t>
  </si>
  <si>
    <t>смена</t>
  </si>
  <si>
    <t>ЛН-1</t>
  </si>
  <si>
    <t>ЛН-2</t>
  </si>
  <si>
    <t>Причины простоев</t>
  </si>
  <si>
    <t>день</t>
  </si>
  <si>
    <t>ночь</t>
  </si>
  <si>
    <t>Настройка линии в потоке.</t>
  </si>
  <si>
    <t>дата</t>
  </si>
  <si>
    <t>Итог</t>
  </si>
  <si>
    <t>БС</t>
  </si>
  <si>
    <t>БС (супер)</t>
  </si>
  <si>
    <t>ПП (супер)</t>
  </si>
  <si>
    <t>Кукуруза итого</t>
  </si>
  <si>
    <t>выработка кукурузы</t>
  </si>
  <si>
    <t>Настройка линии в потоке. Замятие банки в закатке</t>
  </si>
  <si>
    <t>Настройка закатки, наполнение бункеров, подбор скорости, замятие банки в закатке</t>
  </si>
  <si>
    <t>Наполнение бункеров-настройка резок под початок, замятие банки в закатке</t>
  </si>
  <si>
    <t>ЛН1 Мойка, наполнение бункеров после мойки. ЛН2 Наполнение бункеров - настройка синхронизации линии.</t>
  </si>
  <si>
    <t>ЛН1 Замятие банки в закатке - 3 разаОтсутствие сырья на заводе - 35 минОрг простой на первичке - 31 минМойка, наполнение бункеров после мойки. ЛН2 Отсутствие сырья на заводе - 36 минОрг простой на первичке - 31 минЗамятие банки в закатке - 2 разаМойка, наполнение бункеров после мойки.</t>
  </si>
  <si>
    <t>ЛН1 Замятие банки в закатке - 0 разОтсутствие сырья на заводе - 27 минНет подачи банки с депалетайзера - 2 раза - 10 минМойка, наполнение бункеров после мойки. ЛН2 Отсутствие сырья на заводе - 27 минЗамятие банки в закатке - 4 разаНет подачи банки с депалетайзера - 2 раза - 21 минМойка, наполнение бункеров после мойки.</t>
  </si>
  <si>
    <t>ЛН1 Замятие банки в закатке - 3 разаНаполнение бункеров.Мойка, наполнение бункеров после мойки. ЛН2 Замятие банки в закатке - 5 разНаполнение бункеров.Мойка, наполнение бункеров после мойки.</t>
  </si>
  <si>
    <t>ЛН1 Замятие банки в закатке - 0 разНаполнение бункеров.Переход на другой сорт, хозяйство.Мойка с применением моющего, наполнение бункеров после мойки. ЛН2 Замятие банки в закатке - 1 разНаполнение бункеров.Переход на другой сорт, хозяйство.Мойка с применением моющего, наполнение бункеров после мойки.</t>
  </si>
  <si>
    <t>ЛН1 Замятие банки в закатке - 0 разНаполнение бункеров, разрыв в подаче тс.Не запускается каскадная мойка. ЛН2 Замятие банки в закатке - 1 разНаполнение бункеров, разрыв в подаче тс.Не запускается каскадная мойка.</t>
  </si>
  <si>
    <t>ЛН1 Замятие банки в закатке - 2 разаНет сырья, выгрузка, наполнение бункеров - 74 минМойка - 60 минНе запускается вибростол после мойки - 15 минНастройка датчика уровня масла в закатке - 3 раза - 30 мин ЛН2 Замятие банки в закатке - 11 раз - 58 минНет сырья, выгрузка, наполнение бункеров - 105 минМойка - 60 мин</t>
  </si>
  <si>
    <t>ЛН1 Замятие банки в закатке 4 раза - 43 минПоломка тс на эстакаде, замена тс - 7 мин.Обрыв вала на отходном транспортере - 12 минЗасыпало транспортер на каскадную мойку - 17 минСбит барьер на загрузчике корзин - 10 минМойка - 30 минНаполнение после мойки - 7 мин ЛН2 Замятие банки в закатке - 4 раза - 43 минПоломка тс на эстакаде, замена тс - 15 мин.Обрыв вала на отходном транспортере - 10 минЗасыпало транспортер на каскадную мойку - 14 минМойка - 35 минНаполнение после мойки 10 мин</t>
  </si>
  <si>
    <t>ЛН1 Замятие банки в закатке 4 раза - 18 минМойка - 60 минНаполнение после мойки - 10 минНастройка датчика безопасности двери на наполнителе - 23 мин ЛН2 Замятие банки в закатке 3 раза - 14 минЗамена датчика безопасности двери на закаточной машине - 28 минМойка - 80 минНаполнение после мойки 4 мин</t>
  </si>
  <si>
    <t>ЛН1 Замятие банки в закатке 4 раза - 37 минРемонт вибростола - 27 минМойка - 30 минНаполнение после мойки - 10 мин ЛН2 Замятие банки в закатке 6 раза - 34 минМойка - 30 минНаполнение после мойки 6 мин</t>
  </si>
  <si>
    <t>ЛН1 Замятие банки в наполнителе 2 раза - 19 минГенеральная Мойка - 220 мин ЛН2 Замятие банки в закатке 1 раз - 4 минГенеральная Мойка - 250 мин</t>
  </si>
  <si>
    <t>ЛН1 Генеральная Мойка - 360 минНастройка оптического сортировщика - 15 минОтсутствие банки на линии 4 раза - 30 мин ЛН2 Замятие банки в закатке 1 раз - 5 минГенеральная Мойка - 360 минЗапуск линии после генмойки (выгрузка тс, приготовление заливы, анализ, наполнение бункеров) - 25 мин</t>
  </si>
  <si>
    <t>ЛН1 Мойка - 60 минОтсутствие банки на линии 3 раза - 15 мин ЛН2 Замятие банки в закатке 0 раз - 0 минМойка - 60 минОтсутствие банки на линии - 5 мин</t>
  </si>
  <si>
    <t>ЛН1 Мойка - 30 минЗамятие банки в закатке 1 раз, проверка закаточного шва - 10 минНастройка датчика уровня в бункере каскадной мойки - 10 мин ЛН2 Замятие банки в закатке 1 раз - 7 минМойка - 30 минОтсутствие банки на линии - 5 минНастройка датчика уровня в бункере каскадной мойки - 18 минНастройка датчика безопасности - 10 минЗамятие банки в закатке 1 раз, проверка закаточного шва - 10 мин</t>
  </si>
  <si>
    <t>ЛН1 Мойка - 60 минЗамятие банки в закатке -Остановки по наполнению бункеров - выход зерна. ЛН2 Мойка - 60 минЗамятие банки в закатке -Остановки по наполнению бункеров - выход зерна.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</si>
</sst>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dd\ mmm"/>
  </numFmts>
  <fonts count="9" x14ac:knownFonts="1">
    <font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i/>
      <sz val="12"/>
      <color theme="1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2"/>
      <color rgb="FFFF0000"/>
      <name val="Arial"/>
      <family val="2"/>
      <charset val="204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165" fontId="0" fillId="0" borderId="0" xfId="1" applyNumberFormat="1" applyFont="1"/>
    <xf numFmtId="3" fontId="0" fillId="0" borderId="0" xfId="0" applyNumberFormat="1"/>
    <xf numFmtId="0" fontId="2" fillId="0" borderId="0" xfId="0" applyFont="1"/>
    <xf numFmtId="165" fontId="3" fillId="0" borderId="0" xfId="1" applyNumberFormat="1" applyFont="1"/>
    <xf numFmtId="166" fontId="0" fillId="0" borderId="0" xfId="0" applyNumberFormat="1"/>
    <xf numFmtId="0" fontId="2" fillId="0" borderId="1" xfId="0" applyFont="1" applyBorder="1"/>
    <xf numFmtId="0" fontId="0" fillId="0" borderId="1" xfId="0" applyBorder="1"/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/>
    <xf numFmtId="164" fontId="4" fillId="0" borderId="0" xfId="1" applyNumberFormat="1" applyFont="1"/>
    <xf numFmtId="16" fontId="0" fillId="0" borderId="0" xfId="0" applyNumberFormat="1"/>
    <xf numFmtId="14" fontId="0" fillId="0" borderId="0" xfId="0" applyNumberFormat="1"/>
    <xf numFmtId="16" fontId="7" fillId="0" borderId="0" xfId="0" applyNumberFormat="1" applyFont="1"/>
    <xf numFmtId="43" fontId="0" fillId="0" borderId="0" xfId="1" applyFont="1"/>
    <xf numFmtId="165" fontId="0" fillId="0" borderId="0" xfId="0" applyNumberFormat="1"/>
    <xf numFmtId="165" fontId="0" fillId="0" borderId="1" xfId="0" applyNumberFormat="1" applyBorder="1"/>
    <xf numFmtId="165" fontId="8" fillId="0" borderId="0" xfId="1" applyNumberFormat="1" applyFont="1"/>
  </cellXfs>
  <cellStyles count="2">
    <cellStyle name="Обычный" xfId="0" builtinId="0"/>
    <cellStyle name="Финансовый" xfId="1" builtinId="3"/>
  </cellStyles>
  <dxfs count="9"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0059745676444536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180031857197211E-2"/>
          <c:y val="0.19949074074074077"/>
          <c:w val="0.14721450539314371"/>
          <c:h val="0.739406167979002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выработка!$B$1</c:f>
              <c:strCache>
                <c:ptCount val="1"/>
                <c:pt idx="0">
                  <c:v>2024 г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C67-411C-B6DC-187F491D73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выработка!$A$2:$A$6</c:f>
              <c:strCache>
                <c:ptCount val="5"/>
                <c:pt idx="0">
                  <c:v>ВС</c:v>
                </c:pt>
                <c:pt idx="1">
                  <c:v>1с</c:v>
                </c:pt>
                <c:pt idx="2">
                  <c:v>БС (супер)</c:v>
                </c:pt>
                <c:pt idx="3">
                  <c:v>ПП (супер)</c:v>
                </c:pt>
                <c:pt idx="4">
                  <c:v>Кукуруза итого</c:v>
                </c:pt>
              </c:strCache>
            </c:strRef>
          </c:cat>
          <c:val>
            <c:numRef>
              <c:f>выработка!$B$2:$B$6</c:f>
              <c:numCache>
                <c:formatCode>_-* #\ ##0_-;\-* #\ ##0_-;_-* "-"??_-;_-@_-</c:formatCode>
                <c:ptCount val="5"/>
                <c:pt idx="0">
                  <c:v>13049.448</c:v>
                </c:pt>
                <c:pt idx="1">
                  <c:v>12629.880999999999</c:v>
                </c:pt>
                <c:pt idx="2">
                  <c:v>4184.7439999999997</c:v>
                </c:pt>
                <c:pt idx="3">
                  <c:v>0</c:v>
                </c:pt>
                <c:pt idx="4">
                  <c:v>29864.072999999997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7-411C-B6DC-187F491D7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798901952"/>
        <c:axId val="1424024448"/>
      </c:barChart>
      <c:catAx>
        <c:axId val="1798901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4024448"/>
        <c:crosses val="autoZero"/>
        <c:auto val="1"/>
        <c:lblAlgn val="ctr"/>
        <c:lblOffset val="100"/>
        <c:noMultiLvlLbl val="0"/>
      </c:catAx>
      <c:valAx>
        <c:axId val="1424024448"/>
        <c:scaling>
          <c:orientation val="minMax"/>
          <c:max val="30000"/>
        </c:scaling>
        <c:delete val="1"/>
        <c:axPos val="b"/>
        <c:numFmt formatCode="_-* #\ ##0_-;\-* #\ ##0_-;_-* &quot;-&quot;??_-;_-@_-" sourceLinked="1"/>
        <c:majorTickMark val="none"/>
        <c:minorTickMark val="none"/>
        <c:tickLblPos val="nextTo"/>
        <c:crossAx val="179890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выработка!$C$1</c:f>
              <c:strCache>
                <c:ptCount val="1"/>
                <c:pt idx="0">
                  <c:v>2025 г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22D-4D4A-A926-863BF5A4E2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выработка!$A$2:$A$6</c:f>
              <c:strCache>
                <c:ptCount val="5"/>
                <c:pt idx="0">
                  <c:v>ВС</c:v>
                </c:pt>
                <c:pt idx="1">
                  <c:v>1с</c:v>
                </c:pt>
                <c:pt idx="2">
                  <c:v>БС (супер)</c:v>
                </c:pt>
                <c:pt idx="3">
                  <c:v>ПП (супер)</c:v>
                </c:pt>
                <c:pt idx="4">
                  <c:v>Кукуруза итого</c:v>
                </c:pt>
              </c:strCache>
            </c:strRef>
          </c:cat>
          <c:val>
            <c:numRef>
              <c:f>выработка!$C$2:$C$6</c:f>
              <c:numCache>
                <c:formatCode>_-* #\ ##0_-;\-* #\ ##0_-;_-* "-"??_-;_-@_-</c:formatCode>
                <c:ptCount val="5"/>
                <c:pt idx="0">
                  <c:v>15920.810000000007</c:v>
                </c:pt>
                <c:pt idx="1">
                  <c:v>17245.884999999998</c:v>
                </c:pt>
                <c:pt idx="2">
                  <c:v>9825.9359999999997</c:v>
                </c:pt>
                <c:pt idx="3">
                  <c:v>189.32300000000001</c:v>
                </c:pt>
                <c:pt idx="4">
                  <c:v>43181.954000000005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D-4D4A-A926-863BF5A4E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798891280"/>
        <c:axId val="1839463424"/>
      </c:barChart>
      <c:catAx>
        <c:axId val="1798891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9463424"/>
        <c:crosses val="autoZero"/>
        <c:auto val="1"/>
        <c:lblAlgn val="ctr"/>
        <c:lblOffset val="100"/>
        <c:noMultiLvlLbl val="0"/>
      </c:catAx>
      <c:valAx>
        <c:axId val="1839463424"/>
        <c:scaling>
          <c:orientation val="minMax"/>
        </c:scaling>
        <c:delete val="1"/>
        <c:axPos val="b"/>
        <c:numFmt formatCode="_-* #\ ##0_-;\-* #\ ##0_-;_-* &quot;-&quot;??_-;_-@_-" sourceLinked="1"/>
        <c:majorTickMark val="none"/>
        <c:minorTickMark val="none"/>
        <c:tickLblPos val="nextTo"/>
        <c:crossAx val="179889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32958200472874777"/>
          <c:y val="0.17171296296296296"/>
          <c:w val="0.52204395114817292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выработка!$D$1</c:f>
              <c:strCache>
                <c:ptCount val="1"/>
                <c:pt idx="0">
                  <c:v>2026 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222-4671-8ADD-DB7A9B484E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выработка!$A$2:$A$6</c:f>
              <c:strCache>
                <c:ptCount val="5"/>
                <c:pt idx="0">
                  <c:v>ВС</c:v>
                </c:pt>
                <c:pt idx="1">
                  <c:v>1с</c:v>
                </c:pt>
                <c:pt idx="2">
                  <c:v>БС (супер)</c:v>
                </c:pt>
                <c:pt idx="3">
                  <c:v>ПП (супер)</c:v>
                </c:pt>
                <c:pt idx="4">
                  <c:v>Кукуруза итого</c:v>
                </c:pt>
              </c:strCache>
            </c:strRef>
          </c:cat>
          <c:val>
            <c:numRef>
              <c:f>выработка!$D$2:$D$6</c:f>
              <c:numCache>
                <c:formatCode>_-* #\ ##0_-;\-* #\ ##0_-;_-* "-"??_-;_-@_-</c:formatCode>
                <c:ptCount val="5"/>
                <c:pt idx="0">
                  <c:v>3702.6719999999996</c:v>
                </c:pt>
                <c:pt idx="1">
                  <c:v>371.86199999999997</c:v>
                </c:pt>
                <c:pt idx="2">
                  <c:v>3063.8619999999996</c:v>
                </c:pt>
                <c:pt idx="3">
                  <c:v>138.72399999999999</c:v>
                </c:pt>
                <c:pt idx="4">
                  <c:v>7277.119999999999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2-4671-8ADD-DB7A9B484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90173840"/>
        <c:axId val="1424001408"/>
      </c:barChart>
      <c:catAx>
        <c:axId val="159017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4001408"/>
        <c:crosses val="autoZero"/>
        <c:auto val="1"/>
        <c:lblAlgn val="ctr"/>
        <c:lblOffset val="100"/>
        <c:noMultiLvlLbl val="0"/>
      </c:catAx>
      <c:valAx>
        <c:axId val="1424001408"/>
        <c:scaling>
          <c:orientation val="minMax"/>
        </c:scaling>
        <c:delete val="1"/>
        <c:axPos val="b"/>
        <c:numFmt formatCode="_-* #\ ##0_-;\-* #\ ##0_-;_-* &quot;-&quot;??_-;_-@_-" sourceLinked="1"/>
        <c:majorTickMark val="none"/>
        <c:minorTickMark val="none"/>
        <c:tickLblPos val="nextTo"/>
        <c:crossAx val="159017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8</xdr:row>
      <xdr:rowOff>28575</xdr:rowOff>
    </xdr:from>
    <xdr:to>
      <xdr:col>10</xdr:col>
      <xdr:colOff>390524</xdr:colOff>
      <xdr:row>22</xdr:row>
      <xdr:rowOff>104775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D245A39-F3D3-2E1F-A023-D98968B116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457200</xdr:colOff>
      <xdr:row>8</xdr:row>
      <xdr:rowOff>114300</xdr:rowOff>
    </xdr:from>
    <xdr:to>
      <xdr:col>6</xdr:col>
      <xdr:colOff>19050</xdr:colOff>
      <xdr:row>23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ECD7765-E9C0-11FC-7D76-58A17A2BD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142874</xdr:colOff>
      <xdr:row>8</xdr:row>
      <xdr:rowOff>104775</xdr:rowOff>
    </xdr:from>
    <xdr:to>
      <xdr:col>9</xdr:col>
      <xdr:colOff>438149</xdr:colOff>
      <xdr:row>22</xdr:row>
      <xdr:rowOff>180975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A4D48F5-206A-96CA-DF64-F9D26B88B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F3386E-9349-4B3B-B815-A437F9C3859D}" name="Таблица1" displayName="Таблица1" ref="A2:E62" totalsRowCount="1" dataDxfId="8" dataCellStyle="Финансовый">
  <autoFilter ref="A2:E61" xr:uid="{CC67A8DA-DBFB-43C0-8900-676BBC878AE6}"/>
  <tableColumns count="5">
    <tableColumn id="1" xr3:uid="{8B598E4C-DCB7-42B6-9D6E-C26247882C0A}" name="дата" totalsRowLabel="Итог"/>
    <tableColumn id="2" xr3:uid="{7694225F-16F3-4E2E-AF38-D265664E6355}" name="ПП" totalsRowFunction="sum" dataDxfId="7" totalsRowDxfId="3" dataCellStyle="Финансовый"/>
    <tableColumn id="3" xr3:uid="{6E3158F9-E622-4FBA-9846-124B91BC42A4}" name="БС" totalsRowFunction="sum" dataDxfId="6" totalsRowDxfId="2" dataCellStyle="Финансовый"/>
    <tableColumn id="4" xr3:uid="{0C8A819C-FFD4-420E-9429-4B56C09E75AE}" name="ВС" totalsRowFunction="sum" dataDxfId="5" totalsRowDxfId="1" dataCellStyle="Финансовый"/>
    <tableColumn id="5" xr3:uid="{DB5157D5-F899-48D1-BABF-873C15367755}" name="1с" totalsRowFunction="sum" dataDxfId="4" totalsRowDxfId="0" dataCellStyle="Финансовы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CF0E-262F-4A1F-9C13-1E556A484256}">
  <dimension ref="A1:F141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15" sqref="D15"/>
    </sheetView>
  </sheetViews>
  <sheetFormatPr defaultColWidth="13.44140625" defaultRowHeight="15" x14ac:dyDescent="0.2"/>
  <cols>
    <col min="6" max="6" width="13.44140625" style="1"/>
  </cols>
  <sheetData>
    <row r="1" spans="1:5" x14ac:dyDescent="0.2">
      <c r="A1" t="s">
        <v>30</v>
      </c>
    </row>
    <row r="2" spans="1:5" x14ac:dyDescent="0.2">
      <c r="A2" t="s">
        <v>24</v>
      </c>
      <c r="B2" t="s">
        <v>1</v>
      </c>
      <c r="C2" t="s">
        <v>26</v>
      </c>
      <c r="D2" t="s">
        <v>2</v>
      </c>
      <c r="E2" t="s">
        <v>3</v>
      </c>
    </row>
    <row r="3" spans="1:5" x14ac:dyDescent="0.2">
      <c r="A3" s="13">
        <v>46235</v>
      </c>
      <c r="B3" s="1"/>
      <c r="C3" s="1"/>
      <c r="D3" s="1"/>
      <c r="E3" s="1"/>
    </row>
    <row r="4" spans="1:5" x14ac:dyDescent="0.2">
      <c r="A4" s="13">
        <v>46236</v>
      </c>
      <c r="B4" s="1"/>
      <c r="C4" s="1"/>
      <c r="D4" s="1"/>
      <c r="E4" s="1"/>
    </row>
    <row r="5" spans="1:5" x14ac:dyDescent="0.2">
      <c r="A5" s="13">
        <v>46237</v>
      </c>
      <c r="B5" s="1"/>
      <c r="C5" s="1">
        <v>388.57799999999997</v>
      </c>
      <c r="D5" s="1"/>
      <c r="E5" s="1"/>
    </row>
    <row r="6" spans="1:5" x14ac:dyDescent="0.2">
      <c r="A6" s="13">
        <v>46238</v>
      </c>
      <c r="B6" s="1">
        <v>138.72399999999999</v>
      </c>
      <c r="C6" s="1">
        <v>569.03599999999994</v>
      </c>
      <c r="D6" s="1"/>
      <c r="E6" s="1"/>
    </row>
    <row r="7" spans="1:5" x14ac:dyDescent="0.2">
      <c r="A7" s="13">
        <v>46239</v>
      </c>
      <c r="B7" s="1"/>
      <c r="C7" s="1">
        <v>825.10799999999995</v>
      </c>
      <c r="D7" s="1"/>
      <c r="E7" s="1"/>
    </row>
    <row r="8" spans="1:5" x14ac:dyDescent="0.2">
      <c r="A8" s="13">
        <v>46240</v>
      </c>
      <c r="B8" s="1"/>
      <c r="C8" s="1">
        <v>767.654</v>
      </c>
      <c r="D8" s="1"/>
      <c r="E8" s="1"/>
    </row>
    <row r="9" spans="1:5" x14ac:dyDescent="0.2">
      <c r="A9" s="13">
        <v>46241</v>
      </c>
      <c r="B9" s="1"/>
      <c r="C9" s="1">
        <v>513.48599999999999</v>
      </c>
      <c r="D9" s="1">
        <v>88.721000000000004</v>
      </c>
      <c r="E9" s="1"/>
    </row>
    <row r="10" spans="1:5" x14ac:dyDescent="0.2">
      <c r="A10" s="13">
        <v>46242</v>
      </c>
      <c r="B10" s="1"/>
      <c r="C10" s="1"/>
      <c r="D10" s="1">
        <v>733.01900000000001</v>
      </c>
      <c r="E10" s="1"/>
    </row>
    <row r="11" spans="1:5" x14ac:dyDescent="0.2">
      <c r="A11" s="13">
        <v>46243</v>
      </c>
      <c r="B11" s="1"/>
      <c r="C11" s="1"/>
      <c r="D11" s="1">
        <v>658.79600000000005</v>
      </c>
      <c r="E11" s="1">
        <v>224.494</v>
      </c>
    </row>
    <row r="12" spans="1:5" x14ac:dyDescent="0.2">
      <c r="A12" s="13">
        <v>46244</v>
      </c>
      <c r="B12" s="1"/>
      <c r="C12" s="1"/>
      <c r="D12" s="1">
        <v>626.20000000000005</v>
      </c>
      <c r="E12" s="1">
        <v>147.36799999999999</v>
      </c>
    </row>
    <row r="13" spans="1:5" x14ac:dyDescent="0.2">
      <c r="A13" s="13">
        <v>46245</v>
      </c>
      <c r="B13" s="1"/>
      <c r="C13" s="1"/>
      <c r="D13" s="1">
        <v>695.96799999999996</v>
      </c>
      <c r="E13" s="1"/>
    </row>
    <row r="14" spans="1:5" x14ac:dyDescent="0.2">
      <c r="A14" s="13">
        <v>46246</v>
      </c>
      <c r="B14" s="1"/>
      <c r="C14" s="1"/>
      <c r="D14" s="1">
        <v>899.96799999999996</v>
      </c>
      <c r="E14" s="1"/>
    </row>
    <row r="15" spans="1:5" x14ac:dyDescent="0.2">
      <c r="A15" s="13">
        <v>46247</v>
      </c>
      <c r="B15" s="1"/>
      <c r="C15" s="1"/>
      <c r="D15" s="1"/>
      <c r="E15" s="1"/>
    </row>
    <row r="16" spans="1:5" x14ac:dyDescent="0.2">
      <c r="A16" s="13">
        <v>46248</v>
      </c>
      <c r="B16" s="1"/>
      <c r="C16" s="1"/>
      <c r="D16" s="1"/>
      <c r="E16" s="1"/>
    </row>
    <row r="17" spans="1:5" x14ac:dyDescent="0.2">
      <c r="A17" s="13">
        <v>46249</v>
      </c>
      <c r="B17" s="1"/>
      <c r="C17" s="1"/>
      <c r="D17" s="1"/>
      <c r="E17" s="1"/>
    </row>
    <row r="18" spans="1:5" x14ac:dyDescent="0.2">
      <c r="A18" s="13">
        <v>46250</v>
      </c>
      <c r="B18" s="1"/>
      <c r="C18" s="1"/>
      <c r="D18" s="1"/>
      <c r="E18" s="1"/>
    </row>
    <row r="19" spans="1:5" x14ac:dyDescent="0.2">
      <c r="A19" s="13">
        <v>46251</v>
      </c>
      <c r="B19" s="1"/>
      <c r="C19" s="1"/>
      <c r="D19" s="1"/>
      <c r="E19" s="1"/>
    </row>
    <row r="20" spans="1:5" x14ac:dyDescent="0.2">
      <c r="A20" s="13">
        <v>46252</v>
      </c>
      <c r="B20" s="1"/>
      <c r="C20" s="1"/>
      <c r="D20" s="1"/>
      <c r="E20" s="1"/>
    </row>
    <row r="21" spans="1:5" x14ac:dyDescent="0.2">
      <c r="A21" s="13">
        <v>46253</v>
      </c>
      <c r="B21" s="1"/>
      <c r="C21" s="1"/>
      <c r="D21" s="1"/>
      <c r="E21" s="1"/>
    </row>
    <row r="22" spans="1:5" x14ac:dyDescent="0.2">
      <c r="A22" s="13">
        <v>46254</v>
      </c>
      <c r="B22" s="1"/>
      <c r="C22" s="1"/>
      <c r="D22" s="1"/>
      <c r="E22" s="1"/>
    </row>
    <row r="23" spans="1:5" x14ac:dyDescent="0.2">
      <c r="A23" s="13">
        <v>46255</v>
      </c>
      <c r="B23" s="1"/>
      <c r="C23" s="1"/>
      <c r="D23" s="1"/>
      <c r="E23" s="1"/>
    </row>
    <row r="24" spans="1:5" x14ac:dyDescent="0.2">
      <c r="A24" s="13">
        <v>46256</v>
      </c>
      <c r="B24" s="1"/>
      <c r="C24" s="1"/>
      <c r="D24" s="1"/>
      <c r="E24" s="1"/>
    </row>
    <row r="25" spans="1:5" x14ac:dyDescent="0.2">
      <c r="A25" s="13">
        <v>46257</v>
      </c>
      <c r="B25" s="1"/>
      <c r="C25" s="1"/>
      <c r="D25" s="1"/>
      <c r="E25" s="1"/>
    </row>
    <row r="26" spans="1:5" x14ac:dyDescent="0.2">
      <c r="A26" s="13">
        <v>46258</v>
      </c>
      <c r="B26" s="1"/>
      <c r="C26" s="1"/>
      <c r="D26" s="1"/>
      <c r="E26" s="1"/>
    </row>
    <row r="27" spans="1:5" x14ac:dyDescent="0.2">
      <c r="A27" s="13">
        <v>46259</v>
      </c>
      <c r="B27" s="1"/>
      <c r="C27" s="1"/>
      <c r="D27" s="1"/>
      <c r="E27" s="1"/>
    </row>
    <row r="28" spans="1:5" x14ac:dyDescent="0.2">
      <c r="A28" s="13">
        <v>46260</v>
      </c>
      <c r="B28" s="1"/>
      <c r="C28" s="1"/>
      <c r="D28" s="1"/>
      <c r="E28" s="1"/>
    </row>
    <row r="29" spans="1:5" x14ac:dyDescent="0.2">
      <c r="A29" s="13">
        <v>46261</v>
      </c>
      <c r="B29" s="1"/>
      <c r="C29" s="1"/>
      <c r="D29" s="1"/>
      <c r="E29" s="1"/>
    </row>
    <row r="30" spans="1:5" x14ac:dyDescent="0.2">
      <c r="A30" s="13">
        <v>46262</v>
      </c>
      <c r="B30" s="1"/>
      <c r="C30" s="1"/>
      <c r="D30" s="1"/>
      <c r="E30" s="1"/>
    </row>
    <row r="31" spans="1:5" x14ac:dyDescent="0.2">
      <c r="A31" s="13">
        <v>46263</v>
      </c>
      <c r="B31" s="1"/>
      <c r="C31" s="1"/>
      <c r="D31" s="1"/>
      <c r="E31" s="1"/>
    </row>
    <row r="32" spans="1:5" x14ac:dyDescent="0.2">
      <c r="A32" s="13">
        <v>46264</v>
      </c>
      <c r="B32" s="1"/>
      <c r="C32" s="1"/>
      <c r="D32" s="1"/>
      <c r="E32" s="1"/>
    </row>
    <row r="33" spans="1:5" x14ac:dyDescent="0.2">
      <c r="A33" s="13">
        <v>46265</v>
      </c>
      <c r="B33" s="1"/>
      <c r="C33" s="1"/>
      <c r="D33" s="1"/>
      <c r="E33" s="1"/>
    </row>
    <row r="34" spans="1:5" x14ac:dyDescent="0.2">
      <c r="A34" s="13">
        <v>46266</v>
      </c>
      <c r="B34" s="1"/>
      <c r="C34" s="1"/>
      <c r="D34" s="1"/>
      <c r="E34" s="1"/>
    </row>
    <row r="35" spans="1:5" x14ac:dyDescent="0.2">
      <c r="A35" s="13">
        <v>46267</v>
      </c>
      <c r="B35" s="1"/>
      <c r="C35" s="1"/>
      <c r="D35" s="1"/>
      <c r="E35" s="1"/>
    </row>
    <row r="36" spans="1:5" x14ac:dyDescent="0.2">
      <c r="A36" s="13">
        <v>46268</v>
      </c>
      <c r="B36" s="1"/>
      <c r="C36" s="1"/>
      <c r="D36" s="1"/>
      <c r="E36" s="1"/>
    </row>
    <row r="37" spans="1:5" x14ac:dyDescent="0.2">
      <c r="A37" s="13">
        <v>46269</v>
      </c>
      <c r="B37" s="1"/>
      <c r="C37" s="1"/>
      <c r="D37" s="1"/>
      <c r="E37" s="1"/>
    </row>
    <row r="38" spans="1:5" x14ac:dyDescent="0.2">
      <c r="A38" s="13">
        <v>46270</v>
      </c>
      <c r="B38" s="1"/>
      <c r="C38" s="1"/>
      <c r="D38" s="1"/>
      <c r="E38" s="1"/>
    </row>
    <row r="39" spans="1:5" x14ac:dyDescent="0.2">
      <c r="A39" s="13">
        <v>46271</v>
      </c>
      <c r="B39" s="1"/>
      <c r="C39" s="1"/>
      <c r="D39" s="1"/>
      <c r="E39" s="1"/>
    </row>
    <row r="40" spans="1:5" x14ac:dyDescent="0.2">
      <c r="A40" s="13">
        <v>46272</v>
      </c>
      <c r="B40" s="1"/>
      <c r="C40" s="1"/>
      <c r="D40" s="1"/>
      <c r="E40" s="1"/>
    </row>
    <row r="41" spans="1:5" x14ac:dyDescent="0.2">
      <c r="A41" s="13">
        <v>46273</v>
      </c>
      <c r="B41" s="1"/>
      <c r="C41" s="1"/>
      <c r="D41" s="1"/>
      <c r="E41" s="1"/>
    </row>
    <row r="42" spans="1:5" x14ac:dyDescent="0.2">
      <c r="A42" s="13">
        <v>46274</v>
      </c>
      <c r="B42" s="1"/>
      <c r="C42" s="1"/>
      <c r="D42" s="1"/>
      <c r="E42" s="1"/>
    </row>
    <row r="43" spans="1:5" x14ac:dyDescent="0.2">
      <c r="A43" s="13">
        <v>46275</v>
      </c>
      <c r="B43" s="1"/>
      <c r="C43" s="1"/>
      <c r="D43" s="1"/>
      <c r="E43" s="1"/>
    </row>
    <row r="44" spans="1:5" x14ac:dyDescent="0.2">
      <c r="A44" s="13">
        <v>46276</v>
      </c>
      <c r="B44" s="1"/>
      <c r="C44" s="1"/>
      <c r="D44" s="1"/>
      <c r="E44" s="1"/>
    </row>
    <row r="45" spans="1:5" x14ac:dyDescent="0.2">
      <c r="A45" s="13">
        <v>46277</v>
      </c>
      <c r="B45" s="1"/>
      <c r="C45" s="1"/>
      <c r="D45" s="1"/>
      <c r="E45" s="1"/>
    </row>
    <row r="46" spans="1:5" x14ac:dyDescent="0.2">
      <c r="A46" s="13">
        <v>46278</v>
      </c>
      <c r="B46" s="1"/>
      <c r="C46" s="1"/>
      <c r="D46" s="1"/>
      <c r="E46" s="1"/>
    </row>
    <row r="47" spans="1:5" x14ac:dyDescent="0.2">
      <c r="A47" s="13">
        <v>46279</v>
      </c>
      <c r="B47" s="1"/>
      <c r="C47" s="1"/>
      <c r="D47" s="1"/>
      <c r="E47" s="1"/>
    </row>
    <row r="48" spans="1:5" x14ac:dyDescent="0.2">
      <c r="A48" s="13">
        <v>46280</v>
      </c>
      <c r="B48" s="1"/>
      <c r="C48" s="1"/>
      <c r="D48" s="1"/>
      <c r="E48" s="1"/>
    </row>
    <row r="49" spans="1:5" x14ac:dyDescent="0.2">
      <c r="A49" s="13">
        <v>46281</v>
      </c>
      <c r="B49" s="1"/>
      <c r="C49" s="1"/>
      <c r="D49" s="1"/>
      <c r="E49" s="1"/>
    </row>
    <row r="50" spans="1:5" x14ac:dyDescent="0.2">
      <c r="A50" s="13">
        <v>46282</v>
      </c>
      <c r="B50" s="1"/>
      <c r="C50" s="1"/>
      <c r="D50" s="1"/>
      <c r="E50" s="1"/>
    </row>
    <row r="51" spans="1:5" x14ac:dyDescent="0.2">
      <c r="A51" s="13">
        <v>46283</v>
      </c>
      <c r="B51" s="1"/>
      <c r="C51" s="1"/>
      <c r="D51" s="1"/>
      <c r="E51" s="1"/>
    </row>
    <row r="52" spans="1:5" x14ac:dyDescent="0.2">
      <c r="A52" s="13">
        <v>46284</v>
      </c>
      <c r="B52" s="1"/>
      <c r="C52" s="1"/>
      <c r="D52" s="1"/>
      <c r="E52" s="1"/>
    </row>
    <row r="53" spans="1:5" x14ac:dyDescent="0.2">
      <c r="A53" s="13">
        <v>46285</v>
      </c>
      <c r="B53" s="1"/>
      <c r="C53" s="1"/>
      <c r="D53" s="1"/>
      <c r="E53" s="1"/>
    </row>
    <row r="54" spans="1:5" x14ac:dyDescent="0.2">
      <c r="A54" s="13">
        <v>46286</v>
      </c>
      <c r="B54" s="1"/>
      <c r="C54" s="1"/>
      <c r="D54" s="1"/>
      <c r="E54" s="1"/>
    </row>
    <row r="55" spans="1:5" x14ac:dyDescent="0.2">
      <c r="A55" s="13">
        <v>46287</v>
      </c>
      <c r="B55" s="1"/>
      <c r="C55" s="1"/>
      <c r="D55" s="1"/>
      <c r="E55" s="1"/>
    </row>
    <row r="56" spans="1:5" x14ac:dyDescent="0.2">
      <c r="A56" s="13">
        <v>46288</v>
      </c>
      <c r="B56" s="1"/>
      <c r="C56" s="1"/>
      <c r="D56" s="1"/>
      <c r="E56" s="1"/>
    </row>
    <row r="57" spans="1:5" x14ac:dyDescent="0.2">
      <c r="A57" s="13">
        <v>46289</v>
      </c>
      <c r="B57" s="1"/>
      <c r="C57" s="1"/>
      <c r="D57" s="1"/>
      <c r="E57" s="1"/>
    </row>
    <row r="58" spans="1:5" x14ac:dyDescent="0.2">
      <c r="A58" s="13">
        <v>46290</v>
      </c>
      <c r="B58" s="1"/>
      <c r="C58" s="1"/>
      <c r="D58" s="1"/>
      <c r="E58" s="1"/>
    </row>
    <row r="59" spans="1:5" x14ac:dyDescent="0.2">
      <c r="A59" s="13">
        <v>46291</v>
      </c>
      <c r="B59" s="1"/>
      <c r="C59" s="1"/>
      <c r="D59" s="1"/>
      <c r="E59" s="1"/>
    </row>
    <row r="60" spans="1:5" x14ac:dyDescent="0.2">
      <c r="A60" s="13">
        <v>46292</v>
      </c>
      <c r="B60" s="1"/>
      <c r="C60" s="1"/>
      <c r="D60" s="1"/>
      <c r="E60" s="1"/>
    </row>
    <row r="61" spans="1:5" x14ac:dyDescent="0.2">
      <c r="A61" s="13">
        <v>46293</v>
      </c>
      <c r="B61" s="1"/>
      <c r="C61" s="1"/>
      <c r="D61" s="1"/>
      <c r="E61" s="1"/>
    </row>
    <row r="62" spans="1:5" x14ac:dyDescent="0.2">
      <c r="A62" t="s">
        <v>25</v>
      </c>
      <c r="B62" s="16">
        <f>SUBTOTAL(109,Таблица1[ПП])</f>
        <v>138.72399999999999</v>
      </c>
      <c r="C62" s="16">
        <f>SUBTOTAL(109,Таблица1[БС])</f>
        <v>3063.8619999999996</v>
      </c>
      <c r="D62" s="16">
        <f>SUBTOTAL(109,Таблица1[ВС])</f>
        <v>3702.6719999999996</v>
      </c>
      <c r="E62" s="16">
        <f>SUBTOTAL(109,Таблица1[1с])</f>
        <v>371.86199999999997</v>
      </c>
    </row>
    <row r="63" spans="1:5" x14ac:dyDescent="0.2">
      <c r="A63" s="13"/>
      <c r="B63" s="1"/>
      <c r="C63" s="1"/>
      <c r="D63" s="1"/>
      <c r="E63" s="1"/>
    </row>
    <row r="64" spans="1:5" x14ac:dyDescent="0.2">
      <c r="A64" s="13"/>
      <c r="B64" s="1"/>
      <c r="C64" s="1"/>
      <c r="D64" s="1"/>
      <c r="E64" s="1"/>
    </row>
    <row r="65" spans="1:5" x14ac:dyDescent="0.2">
      <c r="A65" s="13"/>
      <c r="B65" s="1"/>
      <c r="C65" s="1"/>
      <c r="D65" s="1"/>
      <c r="E65" s="1"/>
    </row>
    <row r="66" spans="1:5" x14ac:dyDescent="0.2">
      <c r="A66" s="13"/>
      <c r="B66" s="1"/>
      <c r="C66" s="1"/>
      <c r="D66" s="1"/>
      <c r="E66" s="1"/>
    </row>
    <row r="67" spans="1:5" x14ac:dyDescent="0.2">
      <c r="A67" s="13"/>
      <c r="B67" s="1"/>
      <c r="C67" s="1"/>
      <c r="D67" s="1"/>
      <c r="E67" s="1"/>
    </row>
    <row r="68" spans="1:5" x14ac:dyDescent="0.2">
      <c r="A68" s="13"/>
      <c r="B68" s="1"/>
      <c r="C68" s="1"/>
      <c r="D68" s="1"/>
      <c r="E68" s="1"/>
    </row>
    <row r="69" spans="1:5" x14ac:dyDescent="0.2">
      <c r="A69" s="13"/>
      <c r="B69" s="1"/>
      <c r="C69" s="1"/>
      <c r="D69" s="1"/>
      <c r="E69" s="1"/>
    </row>
    <row r="70" spans="1:5" x14ac:dyDescent="0.2">
      <c r="A70" s="13"/>
      <c r="B70" s="1"/>
      <c r="C70" s="1"/>
      <c r="D70" s="1"/>
      <c r="E70" s="1"/>
    </row>
    <row r="71" spans="1:5" x14ac:dyDescent="0.2">
      <c r="A71" s="13"/>
      <c r="B71" s="1"/>
      <c r="C71" s="1"/>
      <c r="D71" s="1"/>
      <c r="E71" s="1"/>
    </row>
    <row r="72" spans="1:5" x14ac:dyDescent="0.2">
      <c r="A72" s="13"/>
      <c r="B72" s="1"/>
      <c r="C72" s="1"/>
      <c r="D72" s="1"/>
      <c r="E72" s="1"/>
    </row>
    <row r="73" spans="1:5" x14ac:dyDescent="0.2">
      <c r="A73" s="13"/>
      <c r="B73" s="1"/>
      <c r="C73" s="1"/>
      <c r="D73" s="1"/>
      <c r="E73" s="1"/>
    </row>
    <row r="74" spans="1:5" x14ac:dyDescent="0.2">
      <c r="A74" s="13"/>
      <c r="B74" s="1"/>
      <c r="C74" s="1"/>
      <c r="D74" s="1"/>
      <c r="E74" s="1"/>
    </row>
    <row r="75" spans="1:5" x14ac:dyDescent="0.2">
      <c r="A75" s="13"/>
      <c r="B75" s="1"/>
      <c r="C75" s="1"/>
      <c r="D75" s="1"/>
      <c r="E75" s="1"/>
    </row>
    <row r="76" spans="1:5" x14ac:dyDescent="0.2">
      <c r="A76" s="13"/>
      <c r="B76" s="1"/>
      <c r="C76" s="1"/>
      <c r="D76" s="1"/>
      <c r="E76" s="1"/>
    </row>
    <row r="77" spans="1:5" x14ac:dyDescent="0.2">
      <c r="A77" s="13"/>
      <c r="B77" s="1"/>
      <c r="C77" s="1"/>
      <c r="D77" s="1"/>
      <c r="E77" s="1"/>
    </row>
    <row r="78" spans="1:5" x14ac:dyDescent="0.2">
      <c r="A78" s="13"/>
      <c r="B78" s="1"/>
      <c r="C78" s="1"/>
      <c r="D78" s="1"/>
      <c r="E78" s="1"/>
    </row>
    <row r="79" spans="1:5" x14ac:dyDescent="0.2">
      <c r="A79" s="13"/>
      <c r="B79" s="1"/>
      <c r="C79" s="1"/>
      <c r="D79" s="1"/>
      <c r="E79" s="1"/>
    </row>
    <row r="80" spans="1:5" x14ac:dyDescent="0.2">
      <c r="A80" s="13"/>
      <c r="B80" s="1"/>
      <c r="C80" s="1"/>
      <c r="D80" s="1"/>
      <c r="E80" s="1"/>
    </row>
    <row r="81" spans="1:5" x14ac:dyDescent="0.2">
      <c r="A81" s="13"/>
      <c r="B81" s="1"/>
      <c r="C81" s="1"/>
      <c r="D81" s="1"/>
      <c r="E81" s="1"/>
    </row>
    <row r="82" spans="1:5" x14ac:dyDescent="0.2">
      <c r="A82" s="13"/>
      <c r="B82" s="1"/>
      <c r="C82" s="1"/>
      <c r="D82" s="1"/>
      <c r="E82" s="1"/>
    </row>
    <row r="83" spans="1:5" x14ac:dyDescent="0.2">
      <c r="A83" s="13"/>
      <c r="B83" s="1"/>
      <c r="C83" s="1"/>
      <c r="D83" s="1"/>
      <c r="E83" s="1"/>
    </row>
    <row r="84" spans="1:5" x14ac:dyDescent="0.2">
      <c r="A84" s="13"/>
      <c r="B84" s="1"/>
      <c r="C84" s="1"/>
      <c r="D84" s="1"/>
      <c r="E84" s="1"/>
    </row>
    <row r="85" spans="1:5" x14ac:dyDescent="0.2">
      <c r="A85" s="13"/>
      <c r="B85" s="1"/>
      <c r="C85" s="1"/>
      <c r="D85" s="1"/>
      <c r="E85" s="1"/>
    </row>
    <row r="86" spans="1:5" x14ac:dyDescent="0.2">
      <c r="A86" s="13"/>
      <c r="B86" s="1"/>
      <c r="C86" s="1"/>
      <c r="D86" s="1"/>
      <c r="E86" s="1"/>
    </row>
    <row r="87" spans="1:5" x14ac:dyDescent="0.2">
      <c r="A87" s="13"/>
      <c r="B87" s="1"/>
      <c r="C87" s="1"/>
      <c r="D87" s="1"/>
      <c r="E87" s="1"/>
    </row>
    <row r="88" spans="1:5" x14ac:dyDescent="0.2">
      <c r="A88" s="13"/>
      <c r="B88" s="1"/>
      <c r="C88" s="1"/>
      <c r="D88" s="1"/>
      <c r="E88" s="1"/>
    </row>
    <row r="89" spans="1:5" x14ac:dyDescent="0.2">
      <c r="B89" s="1"/>
      <c r="C89" s="1"/>
      <c r="D89" s="1"/>
      <c r="E89" s="1"/>
    </row>
    <row r="90" spans="1:5" x14ac:dyDescent="0.2">
      <c r="B90" s="1"/>
      <c r="C90" s="1"/>
      <c r="D90" s="1"/>
      <c r="E90" s="1"/>
    </row>
    <row r="91" spans="1:5" x14ac:dyDescent="0.2">
      <c r="B91" s="1"/>
      <c r="C91" s="1"/>
      <c r="D91" s="1"/>
      <c r="E91" s="1"/>
    </row>
    <row r="92" spans="1:5" x14ac:dyDescent="0.2">
      <c r="B92" s="1"/>
      <c r="C92" s="1"/>
      <c r="D92" s="1"/>
      <c r="E92" s="1"/>
    </row>
    <row r="93" spans="1:5" x14ac:dyDescent="0.2">
      <c r="C93" s="1"/>
      <c r="D93" s="1"/>
      <c r="E93" s="1"/>
    </row>
    <row r="94" spans="1:5" x14ac:dyDescent="0.2">
      <c r="C94" s="1"/>
      <c r="D94" s="1"/>
      <c r="E94" s="1"/>
    </row>
    <row r="95" spans="1:5" x14ac:dyDescent="0.2">
      <c r="C95" s="1"/>
      <c r="D95" s="1"/>
      <c r="E95" s="1"/>
    </row>
    <row r="96" spans="1:5" x14ac:dyDescent="0.2">
      <c r="C96" s="1"/>
      <c r="D96" s="1"/>
      <c r="E96" s="1"/>
    </row>
    <row r="97" spans="3:5" x14ac:dyDescent="0.2">
      <c r="C97" s="1"/>
      <c r="D97" s="1"/>
      <c r="E97" s="1"/>
    </row>
    <row r="98" spans="3:5" x14ac:dyDescent="0.2">
      <c r="C98" s="1"/>
      <c r="D98" s="1"/>
      <c r="E98" s="1"/>
    </row>
    <row r="99" spans="3:5" x14ac:dyDescent="0.2">
      <c r="C99" s="1"/>
      <c r="D99" s="1"/>
      <c r="E99" s="1"/>
    </row>
    <row r="100" spans="3:5" x14ac:dyDescent="0.2">
      <c r="C100" s="1"/>
      <c r="D100" s="1"/>
      <c r="E100" s="1"/>
    </row>
    <row r="101" spans="3:5" x14ac:dyDescent="0.2">
      <c r="C101" s="1"/>
      <c r="D101" s="1"/>
      <c r="E101" s="1"/>
    </row>
    <row r="102" spans="3:5" x14ac:dyDescent="0.2">
      <c r="C102" s="1"/>
      <c r="D102" s="1"/>
      <c r="E102" s="1"/>
    </row>
    <row r="103" spans="3:5" x14ac:dyDescent="0.2">
      <c r="C103" s="1"/>
      <c r="D103" s="1"/>
      <c r="E103" s="1"/>
    </row>
    <row r="104" spans="3:5" x14ac:dyDescent="0.2">
      <c r="C104" s="1"/>
      <c r="D104" s="1"/>
      <c r="E104" s="1"/>
    </row>
    <row r="105" spans="3:5" x14ac:dyDescent="0.2">
      <c r="C105" s="1"/>
      <c r="D105" s="1"/>
      <c r="E105" s="1"/>
    </row>
    <row r="106" spans="3:5" x14ac:dyDescent="0.2">
      <c r="C106" s="1"/>
      <c r="D106" s="1"/>
      <c r="E106" s="1"/>
    </row>
    <row r="107" spans="3:5" x14ac:dyDescent="0.2">
      <c r="C107" s="1"/>
      <c r="D107" s="1"/>
      <c r="E107" s="1"/>
    </row>
    <row r="108" spans="3:5" x14ac:dyDescent="0.2">
      <c r="C108" s="1"/>
      <c r="D108" s="1"/>
      <c r="E108" s="1"/>
    </row>
    <row r="109" spans="3:5" x14ac:dyDescent="0.2">
      <c r="C109" s="1"/>
      <c r="D109" s="1"/>
      <c r="E109" s="1"/>
    </row>
    <row r="110" spans="3:5" x14ac:dyDescent="0.2">
      <c r="C110" s="1"/>
      <c r="D110" s="1"/>
      <c r="E110" s="1"/>
    </row>
    <row r="111" spans="3:5" x14ac:dyDescent="0.2">
      <c r="C111" s="1"/>
      <c r="D111" s="1"/>
      <c r="E111" s="1"/>
    </row>
    <row r="112" spans="3:5" x14ac:dyDescent="0.2">
      <c r="C112" s="1"/>
      <c r="D112" s="1"/>
      <c r="E112" s="1"/>
    </row>
    <row r="113" spans="3:5" x14ac:dyDescent="0.2">
      <c r="C113" s="1"/>
      <c r="D113" s="1"/>
      <c r="E113" s="1"/>
    </row>
    <row r="114" spans="3:5" x14ac:dyDescent="0.2">
      <c r="C114" s="1"/>
      <c r="D114" s="1"/>
      <c r="E114" s="1"/>
    </row>
    <row r="115" spans="3:5" x14ac:dyDescent="0.2">
      <c r="C115" s="1"/>
      <c r="D115" s="1"/>
      <c r="E115" s="1"/>
    </row>
    <row r="116" spans="3:5" x14ac:dyDescent="0.2">
      <c r="C116" s="1"/>
      <c r="D116" s="1"/>
      <c r="E116" s="1"/>
    </row>
    <row r="117" spans="3:5" x14ac:dyDescent="0.2">
      <c r="C117" s="1"/>
      <c r="D117" s="1"/>
      <c r="E117" s="1"/>
    </row>
    <row r="118" spans="3:5" x14ac:dyDescent="0.2">
      <c r="C118" s="1"/>
      <c r="D118" s="1"/>
      <c r="E118" s="1"/>
    </row>
    <row r="119" spans="3:5" x14ac:dyDescent="0.2">
      <c r="C119" s="1"/>
      <c r="D119" s="1"/>
      <c r="E119" s="1"/>
    </row>
    <row r="120" spans="3:5" x14ac:dyDescent="0.2">
      <c r="C120" s="1"/>
      <c r="D120" s="1"/>
      <c r="E120" s="1"/>
    </row>
    <row r="121" spans="3:5" x14ac:dyDescent="0.2">
      <c r="C121" s="1"/>
      <c r="D121" s="1"/>
      <c r="E121" s="1"/>
    </row>
    <row r="122" spans="3:5" x14ac:dyDescent="0.2">
      <c r="C122" s="1"/>
      <c r="D122" s="1"/>
      <c r="E122" s="1"/>
    </row>
    <row r="123" spans="3:5" x14ac:dyDescent="0.2">
      <c r="C123" s="1"/>
      <c r="D123" s="1"/>
      <c r="E123" s="1"/>
    </row>
    <row r="124" spans="3:5" x14ac:dyDescent="0.2">
      <c r="C124" s="1"/>
      <c r="D124" s="1"/>
      <c r="E124" s="1"/>
    </row>
    <row r="125" spans="3:5" x14ac:dyDescent="0.2">
      <c r="C125" s="1"/>
      <c r="D125" s="1"/>
      <c r="E125" s="1"/>
    </row>
    <row r="126" spans="3:5" x14ac:dyDescent="0.2">
      <c r="C126" s="1"/>
      <c r="D126" s="1"/>
      <c r="E126" s="1"/>
    </row>
    <row r="127" spans="3:5" x14ac:dyDescent="0.2">
      <c r="C127" s="1"/>
      <c r="D127" s="1"/>
      <c r="E127" s="1"/>
    </row>
    <row r="128" spans="3:5" x14ac:dyDescent="0.2">
      <c r="C128" s="1"/>
      <c r="D128" s="1"/>
      <c r="E128" s="1"/>
    </row>
    <row r="129" spans="3:5" x14ac:dyDescent="0.2">
      <c r="C129" s="1"/>
      <c r="D129" s="1"/>
      <c r="E129" s="1"/>
    </row>
    <row r="130" spans="3:5" x14ac:dyDescent="0.2">
      <c r="C130" s="1"/>
      <c r="D130" s="1"/>
      <c r="E130" s="1"/>
    </row>
    <row r="131" spans="3:5" x14ac:dyDescent="0.2">
      <c r="C131" s="1"/>
      <c r="D131" s="1"/>
      <c r="E131" s="1"/>
    </row>
    <row r="132" spans="3:5" x14ac:dyDescent="0.2">
      <c r="C132" s="1"/>
      <c r="D132" s="1"/>
      <c r="E132" s="1"/>
    </row>
    <row r="133" spans="3:5" x14ac:dyDescent="0.2">
      <c r="C133" s="1"/>
      <c r="D133" s="1"/>
      <c r="E133" s="1"/>
    </row>
    <row r="134" spans="3:5" x14ac:dyDescent="0.2">
      <c r="C134" s="1"/>
      <c r="D134" s="1"/>
      <c r="E134" s="1"/>
    </row>
    <row r="135" spans="3:5" x14ac:dyDescent="0.2">
      <c r="C135" s="1"/>
      <c r="D135" s="1"/>
      <c r="E135" s="1"/>
    </row>
    <row r="136" spans="3:5" x14ac:dyDescent="0.2">
      <c r="C136" s="1"/>
      <c r="D136" s="1"/>
      <c r="E136" s="1"/>
    </row>
    <row r="137" spans="3:5" x14ac:dyDescent="0.2">
      <c r="C137" s="1"/>
      <c r="D137" s="1"/>
      <c r="E137" s="1"/>
    </row>
    <row r="138" spans="3:5" x14ac:dyDescent="0.2">
      <c r="C138" s="1"/>
      <c r="D138" s="1"/>
      <c r="E138" s="1"/>
    </row>
    <row r="139" spans="3:5" x14ac:dyDescent="0.2">
      <c r="C139" s="1"/>
      <c r="D139" s="1"/>
      <c r="E139" s="1"/>
    </row>
    <row r="140" spans="3:5" x14ac:dyDescent="0.2">
      <c r="C140" s="1"/>
      <c r="D140" s="1"/>
      <c r="E140" s="1"/>
    </row>
    <row r="141" spans="3:5" x14ac:dyDescent="0.2">
      <c r="C141" s="1"/>
      <c r="D141" s="1"/>
      <c r="E14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1CE26-5D32-4BB5-8AB4-994A052BB457}">
  <dimension ref="A1:J182"/>
  <sheetViews>
    <sheetView tabSelected="1" topLeftCell="A4" workbookViewId="0">
      <selection activeCell="B73" sqref="B73"/>
    </sheetView>
  </sheetViews>
  <sheetFormatPr defaultRowHeight="15" x14ac:dyDescent="0.2"/>
  <cols>
    <col min="1" max="1" width="18.77734375" customWidth="1"/>
    <col min="2" max="2" width="12.44140625" bestFit="1" customWidth="1"/>
    <col min="3" max="4" width="11" bestFit="1" customWidth="1"/>
    <col min="7" max="7" width="11" bestFit="1" customWidth="1"/>
    <col min="11" max="11" width="39.6640625" customWidth="1"/>
  </cols>
  <sheetData>
    <row r="1" spans="1:10" x14ac:dyDescent="0.2">
      <c r="A1" s="7" t="s">
        <v>12</v>
      </c>
      <c r="B1" s="8" t="s">
        <v>13</v>
      </c>
      <c r="C1" s="8" t="s">
        <v>14</v>
      </c>
      <c r="D1" s="9" t="s">
        <v>15</v>
      </c>
    </row>
    <row r="2" spans="1:10" x14ac:dyDescent="0.2">
      <c r="A2" t="s">
        <v>2</v>
      </c>
      <c r="B2" s="18">
        <v>13049.448</v>
      </c>
      <c r="C2" s="18">
        <v>15920.810000000007</v>
      </c>
      <c r="D2" s="18">
        <f>+Таблица1[[#Totals],[ВС]]</f>
        <v>3702.6719999999996</v>
      </c>
    </row>
    <row r="3" spans="1:10" x14ac:dyDescent="0.2">
      <c r="A3" t="s">
        <v>3</v>
      </c>
      <c r="B3" s="18">
        <v>12629.880999999999</v>
      </c>
      <c r="C3" s="18">
        <v>17245.884999999998</v>
      </c>
      <c r="D3" s="18">
        <f>+Таблица1[[#Totals],[1с]]</f>
        <v>371.86199999999997</v>
      </c>
    </row>
    <row r="4" spans="1:10" x14ac:dyDescent="0.2">
      <c r="A4" t="s">
        <v>27</v>
      </c>
      <c r="B4" s="18">
        <v>4184.7439999999997</v>
      </c>
      <c r="C4" s="18">
        <v>9825.9359999999997</v>
      </c>
      <c r="D4" s="18">
        <f>+Таблица1[[#Totals],[БС]]</f>
        <v>3063.8619999999996</v>
      </c>
    </row>
    <row r="5" spans="1:10" x14ac:dyDescent="0.2">
      <c r="A5" t="s">
        <v>28</v>
      </c>
      <c r="B5" s="18">
        <v>0</v>
      </c>
      <c r="C5" s="18">
        <v>189.32300000000001</v>
      </c>
      <c r="D5" s="18">
        <f>+Таблица1[[#Totals],[ПП]]</f>
        <v>138.72399999999999</v>
      </c>
    </row>
    <row r="6" spans="1:10" ht="15.75" x14ac:dyDescent="0.25">
      <c r="A6" s="3" t="s">
        <v>29</v>
      </c>
      <c r="B6" s="4">
        <f>SUM(B2:B5)</f>
        <v>29864.072999999997</v>
      </c>
      <c r="C6" s="4">
        <f t="shared" ref="C6:D6" si="0">SUM(C2:C5)</f>
        <v>43181.954000000005</v>
      </c>
      <c r="D6" s="4">
        <f t="shared" si="0"/>
        <v>7277.119999999999</v>
      </c>
    </row>
    <row r="7" spans="1:10" x14ac:dyDescent="0.2">
      <c r="C7" s="16"/>
    </row>
    <row r="8" spans="1:10" ht="15.75" x14ac:dyDescent="0.25">
      <c r="A8" s="6"/>
      <c r="B8" s="7"/>
      <c r="C8" s="17"/>
      <c r="D8" s="7"/>
      <c r="E8" s="7"/>
      <c r="F8" s="7"/>
      <c r="G8" s="7"/>
      <c r="H8" s="7"/>
      <c r="I8" s="7"/>
      <c r="J8" s="7"/>
    </row>
    <row r="25" spans="1:8" ht="15.75" x14ac:dyDescent="0.25">
      <c r="A25" s="6" t="s">
        <v>11</v>
      </c>
      <c r="B25" s="7" t="str">
        <f>+B30</f>
        <v>2026г</v>
      </c>
      <c r="C25" s="7" t="str">
        <f t="shared" ref="C25:E25" si="1">+C30</f>
        <v>2025г</v>
      </c>
      <c r="D25" s="7" t="str">
        <f t="shared" si="1"/>
        <v>2024г</v>
      </c>
      <c r="E25" s="7" t="str">
        <f t="shared" si="1"/>
        <v>2023г</v>
      </c>
    </row>
    <row r="26" spans="1:8" x14ac:dyDescent="0.2">
      <c r="A26" t="s">
        <v>9</v>
      </c>
      <c r="B26" s="1">
        <f t="shared" ref="B26:D26" si="2">MAX(B31:B850)</f>
        <v>899.96799999999996</v>
      </c>
      <c r="C26" s="1">
        <f t="shared" si="2"/>
        <v>894.41600000000005</v>
      </c>
      <c r="D26" s="1">
        <f t="shared" si="2"/>
        <v>857.99800000000005</v>
      </c>
      <c r="E26" s="1">
        <f>MAX(E31:E850)</f>
        <v>698.07100000000003</v>
      </c>
    </row>
    <row r="27" spans="1:8" x14ac:dyDescent="0.2">
      <c r="A27" s="10" t="s">
        <v>16</v>
      </c>
      <c r="B27" s="11">
        <f t="shared" ref="B27:D27" si="3">SUM(B31:B850)/B28</f>
        <v>727.71199999999999</v>
      </c>
      <c r="C27" s="11">
        <f t="shared" si="3"/>
        <v>479.79948888888896</v>
      </c>
      <c r="D27" s="11">
        <f t="shared" si="3"/>
        <v>432.81265217391308</v>
      </c>
      <c r="E27" s="11">
        <f>SUM(E31:E850)/E28</f>
        <v>377.327638888889</v>
      </c>
    </row>
    <row r="28" spans="1:8" x14ac:dyDescent="0.2">
      <c r="A28" t="s">
        <v>10</v>
      </c>
      <c r="B28">
        <f t="shared" ref="B28:E28" si="4">COUNTIF(B31:B185,"&gt;0")</f>
        <v>10</v>
      </c>
      <c r="C28">
        <f t="shared" si="4"/>
        <v>90</v>
      </c>
      <c r="D28">
        <f t="shared" si="4"/>
        <v>69</v>
      </c>
      <c r="E28">
        <f t="shared" si="4"/>
        <v>72</v>
      </c>
    </row>
    <row r="30" spans="1:8" ht="15.75" x14ac:dyDescent="0.25">
      <c r="A30" s="6" t="s">
        <v>4</v>
      </c>
      <c r="B30" s="7" t="s">
        <v>5</v>
      </c>
      <c r="C30" s="7" t="s">
        <v>6</v>
      </c>
      <c r="D30" s="7" t="s">
        <v>7</v>
      </c>
      <c r="E30" s="7" t="s">
        <v>8</v>
      </c>
      <c r="G30" s="5"/>
    </row>
    <row r="31" spans="1:8" x14ac:dyDescent="0.2">
      <c r="A31" s="5">
        <v>46204</v>
      </c>
      <c r="C31" s="2"/>
      <c r="D31" s="2"/>
      <c r="E31" s="2"/>
      <c r="G31" s="5"/>
      <c r="H31" s="5"/>
    </row>
    <row r="32" spans="1:8" x14ac:dyDescent="0.2">
      <c r="A32" s="5">
        <v>46205</v>
      </c>
      <c r="C32" s="2"/>
      <c r="D32" s="2"/>
      <c r="E32" s="2"/>
      <c r="G32" s="5"/>
      <c r="H32" s="5"/>
    </row>
    <row r="33" spans="1:8" x14ac:dyDescent="0.2">
      <c r="A33" s="5">
        <v>46206</v>
      </c>
      <c r="C33" s="2"/>
      <c r="D33" s="2"/>
      <c r="E33" s="2"/>
      <c r="G33" s="5"/>
      <c r="H33" s="5"/>
    </row>
    <row r="34" spans="1:8" x14ac:dyDescent="0.2">
      <c r="A34" s="5">
        <v>46207</v>
      </c>
      <c r="C34" s="2"/>
      <c r="D34" s="2"/>
      <c r="E34" s="2"/>
      <c r="G34" s="5"/>
      <c r="H34" s="5"/>
    </row>
    <row r="35" spans="1:8" x14ac:dyDescent="0.2">
      <c r="A35" s="5">
        <v>46208</v>
      </c>
      <c r="C35" s="2"/>
      <c r="D35" s="2"/>
      <c r="E35" s="2"/>
      <c r="G35" s="5"/>
      <c r="H35" s="5"/>
    </row>
    <row r="36" spans="1:8" x14ac:dyDescent="0.2">
      <c r="A36" s="5">
        <v>46209</v>
      </c>
      <c r="C36" s="2"/>
      <c r="D36" s="2"/>
      <c r="E36" s="2"/>
      <c r="G36" s="5"/>
      <c r="H36" s="5"/>
    </row>
    <row r="37" spans="1:8" x14ac:dyDescent="0.2">
      <c r="A37" s="5">
        <v>46210</v>
      </c>
      <c r="C37" s="2"/>
      <c r="D37" s="2"/>
      <c r="E37" s="2"/>
      <c r="G37" s="5"/>
      <c r="H37" s="5"/>
    </row>
    <row r="38" spans="1:8" x14ac:dyDescent="0.2">
      <c r="A38" s="5">
        <v>46211</v>
      </c>
      <c r="C38" s="2"/>
      <c r="D38" s="2"/>
      <c r="E38" s="2"/>
      <c r="G38" s="5"/>
      <c r="H38" s="5"/>
    </row>
    <row r="39" spans="1:8" x14ac:dyDescent="0.2">
      <c r="A39" s="5">
        <v>46212</v>
      </c>
      <c r="C39" s="2"/>
      <c r="D39" s="2"/>
      <c r="E39" s="2"/>
      <c r="G39" s="5"/>
      <c r="H39" s="5"/>
    </row>
    <row r="40" spans="1:8" x14ac:dyDescent="0.2">
      <c r="A40" s="5">
        <v>46213</v>
      </c>
      <c r="C40" s="2"/>
      <c r="D40" s="2"/>
      <c r="E40" s="2"/>
      <c r="G40" s="5"/>
      <c r="H40" s="5"/>
    </row>
    <row r="41" spans="1:8" x14ac:dyDescent="0.2">
      <c r="A41" s="5">
        <v>46214</v>
      </c>
      <c r="B41" s="1"/>
      <c r="C41" s="1"/>
      <c r="D41" s="2"/>
      <c r="E41" s="2"/>
      <c r="G41" s="5"/>
      <c r="H41" s="5"/>
    </row>
    <row r="42" spans="1:8" x14ac:dyDescent="0.2">
      <c r="A42" s="5">
        <v>46215</v>
      </c>
      <c r="B42" s="1"/>
      <c r="C42" s="1"/>
      <c r="D42" s="2"/>
      <c r="E42" s="2"/>
      <c r="G42" s="5"/>
      <c r="H42" s="5"/>
    </row>
    <row r="43" spans="1:8" x14ac:dyDescent="0.2">
      <c r="A43" s="5">
        <v>46216</v>
      </c>
      <c r="B43" s="1"/>
      <c r="C43" s="1"/>
      <c r="D43" s="2"/>
      <c r="E43" s="2"/>
      <c r="G43" s="5"/>
      <c r="H43" s="5"/>
    </row>
    <row r="44" spans="1:8" x14ac:dyDescent="0.2">
      <c r="A44" s="5">
        <v>46217</v>
      </c>
      <c r="B44" s="1"/>
      <c r="C44" s="1"/>
      <c r="D44" s="2"/>
      <c r="E44" s="2"/>
      <c r="G44" s="5"/>
      <c r="H44" s="5"/>
    </row>
    <row r="45" spans="1:8" x14ac:dyDescent="0.2">
      <c r="A45" s="5">
        <v>46218</v>
      </c>
      <c r="B45" s="1"/>
      <c r="C45" s="1"/>
      <c r="D45" s="2"/>
      <c r="E45" s="2"/>
      <c r="G45" s="5"/>
      <c r="H45" s="5"/>
    </row>
    <row r="46" spans="1:8" x14ac:dyDescent="0.2">
      <c r="A46" s="5">
        <v>46219</v>
      </c>
      <c r="B46" s="1"/>
      <c r="C46" s="1"/>
      <c r="D46" s="2"/>
      <c r="E46" s="2"/>
      <c r="G46" s="5"/>
      <c r="H46" s="5"/>
    </row>
    <row r="47" spans="1:8" x14ac:dyDescent="0.2">
      <c r="A47" s="5">
        <v>46220</v>
      </c>
      <c r="B47" s="1"/>
      <c r="C47" s="1"/>
      <c r="D47" s="2"/>
      <c r="E47" s="2"/>
      <c r="G47" s="5"/>
      <c r="H47" s="5"/>
    </row>
    <row r="48" spans="1:8" x14ac:dyDescent="0.2">
      <c r="A48" s="5">
        <v>46221</v>
      </c>
      <c r="B48" s="1"/>
      <c r="C48" s="1"/>
      <c r="D48" s="2"/>
      <c r="E48" s="2"/>
      <c r="G48" s="15"/>
      <c r="H48" s="5"/>
    </row>
    <row r="49" spans="1:8" x14ac:dyDescent="0.2">
      <c r="A49" s="5">
        <v>46222</v>
      </c>
      <c r="B49" s="1"/>
      <c r="C49" s="1"/>
      <c r="D49" s="2"/>
      <c r="E49" s="2"/>
      <c r="G49" s="15"/>
      <c r="H49" s="5"/>
    </row>
    <row r="50" spans="1:8" x14ac:dyDescent="0.2">
      <c r="A50" s="5">
        <v>46223</v>
      </c>
      <c r="B50" s="1"/>
      <c r="C50" s="1"/>
      <c r="D50" s="2"/>
      <c r="E50" s="2"/>
      <c r="G50" s="5"/>
      <c r="H50" s="5"/>
    </row>
    <row r="51" spans="1:8" x14ac:dyDescent="0.2">
      <c r="A51" s="5">
        <v>46224</v>
      </c>
      <c r="B51" s="1"/>
      <c r="C51" s="1"/>
      <c r="D51" s="2"/>
      <c r="E51" s="2"/>
      <c r="G51" s="5"/>
      <c r="H51" s="5"/>
    </row>
    <row r="52" spans="1:8" x14ac:dyDescent="0.2">
      <c r="A52" s="5">
        <v>46225</v>
      </c>
      <c r="B52" s="1"/>
      <c r="C52" s="1"/>
      <c r="D52" s="2"/>
      <c r="E52" s="2"/>
      <c r="G52" s="5"/>
      <c r="H52" s="5"/>
    </row>
    <row r="53" spans="1:8" x14ac:dyDescent="0.2">
      <c r="A53" s="5">
        <v>46226</v>
      </c>
      <c r="B53" s="1"/>
      <c r="C53" s="1"/>
      <c r="D53" s="2"/>
      <c r="E53" s="2"/>
      <c r="G53" s="5"/>
      <c r="H53" s="5"/>
    </row>
    <row r="54" spans="1:8" x14ac:dyDescent="0.2">
      <c r="A54" s="5">
        <v>46227</v>
      </c>
      <c r="B54" s="1"/>
      <c r="C54" s="1"/>
      <c r="D54" s="2"/>
      <c r="E54" s="2"/>
      <c r="G54" s="5"/>
      <c r="H54" s="5"/>
    </row>
    <row r="55" spans="1:8" x14ac:dyDescent="0.2">
      <c r="A55" s="5">
        <v>46228</v>
      </c>
      <c r="B55" s="1"/>
      <c r="C55" s="1"/>
      <c r="D55" s="2"/>
      <c r="E55" s="2"/>
      <c r="G55" s="5"/>
      <c r="H55" s="5"/>
    </row>
    <row r="56" spans="1:8" x14ac:dyDescent="0.2">
      <c r="A56" s="5">
        <v>46229</v>
      </c>
      <c r="B56" s="1"/>
      <c r="C56" s="1">
        <v>0</v>
      </c>
      <c r="D56" s="1">
        <v>22.238</v>
      </c>
      <c r="E56" s="2"/>
      <c r="G56" s="5"/>
      <c r="H56" s="5"/>
    </row>
    <row r="57" spans="1:8" x14ac:dyDescent="0.2">
      <c r="A57" s="5">
        <v>46230</v>
      </c>
      <c r="B57" s="1"/>
      <c r="C57" s="1">
        <v>0</v>
      </c>
      <c r="D57" s="1">
        <v>0</v>
      </c>
      <c r="E57" s="2"/>
      <c r="G57" s="5"/>
      <c r="H57" s="5"/>
    </row>
    <row r="58" spans="1:8" x14ac:dyDescent="0.2">
      <c r="A58" s="5">
        <v>46231</v>
      </c>
      <c r="B58" s="1"/>
      <c r="C58" s="1">
        <v>0</v>
      </c>
      <c r="D58" s="1">
        <v>0</v>
      </c>
      <c r="E58" s="2"/>
      <c r="G58" s="5"/>
      <c r="H58" s="5"/>
    </row>
    <row r="59" spans="1:8" x14ac:dyDescent="0.2">
      <c r="A59" s="5">
        <v>46232</v>
      </c>
      <c r="B59" s="1"/>
      <c r="C59" s="1">
        <v>0</v>
      </c>
      <c r="D59" s="1">
        <v>8.0399999999999991</v>
      </c>
      <c r="E59" s="2"/>
      <c r="G59" s="5"/>
      <c r="H59" s="5"/>
    </row>
    <row r="60" spans="1:8" x14ac:dyDescent="0.2">
      <c r="A60" s="5">
        <v>46233</v>
      </c>
      <c r="B60" s="1"/>
      <c r="C60" s="1">
        <v>0</v>
      </c>
      <c r="D60" s="1">
        <v>263.238</v>
      </c>
      <c r="E60" s="2"/>
      <c r="G60" s="5"/>
      <c r="H60" s="5"/>
    </row>
    <row r="61" spans="1:8" x14ac:dyDescent="0.2">
      <c r="A61" s="5">
        <v>46234</v>
      </c>
      <c r="B61" s="1"/>
      <c r="C61" s="1">
        <v>0</v>
      </c>
      <c r="D61" s="1">
        <v>81.635999999999996</v>
      </c>
      <c r="E61" s="2"/>
      <c r="G61" s="5"/>
      <c r="H61" s="5"/>
    </row>
    <row r="62" spans="1:8" x14ac:dyDescent="0.2">
      <c r="A62" s="5">
        <v>46235</v>
      </c>
      <c r="B62" s="1"/>
      <c r="C62" s="1">
        <v>0</v>
      </c>
      <c r="D62" s="1">
        <v>307.49200000000002</v>
      </c>
      <c r="E62" s="2"/>
      <c r="G62" s="5"/>
      <c r="H62" s="5"/>
    </row>
    <row r="63" spans="1:8" x14ac:dyDescent="0.2">
      <c r="A63" s="5">
        <v>46236</v>
      </c>
      <c r="B63" s="1"/>
      <c r="C63" s="1">
        <v>0</v>
      </c>
      <c r="D63" s="1">
        <v>95.594999999999999</v>
      </c>
      <c r="E63" s="2"/>
      <c r="G63" s="5"/>
      <c r="H63" s="5"/>
    </row>
    <row r="64" spans="1:8" x14ac:dyDescent="0.2">
      <c r="A64" s="5">
        <v>46237</v>
      </c>
      <c r="B64" s="1">
        <f>SUM('по сортам'!B5:E5)</f>
        <v>388.57799999999997</v>
      </c>
      <c r="C64" s="1">
        <v>0</v>
      </c>
      <c r="D64" s="1">
        <v>113.595</v>
      </c>
      <c r="E64" s="2"/>
      <c r="G64" s="15"/>
      <c r="H64" s="5"/>
    </row>
    <row r="65" spans="1:8" x14ac:dyDescent="0.2">
      <c r="A65" s="5">
        <v>46238</v>
      </c>
      <c r="B65" s="1">
        <f>SUM('по сортам'!B6:E6)</f>
        <v>707.76</v>
      </c>
      <c r="C65" s="1">
        <v>54.44</v>
      </c>
      <c r="D65" s="1">
        <v>222.43199999999999</v>
      </c>
      <c r="E65" s="2"/>
      <c r="G65" s="15"/>
      <c r="H65" s="5"/>
    </row>
    <row r="66" spans="1:8" x14ac:dyDescent="0.2">
      <c r="A66" s="5">
        <v>46239</v>
      </c>
      <c r="B66" s="1">
        <f>SUM('по сортам'!B7:E7)</f>
        <v>825.10799999999995</v>
      </c>
      <c r="C66" s="1">
        <v>7.7279999999999998</v>
      </c>
      <c r="D66" s="1">
        <v>383.39</v>
      </c>
      <c r="E66" s="2"/>
      <c r="G66" s="15"/>
      <c r="H66" s="5"/>
    </row>
    <row r="67" spans="1:8" x14ac:dyDescent="0.2">
      <c r="A67" s="5">
        <v>46240</v>
      </c>
      <c r="B67" s="1">
        <f>SUM('по сортам'!B8:E8)</f>
        <v>767.654</v>
      </c>
      <c r="C67" s="1">
        <v>186.904</v>
      </c>
      <c r="D67" s="1">
        <v>313.69799999999998</v>
      </c>
      <c r="E67" s="2"/>
      <c r="G67" s="15"/>
      <c r="H67" s="5"/>
    </row>
    <row r="68" spans="1:8" x14ac:dyDescent="0.2">
      <c r="A68" s="5">
        <v>46241</v>
      </c>
      <c r="B68" s="1">
        <f>SUM('по сортам'!B9:E9)</f>
        <v>602.20699999999999</v>
      </c>
      <c r="C68" s="1">
        <v>277.178</v>
      </c>
      <c r="D68" s="1">
        <v>394.995</v>
      </c>
      <c r="E68" s="2"/>
      <c r="G68" s="15"/>
      <c r="H68" s="5"/>
    </row>
    <row r="69" spans="1:8" x14ac:dyDescent="0.2">
      <c r="A69" s="5">
        <v>46242</v>
      </c>
      <c r="B69" s="1">
        <f>SUM('по сортам'!B10:E10)</f>
        <v>733.01900000000001</v>
      </c>
      <c r="C69" s="1">
        <v>94.683000000000007</v>
      </c>
      <c r="D69" s="1">
        <v>629.81299999999999</v>
      </c>
      <c r="E69" s="2"/>
      <c r="G69" s="15"/>
      <c r="H69" s="5"/>
    </row>
    <row r="70" spans="1:8" x14ac:dyDescent="0.2">
      <c r="A70" s="5">
        <v>46243</v>
      </c>
      <c r="B70" s="1">
        <f>SUM('по сортам'!B11:E11)</f>
        <v>883.29000000000008</v>
      </c>
      <c r="C70" s="1">
        <v>239.02099999999999</v>
      </c>
      <c r="D70" s="1">
        <v>421.25299999999999</v>
      </c>
      <c r="E70" s="2"/>
      <c r="G70" s="15"/>
      <c r="H70" s="5"/>
    </row>
    <row r="71" spans="1:8" x14ac:dyDescent="0.2">
      <c r="A71" s="5">
        <v>46244</v>
      </c>
      <c r="B71" s="1">
        <f>SUM('по сортам'!B12:E12)</f>
        <v>773.56799999999998</v>
      </c>
      <c r="C71" s="1">
        <v>324.20699999999999</v>
      </c>
      <c r="D71" s="1">
        <v>0</v>
      </c>
      <c r="E71" s="2"/>
      <c r="G71" s="15"/>
      <c r="H71" s="5"/>
    </row>
    <row r="72" spans="1:8" x14ac:dyDescent="0.2">
      <c r="A72" s="5">
        <v>46245</v>
      </c>
      <c r="B72" s="1">
        <f>SUM('по сортам'!B13:E13)</f>
        <v>695.96799999999996</v>
      </c>
      <c r="C72" s="1">
        <v>303.08600000000001</v>
      </c>
      <c r="D72" s="1">
        <v>227.19499999999999</v>
      </c>
      <c r="E72" s="2"/>
      <c r="G72" s="15"/>
      <c r="H72" s="5"/>
    </row>
    <row r="73" spans="1:8" x14ac:dyDescent="0.2">
      <c r="A73" s="5">
        <v>46246</v>
      </c>
      <c r="B73" s="1">
        <f>SUM('по сортам'!B14:E14)</f>
        <v>899.96799999999996</v>
      </c>
      <c r="C73" s="1">
        <v>464.096</v>
      </c>
      <c r="D73" s="1">
        <v>0</v>
      </c>
      <c r="E73" s="2"/>
      <c r="G73" s="15"/>
      <c r="H73" s="5"/>
    </row>
    <row r="74" spans="1:8" x14ac:dyDescent="0.2">
      <c r="A74" s="5">
        <v>46247</v>
      </c>
      <c r="B74" s="1">
        <f>SUM('по сортам'!B15:E15)</f>
        <v>0</v>
      </c>
      <c r="C74" s="1">
        <v>494.69499999999999</v>
      </c>
      <c r="D74" s="1">
        <v>0</v>
      </c>
      <c r="E74" s="2"/>
      <c r="G74" s="15"/>
      <c r="H74" s="5"/>
    </row>
    <row r="75" spans="1:8" x14ac:dyDescent="0.2">
      <c r="A75" s="5">
        <v>46248</v>
      </c>
      <c r="B75" s="1">
        <f>SUM('по сортам'!B16:E16)</f>
        <v>0</v>
      </c>
      <c r="C75" s="1">
        <v>359.76</v>
      </c>
      <c r="D75" s="1">
        <v>0</v>
      </c>
      <c r="E75" s="2"/>
      <c r="G75" s="15"/>
      <c r="H75" s="5"/>
    </row>
    <row r="76" spans="1:8" x14ac:dyDescent="0.2">
      <c r="A76" s="5">
        <v>46249</v>
      </c>
      <c r="B76" s="1">
        <f>SUM('по сортам'!B17:E17)</f>
        <v>0</v>
      </c>
      <c r="C76" s="1">
        <v>316.65100000000001</v>
      </c>
      <c r="D76" s="1">
        <v>0</v>
      </c>
      <c r="E76" s="2"/>
      <c r="G76" s="15"/>
      <c r="H76" s="5"/>
    </row>
    <row r="77" spans="1:8" x14ac:dyDescent="0.2">
      <c r="A77" s="5">
        <v>46250</v>
      </c>
      <c r="B77" s="1">
        <f>SUM('по сортам'!B18:E18)</f>
        <v>0</v>
      </c>
      <c r="C77" s="1">
        <v>0</v>
      </c>
      <c r="D77" s="1">
        <v>0</v>
      </c>
      <c r="E77" s="1">
        <v>23.298999999999999</v>
      </c>
      <c r="G77" s="15"/>
      <c r="H77" s="5"/>
    </row>
    <row r="78" spans="1:8" x14ac:dyDescent="0.2">
      <c r="A78" s="5">
        <v>46251</v>
      </c>
      <c r="B78" s="1">
        <f>SUM('по сортам'!B19:E19)</f>
        <v>0</v>
      </c>
      <c r="C78" s="1">
        <v>0</v>
      </c>
      <c r="D78" s="1">
        <v>0</v>
      </c>
      <c r="E78" s="1">
        <v>140.048</v>
      </c>
      <c r="G78" s="15"/>
      <c r="H78" s="5"/>
    </row>
    <row r="79" spans="1:8" x14ac:dyDescent="0.2">
      <c r="A79" s="5">
        <v>46252</v>
      </c>
      <c r="B79" s="1">
        <f>SUM('по сортам'!B20:E20)</f>
        <v>0</v>
      </c>
      <c r="C79" s="1">
        <v>162.43899999999999</v>
      </c>
      <c r="D79" s="1">
        <v>298.22699999999998</v>
      </c>
      <c r="E79" s="1">
        <v>222.642</v>
      </c>
      <c r="G79" s="15"/>
      <c r="H79" s="5"/>
    </row>
    <row r="80" spans="1:8" x14ac:dyDescent="0.2">
      <c r="A80" s="5">
        <v>46253</v>
      </c>
      <c r="B80" s="1">
        <f>SUM('по сортам'!B21:E21)</f>
        <v>0</v>
      </c>
      <c r="C80" s="1">
        <v>416.625</v>
      </c>
      <c r="D80" s="1">
        <v>466.19</v>
      </c>
      <c r="E80" s="1">
        <v>241.56200000000001</v>
      </c>
      <c r="G80" s="15"/>
      <c r="H80" s="5"/>
    </row>
    <row r="81" spans="1:8" x14ac:dyDescent="0.2">
      <c r="A81" s="5">
        <v>46254</v>
      </c>
      <c r="B81" s="1">
        <f>SUM('по сортам'!B22:E22)</f>
        <v>0</v>
      </c>
      <c r="C81" s="1">
        <v>494.71499999999997</v>
      </c>
      <c r="D81" s="1">
        <v>381.07799999999997</v>
      </c>
      <c r="E81" s="1">
        <v>180.357</v>
      </c>
      <c r="G81" s="15"/>
      <c r="H81" s="5"/>
    </row>
    <row r="82" spans="1:8" x14ac:dyDescent="0.2">
      <c r="A82" s="5">
        <v>46255</v>
      </c>
      <c r="B82" s="1">
        <f>SUM('по сортам'!B23:E23)</f>
        <v>0</v>
      </c>
      <c r="C82" s="1">
        <v>331.67200000000003</v>
      </c>
      <c r="D82" s="1">
        <v>266.74900000000002</v>
      </c>
      <c r="E82" s="1">
        <v>205.91200000000001</v>
      </c>
      <c r="G82" s="15"/>
      <c r="H82" s="5"/>
    </row>
    <row r="83" spans="1:8" x14ac:dyDescent="0.2">
      <c r="A83" s="5">
        <v>46256</v>
      </c>
      <c r="B83" s="1">
        <f>SUM('по сортам'!B24:E24)</f>
        <v>0</v>
      </c>
      <c r="C83" s="1">
        <v>260.29899999999998</v>
      </c>
      <c r="D83" s="1">
        <v>156.18899999999999</v>
      </c>
      <c r="E83" s="1">
        <v>168.17500000000001</v>
      </c>
      <c r="G83" s="15"/>
      <c r="H83" s="5"/>
    </row>
    <row r="84" spans="1:8" x14ac:dyDescent="0.2">
      <c r="A84" s="5">
        <v>46257</v>
      </c>
      <c r="B84" s="1">
        <f>SUM('по сортам'!B25:E25)</f>
        <v>0</v>
      </c>
      <c r="C84" s="1">
        <v>483.76799999999997</v>
      </c>
      <c r="D84" s="1">
        <v>231.90700000000001</v>
      </c>
      <c r="E84" s="1">
        <v>137.261</v>
      </c>
      <c r="G84" s="15"/>
      <c r="H84" s="5"/>
    </row>
    <row r="85" spans="1:8" x14ac:dyDescent="0.2">
      <c r="A85" s="5">
        <v>46258</v>
      </c>
      <c r="B85" s="1">
        <f>SUM('по сортам'!B26:E26)</f>
        <v>0</v>
      </c>
      <c r="C85" s="1">
        <v>595.61500000000001</v>
      </c>
      <c r="D85" s="1">
        <v>444.952</v>
      </c>
      <c r="E85" s="1">
        <v>236.65199999999999</v>
      </c>
      <c r="G85" s="15"/>
      <c r="H85" s="5"/>
    </row>
    <row r="86" spans="1:8" x14ac:dyDescent="0.2">
      <c r="A86" s="5">
        <v>46259</v>
      </c>
      <c r="B86" s="1">
        <f>SUM('по сортам'!B27:E27)</f>
        <v>0</v>
      </c>
      <c r="C86" s="1">
        <v>245.45400000000001</v>
      </c>
      <c r="D86" s="1">
        <v>111.259</v>
      </c>
      <c r="E86" s="1">
        <v>235.47900000000001</v>
      </c>
    </row>
    <row r="87" spans="1:8" x14ac:dyDescent="0.2">
      <c r="A87" s="5">
        <v>46260</v>
      </c>
      <c r="B87" s="1">
        <f>SUM('по сортам'!B28:E28)</f>
        <v>0</v>
      </c>
      <c r="C87" s="1">
        <v>739.50400000000002</v>
      </c>
      <c r="D87" s="1">
        <v>293.47300000000001</v>
      </c>
      <c r="E87" s="1">
        <v>314.77100000000002</v>
      </c>
    </row>
    <row r="88" spans="1:8" x14ac:dyDescent="0.2">
      <c r="A88" s="5">
        <v>46261</v>
      </c>
      <c r="B88" s="1">
        <f>SUM('по сортам'!B29:E29)</f>
        <v>0</v>
      </c>
      <c r="C88" s="1">
        <v>889.81700000000001</v>
      </c>
      <c r="D88" s="1">
        <v>494.60899999999998</v>
      </c>
      <c r="E88" s="1">
        <v>315.83699999999999</v>
      </c>
    </row>
    <row r="89" spans="1:8" x14ac:dyDescent="0.2">
      <c r="A89" s="5">
        <v>46262</v>
      </c>
      <c r="B89" s="1">
        <f>SUM('по сортам'!B30:E30)</f>
        <v>0</v>
      </c>
      <c r="C89" s="1">
        <v>762.35699999999997</v>
      </c>
      <c r="D89" s="1">
        <v>408.60899999999998</v>
      </c>
      <c r="E89" s="1">
        <v>308.84100000000001</v>
      </c>
    </row>
    <row r="90" spans="1:8" x14ac:dyDescent="0.2">
      <c r="A90" s="5">
        <v>46263</v>
      </c>
      <c r="B90" s="1">
        <f>SUM('по сортам'!B31:E31)</f>
        <v>0</v>
      </c>
      <c r="C90" s="1">
        <v>757.40200000000004</v>
      </c>
      <c r="D90" s="1">
        <v>305.34899999999999</v>
      </c>
      <c r="E90" s="1">
        <v>328.99099999999999</v>
      </c>
    </row>
    <row r="91" spans="1:8" x14ac:dyDescent="0.2">
      <c r="A91" s="5">
        <v>46264</v>
      </c>
      <c r="B91" s="1">
        <f>SUM('по сортам'!B32:E32)</f>
        <v>0</v>
      </c>
      <c r="C91" s="1">
        <v>619.74</v>
      </c>
      <c r="D91" s="1">
        <v>0</v>
      </c>
      <c r="E91" s="1">
        <v>328.96699999999998</v>
      </c>
    </row>
    <row r="92" spans="1:8" x14ac:dyDescent="0.2">
      <c r="A92" s="5">
        <v>46265</v>
      </c>
      <c r="B92" s="1">
        <f>SUM('по сортам'!B33:E33)</f>
        <v>0</v>
      </c>
      <c r="C92" s="1">
        <v>572.78800000000001</v>
      </c>
      <c r="D92" s="1">
        <v>0</v>
      </c>
      <c r="E92" s="1">
        <v>357.33800000000002</v>
      </c>
    </row>
    <row r="93" spans="1:8" x14ac:dyDescent="0.2">
      <c r="A93" s="5">
        <v>46266</v>
      </c>
      <c r="B93" s="1">
        <f>SUM('по сортам'!B34:E34)</f>
        <v>0</v>
      </c>
      <c r="C93" s="1">
        <v>0</v>
      </c>
      <c r="D93" s="1">
        <v>523.03499999999997</v>
      </c>
      <c r="E93" s="1">
        <v>428.35199999999998</v>
      </c>
    </row>
    <row r="94" spans="1:8" x14ac:dyDescent="0.2">
      <c r="A94" s="5">
        <v>46267</v>
      </c>
      <c r="B94" s="1">
        <f>SUM('по сортам'!B35:E35)</f>
        <v>0</v>
      </c>
      <c r="C94" s="1">
        <v>0</v>
      </c>
      <c r="D94" s="1">
        <v>302.96899999999999</v>
      </c>
      <c r="E94" s="1">
        <v>184.59100000000001</v>
      </c>
    </row>
    <row r="95" spans="1:8" x14ac:dyDescent="0.2">
      <c r="A95" s="5">
        <v>46268</v>
      </c>
      <c r="B95" s="1">
        <f>SUM('по сортам'!B36:E36)</f>
        <v>0</v>
      </c>
      <c r="C95" s="1">
        <v>378.63499999999999</v>
      </c>
      <c r="D95" s="1">
        <v>251.191</v>
      </c>
      <c r="E95" s="1">
        <v>369.149</v>
      </c>
    </row>
    <row r="96" spans="1:8" x14ac:dyDescent="0.2">
      <c r="A96" s="5">
        <v>46269</v>
      </c>
      <c r="B96" s="1">
        <f>SUM('по сортам'!B37:E37)</f>
        <v>0</v>
      </c>
      <c r="C96" s="1">
        <v>224.06700000000001</v>
      </c>
      <c r="D96" s="1">
        <v>728.84299999999996</v>
      </c>
      <c r="E96" s="1">
        <v>301.04199999999997</v>
      </c>
    </row>
    <row r="97" spans="1:5" x14ac:dyDescent="0.2">
      <c r="A97" s="5">
        <v>46270</v>
      </c>
      <c r="B97" s="1">
        <f>SUM('по сортам'!B38:E38)</f>
        <v>0</v>
      </c>
      <c r="C97" s="1">
        <v>603.01499999999999</v>
      </c>
      <c r="D97" s="1">
        <v>727.79899999999998</v>
      </c>
      <c r="E97" s="1">
        <v>292.29899999999998</v>
      </c>
    </row>
    <row r="98" spans="1:5" x14ac:dyDescent="0.2">
      <c r="A98" s="5">
        <v>46271</v>
      </c>
      <c r="B98" s="1">
        <f>SUM('по сортам'!B39:E39)</f>
        <v>0</v>
      </c>
      <c r="C98" s="1">
        <v>0</v>
      </c>
      <c r="D98" s="1">
        <v>796.851</v>
      </c>
      <c r="E98" s="1">
        <v>418.04300000000001</v>
      </c>
    </row>
    <row r="99" spans="1:5" x14ac:dyDescent="0.2">
      <c r="A99" s="5">
        <v>46272</v>
      </c>
      <c r="B99" s="1">
        <f>SUM('по сортам'!B40:E40)</f>
        <v>0</v>
      </c>
      <c r="C99" s="1">
        <v>179.84299999999999</v>
      </c>
      <c r="D99" s="1">
        <v>789.52499999999998</v>
      </c>
      <c r="E99" s="1">
        <v>402.31</v>
      </c>
    </row>
    <row r="100" spans="1:5" x14ac:dyDescent="0.2">
      <c r="A100" s="5">
        <v>46273</v>
      </c>
      <c r="B100" s="1">
        <f>SUM('по сортам'!B41:E41)</f>
        <v>0</v>
      </c>
      <c r="C100" s="1">
        <v>739.32</v>
      </c>
      <c r="D100" s="1">
        <v>830.59299999999996</v>
      </c>
      <c r="E100" s="1">
        <v>463.78899999999999</v>
      </c>
    </row>
    <row r="101" spans="1:5" x14ac:dyDescent="0.2">
      <c r="A101" s="5">
        <v>46274</v>
      </c>
      <c r="B101" s="1">
        <f>SUM('по сортам'!B42:E42)</f>
        <v>0</v>
      </c>
      <c r="C101" s="1">
        <v>598.44799999999998</v>
      </c>
      <c r="D101" s="1">
        <v>857.99800000000005</v>
      </c>
      <c r="E101" s="1">
        <v>459.07799999999997</v>
      </c>
    </row>
    <row r="102" spans="1:5" x14ac:dyDescent="0.2">
      <c r="A102" s="5">
        <v>46275</v>
      </c>
      <c r="B102" s="1">
        <f>SUM('по сортам'!B43:E43)</f>
        <v>0</v>
      </c>
      <c r="C102" s="1">
        <v>84.221999999999994</v>
      </c>
      <c r="D102" s="1">
        <v>350.27800000000002</v>
      </c>
      <c r="E102" s="1">
        <v>359.71899999999999</v>
      </c>
    </row>
    <row r="103" spans="1:5" x14ac:dyDescent="0.2">
      <c r="A103" s="5">
        <v>46276</v>
      </c>
      <c r="B103" s="1">
        <f>SUM('по сортам'!B44:E44)</f>
        <v>0</v>
      </c>
      <c r="C103" s="1">
        <v>149.07900000000001</v>
      </c>
      <c r="D103" s="1">
        <v>774.96699999999998</v>
      </c>
      <c r="E103" s="1">
        <v>491.411</v>
      </c>
    </row>
    <row r="104" spans="1:5" x14ac:dyDescent="0.2">
      <c r="A104" s="5">
        <v>46277</v>
      </c>
      <c r="B104" s="1">
        <f>SUM('по сортам'!B45:E45)</f>
        <v>0</v>
      </c>
      <c r="C104" s="1">
        <v>513.71900000000005</v>
      </c>
      <c r="D104" s="1">
        <v>829.97400000000005</v>
      </c>
      <c r="E104" s="1">
        <v>255.59700000000001</v>
      </c>
    </row>
    <row r="105" spans="1:5" x14ac:dyDescent="0.2">
      <c r="A105" s="5">
        <v>46278</v>
      </c>
      <c r="B105" s="1">
        <f>SUM('по сортам'!B46:E46)</f>
        <v>0</v>
      </c>
      <c r="C105" s="1">
        <v>466.49700000000001</v>
      </c>
      <c r="D105" s="1">
        <v>631.95100000000002</v>
      </c>
      <c r="E105" s="1">
        <v>376.25200000000001</v>
      </c>
    </row>
    <row r="106" spans="1:5" x14ac:dyDescent="0.2">
      <c r="A106" s="5">
        <v>46279</v>
      </c>
      <c r="B106" s="1">
        <f>SUM('по сортам'!B47:E47)</f>
        <v>0</v>
      </c>
      <c r="C106" s="1">
        <v>480.14699999999999</v>
      </c>
      <c r="D106" s="1">
        <v>789.63800000000003</v>
      </c>
      <c r="E106" s="1">
        <v>531.41399999999999</v>
      </c>
    </row>
    <row r="107" spans="1:5" x14ac:dyDescent="0.2">
      <c r="A107" s="5">
        <v>46280</v>
      </c>
      <c r="B107" s="1">
        <f>SUM('по сортам'!B48:E48)</f>
        <v>0</v>
      </c>
      <c r="C107" s="1">
        <v>588.32000000000005</v>
      </c>
      <c r="D107" s="1">
        <v>459.97199999999998</v>
      </c>
      <c r="E107" s="1">
        <v>293.45299999999997</v>
      </c>
    </row>
    <row r="108" spans="1:5" x14ac:dyDescent="0.2">
      <c r="A108" s="5">
        <v>46281</v>
      </c>
      <c r="B108" s="1">
        <f>SUM('по сортам'!B49:E49)</f>
        <v>0</v>
      </c>
      <c r="C108" s="1">
        <v>98.412000000000006</v>
      </c>
      <c r="D108" s="1">
        <v>0</v>
      </c>
      <c r="E108" s="1">
        <v>319.48399999999998</v>
      </c>
    </row>
    <row r="109" spans="1:5" x14ac:dyDescent="0.2">
      <c r="A109" s="5">
        <v>46282</v>
      </c>
      <c r="B109" s="1">
        <f>SUM('по сортам'!B50:E50)</f>
        <v>0</v>
      </c>
      <c r="C109" s="1">
        <v>182.292</v>
      </c>
      <c r="D109" s="1">
        <v>0</v>
      </c>
      <c r="E109" s="1">
        <v>293.476</v>
      </c>
    </row>
    <row r="110" spans="1:5" x14ac:dyDescent="0.2">
      <c r="A110" s="5">
        <v>46283</v>
      </c>
      <c r="B110" s="1">
        <f>SUM('по сортам'!B51:E51)</f>
        <v>0</v>
      </c>
      <c r="C110" s="1">
        <v>534.79999999999995</v>
      </c>
      <c r="D110" s="1">
        <v>0</v>
      </c>
      <c r="E110" s="1">
        <v>179.869</v>
      </c>
    </row>
    <row r="111" spans="1:5" x14ac:dyDescent="0.2">
      <c r="A111" s="5">
        <v>46284</v>
      </c>
      <c r="B111" s="1">
        <f>SUM('по сортам'!B52:E52)</f>
        <v>0</v>
      </c>
      <c r="C111" s="1">
        <v>648.45299999999997</v>
      </c>
      <c r="D111" s="1">
        <v>141.07900000000001</v>
      </c>
      <c r="E111" s="1">
        <v>331.435</v>
      </c>
    </row>
    <row r="112" spans="1:5" x14ac:dyDescent="0.2">
      <c r="A112" s="5">
        <v>46285</v>
      </c>
      <c r="B112" s="1">
        <f>SUM('по сортам'!B53:E53)</f>
        <v>0</v>
      </c>
      <c r="C112" s="1">
        <v>312.49299999999999</v>
      </c>
      <c r="D112" s="1">
        <v>0</v>
      </c>
      <c r="E112" s="1">
        <v>291.726</v>
      </c>
    </row>
    <row r="113" spans="1:5" x14ac:dyDescent="0.2">
      <c r="A113" s="5">
        <v>46286</v>
      </c>
      <c r="B113" s="1">
        <f>SUM('по сортам'!B54:E54)</f>
        <v>0</v>
      </c>
      <c r="C113" s="1">
        <v>115.98699999999999</v>
      </c>
      <c r="D113" s="1">
        <v>142.02099999999999</v>
      </c>
      <c r="E113" s="1">
        <v>0</v>
      </c>
    </row>
    <row r="114" spans="1:5" x14ac:dyDescent="0.2">
      <c r="A114" s="5">
        <v>46287</v>
      </c>
      <c r="B114" s="1">
        <f>SUM('по сортам'!B55:E55)</f>
        <v>0</v>
      </c>
      <c r="C114" s="1">
        <v>0</v>
      </c>
      <c r="D114" s="1">
        <v>332.68</v>
      </c>
      <c r="E114" s="1">
        <v>0</v>
      </c>
    </row>
    <row r="115" spans="1:5" x14ac:dyDescent="0.2">
      <c r="A115" s="5">
        <v>46288</v>
      </c>
      <c r="B115" s="1">
        <f>SUM('по сортам'!B56:E56)</f>
        <v>0</v>
      </c>
      <c r="C115" s="1">
        <v>0</v>
      </c>
      <c r="D115" s="1">
        <v>461.46199999999999</v>
      </c>
      <c r="E115" s="1">
        <v>0</v>
      </c>
    </row>
    <row r="116" spans="1:5" x14ac:dyDescent="0.2">
      <c r="A116" s="5">
        <v>46289</v>
      </c>
      <c r="B116" s="1">
        <f>SUM('по сортам'!B57:E57)</f>
        <v>0</v>
      </c>
      <c r="C116" s="1">
        <v>0</v>
      </c>
      <c r="D116" s="1">
        <v>442.53399999999999</v>
      </c>
      <c r="E116" s="1">
        <v>0</v>
      </c>
    </row>
    <row r="117" spans="1:5" x14ac:dyDescent="0.2">
      <c r="A117" s="5">
        <v>46290</v>
      </c>
      <c r="B117" s="1">
        <f>SUM('по сортам'!B58:E58)</f>
        <v>0</v>
      </c>
      <c r="C117" s="1">
        <v>400.012</v>
      </c>
      <c r="D117" s="1">
        <v>440.22800000000001</v>
      </c>
      <c r="E117" s="1">
        <v>0</v>
      </c>
    </row>
    <row r="118" spans="1:5" x14ac:dyDescent="0.2">
      <c r="A118" s="5">
        <v>46291</v>
      </c>
      <c r="B118" s="1">
        <f>SUM('по сортам'!B59:E59)</f>
        <v>0</v>
      </c>
      <c r="C118" s="1">
        <v>453.18700000000001</v>
      </c>
      <c r="D118" s="1">
        <v>487.59699999999998</v>
      </c>
      <c r="E118" s="1">
        <v>23.66</v>
      </c>
    </row>
    <row r="119" spans="1:5" x14ac:dyDescent="0.2">
      <c r="A119" s="5">
        <v>46292</v>
      </c>
      <c r="B119" s="1">
        <f>SUM('по сортам'!B60:E60)</f>
        <v>0</v>
      </c>
      <c r="C119" s="1">
        <v>540.96600000000001</v>
      </c>
      <c r="D119" s="1">
        <v>620.04</v>
      </c>
      <c r="E119" s="1">
        <v>321.84300000000002</v>
      </c>
    </row>
    <row r="120" spans="1:5" x14ac:dyDescent="0.2">
      <c r="A120" s="5">
        <v>46293</v>
      </c>
      <c r="B120" s="1">
        <f>SUM('по сортам'!B61:E61)</f>
        <v>0</v>
      </c>
      <c r="C120" s="1">
        <v>272.26100000000002</v>
      </c>
      <c r="D120" s="1">
        <v>620.03399999999999</v>
      </c>
      <c r="E120" s="1">
        <v>450.274</v>
      </c>
    </row>
    <row r="121" spans="1:5" x14ac:dyDescent="0.2">
      <c r="A121" s="5">
        <v>46294</v>
      </c>
      <c r="B121" s="1"/>
      <c r="C121" s="1">
        <v>363.82100000000003</v>
      </c>
      <c r="D121" s="1">
        <v>267.47000000000003</v>
      </c>
      <c r="E121" s="1">
        <v>459.11700000000002</v>
      </c>
    </row>
    <row r="122" spans="1:5" x14ac:dyDescent="0.2">
      <c r="A122" s="5">
        <v>46295</v>
      </c>
      <c r="B122" s="1"/>
      <c r="C122" s="1">
        <v>0</v>
      </c>
      <c r="D122" s="1">
        <v>108.41500000000001</v>
      </c>
      <c r="E122" s="1">
        <v>499.37599999999998</v>
      </c>
    </row>
    <row r="123" spans="1:5" x14ac:dyDescent="0.2">
      <c r="A123" s="5">
        <v>46296</v>
      </c>
      <c r="B123" s="1"/>
      <c r="C123" s="1">
        <v>533.34</v>
      </c>
      <c r="D123" s="1">
        <v>431.95699999999999</v>
      </c>
      <c r="E123" s="1">
        <v>507.46</v>
      </c>
    </row>
    <row r="124" spans="1:5" x14ac:dyDescent="0.2">
      <c r="A124" s="5">
        <v>46297</v>
      </c>
      <c r="B124" s="1"/>
      <c r="C124" s="1">
        <v>610.83600000000001</v>
      </c>
      <c r="D124" s="1">
        <v>599.428</v>
      </c>
      <c r="E124" s="1">
        <v>468.52300000000002</v>
      </c>
    </row>
    <row r="125" spans="1:5" x14ac:dyDescent="0.2">
      <c r="A125" s="5">
        <v>46298</v>
      </c>
      <c r="B125" s="1"/>
      <c r="C125" s="1">
        <v>562.553</v>
      </c>
      <c r="D125" s="1">
        <v>510.70699999999999</v>
      </c>
      <c r="E125" s="1">
        <v>339.791</v>
      </c>
    </row>
    <row r="126" spans="1:5" x14ac:dyDescent="0.2">
      <c r="A126" s="5">
        <v>46299</v>
      </c>
      <c r="B126" s="1"/>
      <c r="C126" s="1">
        <v>612.43499999999995</v>
      </c>
      <c r="D126" s="1">
        <v>452.06</v>
      </c>
      <c r="E126" s="1">
        <v>660.27599999999995</v>
      </c>
    </row>
    <row r="127" spans="1:5" x14ac:dyDescent="0.2">
      <c r="A127" s="5">
        <v>46300</v>
      </c>
      <c r="B127" s="1"/>
      <c r="C127" s="1">
        <v>707.803</v>
      </c>
      <c r="D127" s="1">
        <v>596.33100000000002</v>
      </c>
      <c r="E127" s="1">
        <v>643.64800000000002</v>
      </c>
    </row>
    <row r="128" spans="1:5" x14ac:dyDescent="0.2">
      <c r="A128" s="5">
        <v>46301</v>
      </c>
      <c r="B128" s="1"/>
      <c r="C128" s="1">
        <v>769.44799999999998</v>
      </c>
      <c r="D128" s="1">
        <v>504.07499999999999</v>
      </c>
      <c r="E128" s="1">
        <v>698.07100000000003</v>
      </c>
    </row>
    <row r="129" spans="1:5" x14ac:dyDescent="0.2">
      <c r="A129" s="5">
        <v>46302</v>
      </c>
      <c r="B129" s="1"/>
      <c r="C129" s="1">
        <v>662.80100000000004</v>
      </c>
      <c r="D129" s="1">
        <v>384.947</v>
      </c>
      <c r="E129" s="1">
        <v>695.7</v>
      </c>
    </row>
    <row r="130" spans="1:5" x14ac:dyDescent="0.2">
      <c r="A130" s="5">
        <v>46303</v>
      </c>
      <c r="B130" s="1"/>
      <c r="C130" s="1">
        <v>828.45299999999997</v>
      </c>
      <c r="D130" s="1">
        <v>397.71199999999999</v>
      </c>
      <c r="E130" s="1">
        <v>237.13200000000001</v>
      </c>
    </row>
    <row r="131" spans="1:5" x14ac:dyDescent="0.2">
      <c r="A131" s="5">
        <v>46304</v>
      </c>
      <c r="B131" s="1"/>
      <c r="C131" s="1">
        <v>808.37</v>
      </c>
      <c r="D131" s="1">
        <v>718.13800000000003</v>
      </c>
      <c r="E131" s="1">
        <v>625.86599999999999</v>
      </c>
    </row>
    <row r="132" spans="1:5" x14ac:dyDescent="0.2">
      <c r="A132" s="5">
        <v>46305</v>
      </c>
      <c r="B132" s="1"/>
      <c r="C132" s="1">
        <v>705.08299999999997</v>
      </c>
      <c r="D132" s="1">
        <v>357.32</v>
      </c>
      <c r="E132" s="1">
        <v>511.142</v>
      </c>
    </row>
    <row r="133" spans="1:5" x14ac:dyDescent="0.2">
      <c r="A133" s="5">
        <v>46306</v>
      </c>
      <c r="B133" s="1"/>
      <c r="C133" s="1">
        <v>751.41600000000005</v>
      </c>
      <c r="D133" s="1">
        <v>837.74900000000002</v>
      </c>
      <c r="E133" s="1">
        <v>509.93400000000003</v>
      </c>
    </row>
    <row r="134" spans="1:5" x14ac:dyDescent="0.2">
      <c r="A134" s="5">
        <v>46307</v>
      </c>
      <c r="B134" s="1"/>
      <c r="C134" s="1">
        <v>771.65899999999999</v>
      </c>
      <c r="D134" s="1">
        <v>712.33600000000001</v>
      </c>
      <c r="E134" s="1">
        <v>501.68099999999998</v>
      </c>
    </row>
    <row r="135" spans="1:5" x14ac:dyDescent="0.2">
      <c r="A135" s="5">
        <v>46308</v>
      </c>
      <c r="B135" s="1"/>
      <c r="C135" s="1">
        <v>97.033000000000001</v>
      </c>
      <c r="D135" s="1">
        <v>676.81500000000005</v>
      </c>
      <c r="E135" s="1">
        <v>435.43700000000001</v>
      </c>
    </row>
    <row r="136" spans="1:5" x14ac:dyDescent="0.2">
      <c r="A136" s="5">
        <v>46309</v>
      </c>
      <c r="B136" s="1"/>
      <c r="C136" s="1">
        <v>0</v>
      </c>
      <c r="D136" s="1">
        <v>725.32299999999998</v>
      </c>
      <c r="E136" s="1">
        <v>586.86400000000003</v>
      </c>
    </row>
    <row r="137" spans="1:5" x14ac:dyDescent="0.2">
      <c r="A137" s="5">
        <v>46310</v>
      </c>
      <c r="B137" s="1"/>
      <c r="C137" s="1">
        <v>279.34500000000003</v>
      </c>
      <c r="D137" s="1">
        <v>516.99800000000005</v>
      </c>
      <c r="E137" s="1">
        <v>565.55100000000004</v>
      </c>
    </row>
    <row r="138" spans="1:5" x14ac:dyDescent="0.2">
      <c r="A138" s="5">
        <v>46311</v>
      </c>
      <c r="B138" s="1"/>
      <c r="C138" s="1">
        <v>660.35199999999998</v>
      </c>
      <c r="D138" s="1">
        <v>288.721</v>
      </c>
      <c r="E138" s="1">
        <v>388.14600000000002</v>
      </c>
    </row>
    <row r="139" spans="1:5" x14ac:dyDescent="0.2">
      <c r="A139" s="5">
        <v>46312</v>
      </c>
      <c r="B139" s="1"/>
      <c r="C139" s="1">
        <v>650.91399999999999</v>
      </c>
      <c r="D139" s="1">
        <v>101.111</v>
      </c>
      <c r="E139" s="1">
        <v>558.48</v>
      </c>
    </row>
    <row r="140" spans="1:5" x14ac:dyDescent="0.2">
      <c r="A140" s="5">
        <v>46313</v>
      </c>
      <c r="B140" s="1"/>
      <c r="C140" s="1">
        <v>494.072</v>
      </c>
      <c r="D140" s="1">
        <v>0</v>
      </c>
      <c r="E140" s="1">
        <v>213.57900000000001</v>
      </c>
    </row>
    <row r="141" spans="1:5" x14ac:dyDescent="0.2">
      <c r="A141" s="5">
        <v>46314</v>
      </c>
      <c r="B141" s="1"/>
      <c r="C141" s="1">
        <v>352.69600000000003</v>
      </c>
      <c r="D141" s="1">
        <v>0</v>
      </c>
      <c r="E141" s="1">
        <v>558.45399999999995</v>
      </c>
    </row>
    <row r="142" spans="1:5" x14ac:dyDescent="0.2">
      <c r="A142" s="5">
        <v>46315</v>
      </c>
      <c r="B142" s="1"/>
      <c r="C142" s="1">
        <v>374.096</v>
      </c>
      <c r="D142" s="1">
        <v>0</v>
      </c>
      <c r="E142" s="1">
        <v>433.13</v>
      </c>
    </row>
    <row r="143" spans="1:5" x14ac:dyDescent="0.2">
      <c r="A143" s="5">
        <v>46316</v>
      </c>
      <c r="B143" s="1"/>
      <c r="C143" s="1">
        <v>726.58699999999999</v>
      </c>
      <c r="D143" s="1">
        <v>0</v>
      </c>
      <c r="E143" s="1">
        <v>385.74</v>
      </c>
    </row>
    <row r="144" spans="1:5" x14ac:dyDescent="0.2">
      <c r="A144" s="5">
        <v>46317</v>
      </c>
      <c r="B144" s="1"/>
      <c r="C144" s="1">
        <v>636.85599999999999</v>
      </c>
      <c r="D144" s="1">
        <v>0</v>
      </c>
      <c r="E144" s="1">
        <v>567.90800000000002</v>
      </c>
    </row>
    <row r="145" spans="1:5" x14ac:dyDescent="0.2">
      <c r="A145" s="5">
        <v>46318</v>
      </c>
      <c r="B145" s="1"/>
      <c r="C145" s="1">
        <v>717.14200000000005</v>
      </c>
      <c r="D145" s="1">
        <v>0</v>
      </c>
      <c r="E145" s="1">
        <v>478.03800000000001</v>
      </c>
    </row>
    <row r="146" spans="1:5" x14ac:dyDescent="0.2">
      <c r="A146" s="5">
        <v>46319</v>
      </c>
      <c r="B146" s="1"/>
      <c r="C146" s="1">
        <v>851.84400000000005</v>
      </c>
      <c r="D146" s="1">
        <v>0</v>
      </c>
      <c r="E146" s="1">
        <v>352.601</v>
      </c>
    </row>
    <row r="147" spans="1:5" x14ac:dyDescent="0.2">
      <c r="A147" s="5">
        <v>46320</v>
      </c>
      <c r="B147" s="1"/>
      <c r="C147" s="1">
        <v>765.92</v>
      </c>
      <c r="D147" s="1">
        <v>0</v>
      </c>
      <c r="E147" s="1">
        <v>485.2</v>
      </c>
    </row>
    <row r="148" spans="1:5" x14ac:dyDescent="0.2">
      <c r="A148" s="5">
        <v>46321</v>
      </c>
      <c r="B148" s="1"/>
      <c r="C148" s="1">
        <v>476.97399999999999</v>
      </c>
      <c r="D148" s="1">
        <v>0</v>
      </c>
      <c r="E148" s="1">
        <v>380.99299999999999</v>
      </c>
    </row>
    <row r="149" spans="1:5" x14ac:dyDescent="0.2">
      <c r="A149" s="5">
        <v>46322</v>
      </c>
      <c r="B149" s="1"/>
      <c r="C149" s="1">
        <v>744.25199999999995</v>
      </c>
      <c r="D149" s="1">
        <v>0</v>
      </c>
      <c r="E149" s="1">
        <v>492.298</v>
      </c>
    </row>
    <row r="150" spans="1:5" x14ac:dyDescent="0.2">
      <c r="A150" s="5">
        <v>46323</v>
      </c>
      <c r="B150" s="1"/>
      <c r="C150" s="1">
        <v>758.56100000000004</v>
      </c>
      <c r="D150" s="1">
        <v>0</v>
      </c>
      <c r="E150" s="1">
        <v>551.452</v>
      </c>
    </row>
    <row r="151" spans="1:5" x14ac:dyDescent="0.2">
      <c r="A151" s="5">
        <v>46324</v>
      </c>
      <c r="B151" s="1"/>
      <c r="C151" s="1">
        <v>435.40100000000001</v>
      </c>
      <c r="D151" s="1">
        <v>0</v>
      </c>
      <c r="E151" s="1">
        <v>407.048</v>
      </c>
    </row>
    <row r="152" spans="1:5" x14ac:dyDescent="0.2">
      <c r="A152" s="5">
        <v>46325</v>
      </c>
      <c r="B152" s="1"/>
      <c r="C152" s="1">
        <v>558.73699999999997</v>
      </c>
      <c r="D152" s="1">
        <v>0</v>
      </c>
      <c r="E152" s="1">
        <v>221.16800000000001</v>
      </c>
    </row>
    <row r="153" spans="1:5" x14ac:dyDescent="0.2">
      <c r="A153" s="5">
        <v>46326</v>
      </c>
      <c r="B153" s="1"/>
      <c r="C153" s="1">
        <v>771.55600000000004</v>
      </c>
      <c r="D153" s="1">
        <v>0</v>
      </c>
      <c r="E153" s="1">
        <v>163.38800000000001</v>
      </c>
    </row>
    <row r="154" spans="1:5" x14ac:dyDescent="0.2">
      <c r="A154" s="5">
        <v>46327</v>
      </c>
      <c r="B154" s="1"/>
      <c r="C154" s="1">
        <v>794.72199999999998</v>
      </c>
      <c r="D154" s="1">
        <v>0</v>
      </c>
    </row>
    <row r="155" spans="1:5" x14ac:dyDescent="0.2">
      <c r="A155" s="5">
        <v>46328</v>
      </c>
      <c r="B155" s="1"/>
      <c r="C155" s="1">
        <v>894.41600000000005</v>
      </c>
      <c r="D155" s="1">
        <v>0</v>
      </c>
    </row>
    <row r="156" spans="1:5" x14ac:dyDescent="0.2">
      <c r="A156" s="5">
        <v>46329</v>
      </c>
      <c r="B156" s="1"/>
      <c r="C156" s="1">
        <v>780.976</v>
      </c>
      <c r="D156" s="1">
        <v>0</v>
      </c>
    </row>
    <row r="157" spans="1:5" x14ac:dyDescent="0.2">
      <c r="A157" s="5">
        <v>46330</v>
      </c>
      <c r="B157" s="1"/>
      <c r="C157" s="1">
        <v>741.36900000000003</v>
      </c>
      <c r="D157" s="1">
        <v>0</v>
      </c>
    </row>
    <row r="158" spans="1:5" x14ac:dyDescent="0.2">
      <c r="A158" s="5">
        <v>46331</v>
      </c>
      <c r="C158" s="1">
        <v>608.23599999999999</v>
      </c>
      <c r="D158" s="1">
        <v>0</v>
      </c>
    </row>
    <row r="159" spans="1:5" x14ac:dyDescent="0.2">
      <c r="A159" s="5">
        <v>46332</v>
      </c>
      <c r="C159" s="1">
        <v>560.85299999999995</v>
      </c>
      <c r="D159" s="1">
        <v>0</v>
      </c>
    </row>
    <row r="160" spans="1:5" x14ac:dyDescent="0.2">
      <c r="A160" s="5">
        <v>46333</v>
      </c>
      <c r="C160" s="1">
        <v>30.773</v>
      </c>
      <c r="D160" s="1">
        <v>0</v>
      </c>
    </row>
    <row r="161" spans="1:4" x14ac:dyDescent="0.2">
      <c r="A161" s="5">
        <v>46334</v>
      </c>
      <c r="C161" s="1">
        <v>205.851</v>
      </c>
      <c r="D161" s="1">
        <v>0</v>
      </c>
    </row>
    <row r="162" spans="1:4" x14ac:dyDescent="0.2">
      <c r="A162" s="5">
        <v>46335</v>
      </c>
      <c r="C162" s="1">
        <v>355.68599999999998</v>
      </c>
      <c r="D162" s="1">
        <v>0</v>
      </c>
    </row>
    <row r="163" spans="1:4" x14ac:dyDescent="0.2">
      <c r="A163" s="5">
        <v>46336</v>
      </c>
      <c r="C163" s="1">
        <v>148.97399999999999</v>
      </c>
      <c r="D163" s="1">
        <v>0</v>
      </c>
    </row>
    <row r="164" spans="1:4" x14ac:dyDescent="0.2">
      <c r="A164" s="5">
        <v>46337</v>
      </c>
      <c r="C164" s="1">
        <v>0</v>
      </c>
      <c r="D164" s="1">
        <v>0</v>
      </c>
    </row>
    <row r="165" spans="1:4" x14ac:dyDescent="0.2">
      <c r="A165" s="5">
        <v>46338</v>
      </c>
      <c r="C165" s="1">
        <v>0.92300000000000004</v>
      </c>
      <c r="D165" s="1">
        <v>0</v>
      </c>
    </row>
    <row r="166" spans="1:4" x14ac:dyDescent="0.2">
      <c r="A166" s="5"/>
      <c r="C166" s="1"/>
      <c r="D166" s="1"/>
    </row>
    <row r="167" spans="1:4" x14ac:dyDescent="0.2">
      <c r="A167" s="5"/>
      <c r="C167" s="1"/>
      <c r="D167" s="1"/>
    </row>
    <row r="168" spans="1:4" x14ac:dyDescent="0.2">
      <c r="A168" s="5"/>
      <c r="C168" s="1"/>
      <c r="D168" s="1"/>
    </row>
    <row r="169" spans="1:4" x14ac:dyDescent="0.2">
      <c r="A169" s="5"/>
      <c r="C169" s="1"/>
      <c r="D169" s="1"/>
    </row>
    <row r="170" spans="1:4" x14ac:dyDescent="0.2">
      <c r="C170" s="1"/>
      <c r="D170" s="1"/>
    </row>
    <row r="171" spans="1:4" x14ac:dyDescent="0.2">
      <c r="C171" s="1"/>
      <c r="D171" s="1"/>
    </row>
    <row r="172" spans="1:4" x14ac:dyDescent="0.2">
      <c r="C172" s="1"/>
      <c r="D172" s="1"/>
    </row>
    <row r="173" spans="1:4" x14ac:dyDescent="0.2">
      <c r="C173" s="1"/>
      <c r="D173" s="1"/>
    </row>
    <row r="174" spans="1:4" x14ac:dyDescent="0.2">
      <c r="C174" s="1"/>
      <c r="D174" s="1"/>
    </row>
    <row r="175" spans="1:4" x14ac:dyDescent="0.2">
      <c r="C175" s="1"/>
      <c r="D175" s="1"/>
    </row>
    <row r="176" spans="1:4" x14ac:dyDescent="0.2">
      <c r="C176" s="1"/>
      <c r="D176" s="1"/>
    </row>
    <row r="177" spans="3:4" x14ac:dyDescent="0.2">
      <c r="C177" s="1"/>
      <c r="D177" s="1"/>
    </row>
    <row r="178" spans="3:4" x14ac:dyDescent="0.2">
      <c r="C178" s="1"/>
      <c r="D178" s="1"/>
    </row>
    <row r="179" spans="3:4" x14ac:dyDescent="0.2">
      <c r="C179" s="1"/>
      <c r="D179" s="1"/>
    </row>
    <row r="180" spans="3:4" x14ac:dyDescent="0.2">
      <c r="C180" s="1"/>
      <c r="D180" s="1"/>
    </row>
    <row r="181" spans="3:4" x14ac:dyDescent="0.2">
      <c r="C181" s="1"/>
      <c r="D181" s="1"/>
    </row>
    <row r="182" spans="3:4" x14ac:dyDescent="0.2">
      <c r="C182" s="1"/>
      <c r="D182" s="1"/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14183-218A-4C84-8C92-8589F5F10DED}">
  <dimension ref="A1:G107"/>
  <sheetViews>
    <sheetView workbookViewId="0">
      <pane ySplit="1" topLeftCell="A2" activePane="bottomLeft" state="frozen"/>
      <selection pane="bottomLeft" activeCell="E24" sqref="E24"/>
    </sheetView>
  </sheetViews>
  <sheetFormatPr defaultRowHeight="15" x14ac:dyDescent="0.2"/>
  <cols>
    <col min="5" max="5" width="40.88671875" customWidth="1"/>
  </cols>
  <sheetData>
    <row r="1" spans="1:7" ht="15.75" x14ac:dyDescent="0.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</row>
    <row r="2" spans="1:7" ht="15.75" x14ac:dyDescent="0.25">
      <c r="A2" s="14">
        <v>46237</v>
      </c>
      <c r="B2" s="12" t="s">
        <v>21</v>
      </c>
      <c r="C2">
        <v>289</v>
      </c>
      <c r="D2">
        <v>646</v>
      </c>
      <c r="E2" t="s">
        <v>23</v>
      </c>
      <c r="G2" s="12"/>
    </row>
    <row r="3" spans="1:7" x14ac:dyDescent="0.2">
      <c r="A3" s="12">
        <f>+A2</f>
        <v>46237</v>
      </c>
      <c r="B3" s="12" t="s">
        <v>22</v>
      </c>
      <c r="C3">
        <v>255</v>
      </c>
      <c r="D3">
        <v>304</v>
      </c>
      <c r="E3" t="s">
        <v>31</v>
      </c>
      <c r="G3" s="12"/>
    </row>
    <row r="4" spans="1:7" x14ac:dyDescent="0.2">
      <c r="A4" s="12">
        <f>+A2+1</f>
        <v>46238</v>
      </c>
      <c r="B4" s="12" t="s">
        <v>21</v>
      </c>
      <c r="C4">
        <v>326</v>
      </c>
      <c r="D4">
        <v>123</v>
      </c>
      <c r="E4" t="s">
        <v>32</v>
      </c>
      <c r="G4" s="12"/>
    </row>
    <row r="5" spans="1:7" x14ac:dyDescent="0.2">
      <c r="A5" s="12">
        <f t="shared" ref="A5:A68" si="0">+A3+1</f>
        <v>46238</v>
      </c>
      <c r="B5" s="12" t="s">
        <v>22</v>
      </c>
      <c r="C5">
        <v>127</v>
      </c>
      <c r="D5">
        <v>254</v>
      </c>
      <c r="E5" t="s">
        <v>33</v>
      </c>
      <c r="G5" s="12"/>
    </row>
    <row r="6" spans="1:7" x14ac:dyDescent="0.2">
      <c r="A6" s="12">
        <f t="shared" si="0"/>
        <v>46239</v>
      </c>
      <c r="B6" s="12" t="s">
        <v>21</v>
      </c>
      <c r="C6">
        <v>55</v>
      </c>
      <c r="D6">
        <v>227</v>
      </c>
      <c r="E6" t="s">
        <v>34</v>
      </c>
      <c r="G6" s="12"/>
    </row>
    <row r="7" spans="1:7" x14ac:dyDescent="0.2">
      <c r="A7" s="12">
        <f t="shared" si="0"/>
        <v>46239</v>
      </c>
      <c r="B7" s="12" t="s">
        <v>22</v>
      </c>
      <c r="C7">
        <v>174</v>
      </c>
      <c r="D7">
        <v>159</v>
      </c>
      <c r="E7" t="s">
        <v>35</v>
      </c>
      <c r="G7" s="12"/>
    </row>
    <row r="8" spans="1:7" x14ac:dyDescent="0.2">
      <c r="A8" s="12">
        <f t="shared" si="0"/>
        <v>46240</v>
      </c>
      <c r="B8" s="12" t="s">
        <v>21</v>
      </c>
      <c r="C8">
        <v>116</v>
      </c>
      <c r="D8">
        <v>140</v>
      </c>
      <c r="E8" t="s">
        <v>36</v>
      </c>
      <c r="G8" s="12"/>
    </row>
    <row r="9" spans="1:7" x14ac:dyDescent="0.2">
      <c r="A9" s="12">
        <f t="shared" si="0"/>
        <v>46240</v>
      </c>
      <c r="B9" s="12" t="s">
        <v>22</v>
      </c>
      <c r="C9">
        <v>209</v>
      </c>
      <c r="D9">
        <v>247</v>
      </c>
      <c r="E9" t="s">
        <v>35</v>
      </c>
      <c r="G9" s="12"/>
    </row>
    <row r="10" spans="1:7" x14ac:dyDescent="0.2">
      <c r="A10" s="12">
        <f t="shared" si="0"/>
        <v>46241</v>
      </c>
      <c r="B10" s="12" t="s">
        <v>21</v>
      </c>
      <c r="C10">
        <v>150</v>
      </c>
      <c r="D10">
        <v>256</v>
      </c>
      <c r="E10" t="s">
        <v>37</v>
      </c>
      <c r="G10" s="12"/>
    </row>
    <row r="11" spans="1:7" x14ac:dyDescent="0.2">
      <c r="A11" s="12">
        <f t="shared" si="0"/>
        <v>46241</v>
      </c>
      <c r="B11" s="12" t="s">
        <v>22</v>
      </c>
      <c r="C11">
        <v>412</v>
      </c>
      <c r="D11">
        <v>414</v>
      </c>
      <c r="E11" t="s">
        <v>38</v>
      </c>
      <c r="G11" s="12"/>
    </row>
    <row r="12" spans="1:7" x14ac:dyDescent="0.2">
      <c r="A12" s="12">
        <f t="shared" si="0"/>
        <v>46242</v>
      </c>
      <c r="B12" s="12" t="s">
        <v>21</v>
      </c>
      <c r="C12">
        <v>292</v>
      </c>
      <c r="D12">
        <v>263</v>
      </c>
      <c r="E12" t="s">
        <v>39</v>
      </c>
      <c r="G12" s="12"/>
    </row>
    <row r="13" spans="1:7" x14ac:dyDescent="0.2">
      <c r="A13" s="12">
        <f t="shared" si="0"/>
        <v>46242</v>
      </c>
      <c r="B13" s="12" t="s">
        <v>22</v>
      </c>
      <c r="C13">
        <v>197</v>
      </c>
      <c r="D13">
        <v>223</v>
      </c>
      <c r="E13" t="s">
        <v>40</v>
      </c>
      <c r="G13" s="12"/>
    </row>
    <row r="14" spans="1:7" x14ac:dyDescent="0.2">
      <c r="A14" s="12">
        <f t="shared" si="0"/>
        <v>46243</v>
      </c>
      <c r="B14" s="12" t="s">
        <v>21</v>
      </c>
      <c r="C14">
        <v>162</v>
      </c>
      <c r="D14">
        <v>158</v>
      </c>
      <c r="E14" t="s">
        <v>41</v>
      </c>
      <c r="G14" s="12"/>
    </row>
    <row r="15" spans="1:7" x14ac:dyDescent="0.2">
      <c r="A15" s="12">
        <f t="shared" si="0"/>
        <v>46243</v>
      </c>
      <c r="B15" s="12" t="s">
        <v>22</v>
      </c>
      <c r="C15">
        <v>119</v>
      </c>
      <c r="D15">
        <v>127</v>
      </c>
      <c r="E15" t="s">
        <v>42</v>
      </c>
      <c r="G15" s="12"/>
    </row>
    <row r="16" spans="1:7" x14ac:dyDescent="0.2">
      <c r="A16" s="12">
        <f t="shared" si="0"/>
        <v>46244</v>
      </c>
      <c r="B16" s="12" t="s">
        <v>21</v>
      </c>
      <c r="C16">
        <v>207</v>
      </c>
      <c r="D16">
        <v>80</v>
      </c>
      <c r="E16" t="s">
        <v>43</v>
      </c>
      <c r="G16" s="12"/>
    </row>
    <row r="17" spans="1:7" x14ac:dyDescent="0.2">
      <c r="A17" s="12">
        <f t="shared" si="0"/>
        <v>46244</v>
      </c>
      <c r="B17" s="12" t="s">
        <v>22</v>
      </c>
      <c r="C17">
        <v>239</v>
      </c>
      <c r="D17">
        <v>273</v>
      </c>
      <c r="E17" t="s">
        <v>44</v>
      </c>
      <c r="G17" s="12"/>
    </row>
    <row r="18" spans="1:7" x14ac:dyDescent="0.2">
      <c r="A18" s="12">
        <f t="shared" si="0"/>
        <v>46245</v>
      </c>
      <c r="B18" s="12" t="s">
        <v>21</v>
      </c>
      <c r="C18">
        <v>436</v>
      </c>
      <c r="D18">
        <v>404</v>
      </c>
      <c r="E18" t="s">
        <v>45</v>
      </c>
      <c r="G18" s="12"/>
    </row>
    <row r="19" spans="1:7" x14ac:dyDescent="0.2">
      <c r="A19" s="12">
        <f t="shared" si="0"/>
        <v>46245</v>
      </c>
      <c r="B19" s="12" t="s">
        <v>22</v>
      </c>
      <c r="C19">
        <v>128</v>
      </c>
      <c r="D19">
        <v>108</v>
      </c>
      <c r="E19" t="s">
        <v>46</v>
      </c>
      <c r="G19" s="12"/>
    </row>
    <row r="20" spans="1:7" x14ac:dyDescent="0.2">
      <c r="A20" s="12">
        <f t="shared" si="0"/>
        <v>46246</v>
      </c>
      <c r="B20" s="12" t="s">
        <v>21</v>
      </c>
      <c r="C20">
        <v>69</v>
      </c>
      <c r="D20">
        <v>106</v>
      </c>
      <c r="E20" t="s">
        <v>47</v>
      </c>
      <c r="G20" s="12"/>
    </row>
    <row r="21" spans="1:7" x14ac:dyDescent="0.2">
      <c r="A21" s="12">
        <f t="shared" si="0"/>
        <v>46246</v>
      </c>
      <c r="B21" s="12" t="s">
        <v>22</v>
      </c>
      <c r="C21">
        <v>169</v>
      </c>
      <c r="D21">
        <v>228</v>
      </c>
      <c r="E21" t="s">
        <v>48</v>
      </c>
      <c r="G21" s="12"/>
    </row>
    <row r="22" spans="1:7" x14ac:dyDescent="0.2">
      <c r="A22" s="12">
        <f t="shared" si="0"/>
        <v>46247</v>
      </c>
      <c r="B22" t="s">
        <v>21</v>
      </c>
      <c r="G22" s="12"/>
    </row>
    <row r="23" spans="1:7" x14ac:dyDescent="0.2">
      <c r="A23" s="12">
        <f t="shared" si="0"/>
        <v>46247</v>
      </c>
      <c r="B23" t="s">
        <v>22</v>
      </c>
      <c r="G23" s="12"/>
    </row>
    <row r="24" spans="1:7" x14ac:dyDescent="0.2">
      <c r="A24" s="12">
        <f t="shared" si="0"/>
        <v>46248</v>
      </c>
      <c r="B24" t="s">
        <v>21</v>
      </c>
      <c r="G24" s="12"/>
    </row>
    <row r="25" spans="1:7" x14ac:dyDescent="0.2">
      <c r="A25" s="12">
        <f t="shared" si="0"/>
        <v>46248</v>
      </c>
      <c r="B25" t="s">
        <v>22</v>
      </c>
      <c r="G25" s="12"/>
    </row>
    <row r="26" spans="1:7" x14ac:dyDescent="0.2">
      <c r="A26" s="12">
        <f t="shared" si="0"/>
        <v>46249</v>
      </c>
      <c r="B26" t="s">
        <v>21</v>
      </c>
      <c r="G26" s="12"/>
    </row>
    <row r="27" spans="1:7" x14ac:dyDescent="0.2">
      <c r="A27" s="12">
        <f t="shared" si="0"/>
        <v>46249</v>
      </c>
      <c r="B27" t="s">
        <v>22</v>
      </c>
      <c r="G27" s="12"/>
    </row>
    <row r="28" spans="1:7" x14ac:dyDescent="0.2">
      <c r="A28" s="12">
        <f t="shared" si="0"/>
        <v>46250</v>
      </c>
      <c r="B28" t="s">
        <v>21</v>
      </c>
      <c r="G28" s="12"/>
    </row>
    <row r="29" spans="1:7" x14ac:dyDescent="0.2">
      <c r="A29" s="12">
        <f t="shared" si="0"/>
        <v>46250</v>
      </c>
      <c r="B29" t="s">
        <v>22</v>
      </c>
      <c r="G29" s="12"/>
    </row>
    <row r="30" spans="1:7" x14ac:dyDescent="0.2">
      <c r="A30" s="12">
        <f t="shared" si="0"/>
        <v>46251</v>
      </c>
      <c r="B30" t="s">
        <v>21</v>
      </c>
      <c r="G30" s="12"/>
    </row>
    <row r="31" spans="1:7" x14ac:dyDescent="0.2">
      <c r="A31" s="12">
        <f t="shared" si="0"/>
        <v>46251</v>
      </c>
      <c r="B31" t="s">
        <v>22</v>
      </c>
      <c r="G31" s="12"/>
    </row>
    <row r="32" spans="1:7" x14ac:dyDescent="0.2">
      <c r="A32" s="12">
        <f t="shared" si="0"/>
        <v>46252</v>
      </c>
      <c r="B32" t="s">
        <v>21</v>
      </c>
      <c r="G32" s="12"/>
    </row>
    <row r="33" spans="1:7" x14ac:dyDescent="0.2">
      <c r="A33" s="12">
        <f t="shared" si="0"/>
        <v>46252</v>
      </c>
      <c r="B33" t="s">
        <v>22</v>
      </c>
      <c r="G33" s="12"/>
    </row>
    <row r="34" spans="1:7" x14ac:dyDescent="0.2">
      <c r="A34" s="12">
        <f t="shared" si="0"/>
        <v>46253</v>
      </c>
      <c r="B34" t="s">
        <v>21</v>
      </c>
      <c r="G34" s="12"/>
    </row>
    <row r="35" spans="1:7" x14ac:dyDescent="0.2">
      <c r="A35" s="12">
        <f t="shared" si="0"/>
        <v>46253</v>
      </c>
      <c r="B35" t="s">
        <v>22</v>
      </c>
      <c r="G35" s="12"/>
    </row>
    <row r="36" spans="1:7" x14ac:dyDescent="0.2">
      <c r="A36" s="12">
        <f t="shared" si="0"/>
        <v>46254</v>
      </c>
      <c r="B36" t="s">
        <v>21</v>
      </c>
      <c r="G36" s="12"/>
    </row>
    <row r="37" spans="1:7" x14ac:dyDescent="0.2">
      <c r="A37" s="12">
        <f t="shared" si="0"/>
        <v>46254</v>
      </c>
      <c r="B37" t="s">
        <v>22</v>
      </c>
      <c r="G37" s="12"/>
    </row>
    <row r="38" spans="1:7" x14ac:dyDescent="0.2">
      <c r="A38" s="12">
        <f t="shared" si="0"/>
        <v>46255</v>
      </c>
      <c r="B38" t="s">
        <v>21</v>
      </c>
      <c r="G38" s="12"/>
    </row>
    <row r="39" spans="1:7" x14ac:dyDescent="0.2">
      <c r="A39" s="12">
        <f t="shared" si="0"/>
        <v>46255</v>
      </c>
      <c r="B39" t="s">
        <v>22</v>
      </c>
      <c r="G39" s="12"/>
    </row>
    <row r="40" spans="1:7" x14ac:dyDescent="0.2">
      <c r="A40" s="12">
        <f t="shared" si="0"/>
        <v>46256</v>
      </c>
      <c r="B40" t="s">
        <v>21</v>
      </c>
      <c r="G40" s="12"/>
    </row>
    <row r="41" spans="1:7" x14ac:dyDescent="0.2">
      <c r="A41" s="12">
        <f t="shared" si="0"/>
        <v>46256</v>
      </c>
      <c r="B41" t="s">
        <v>22</v>
      </c>
      <c r="G41" s="12"/>
    </row>
    <row r="42" spans="1:7" x14ac:dyDescent="0.2">
      <c r="A42" s="12">
        <f t="shared" si="0"/>
        <v>46257</v>
      </c>
      <c r="B42" t="s">
        <v>21</v>
      </c>
      <c r="G42" s="12"/>
    </row>
    <row r="43" spans="1:7" x14ac:dyDescent="0.2">
      <c r="A43" s="12">
        <f t="shared" si="0"/>
        <v>46257</v>
      </c>
      <c r="B43" t="s">
        <v>22</v>
      </c>
      <c r="G43" s="12"/>
    </row>
    <row r="44" spans="1:7" x14ac:dyDescent="0.2">
      <c r="A44" s="12">
        <f t="shared" si="0"/>
        <v>46258</v>
      </c>
      <c r="B44" t="s">
        <v>21</v>
      </c>
      <c r="G44" s="12"/>
    </row>
    <row r="45" spans="1:7" x14ac:dyDescent="0.2">
      <c r="A45" s="12">
        <f t="shared" si="0"/>
        <v>46258</v>
      </c>
      <c r="B45" t="s">
        <v>22</v>
      </c>
      <c r="G45" s="12"/>
    </row>
    <row r="46" spans="1:7" x14ac:dyDescent="0.2">
      <c r="A46" s="12">
        <f t="shared" si="0"/>
        <v>46259</v>
      </c>
      <c r="B46" t="s">
        <v>21</v>
      </c>
      <c r="G46" s="12"/>
    </row>
    <row r="47" spans="1:7" x14ac:dyDescent="0.2">
      <c r="A47" s="12">
        <f t="shared" si="0"/>
        <v>46259</v>
      </c>
      <c r="B47" t="s">
        <v>22</v>
      </c>
      <c r="G47" s="12"/>
    </row>
    <row r="48" spans="1:7" x14ac:dyDescent="0.2">
      <c r="A48" s="12">
        <f t="shared" si="0"/>
        <v>46260</v>
      </c>
      <c r="B48" t="s">
        <v>21</v>
      </c>
      <c r="G48" s="12"/>
    </row>
    <row r="49" spans="1:7" x14ac:dyDescent="0.2">
      <c r="A49" s="12">
        <f t="shared" si="0"/>
        <v>46260</v>
      </c>
      <c r="B49" t="s">
        <v>22</v>
      </c>
      <c r="G49" s="12"/>
    </row>
    <row r="50" spans="1:7" x14ac:dyDescent="0.2">
      <c r="A50" s="12">
        <f t="shared" si="0"/>
        <v>46261</v>
      </c>
      <c r="B50" t="s">
        <v>21</v>
      </c>
      <c r="G50" s="12"/>
    </row>
    <row r="51" spans="1:7" x14ac:dyDescent="0.2">
      <c r="A51" s="12">
        <f t="shared" si="0"/>
        <v>46261</v>
      </c>
      <c r="B51" t="s">
        <v>22</v>
      </c>
      <c r="G51" s="12"/>
    </row>
    <row r="52" spans="1:7" x14ac:dyDescent="0.2">
      <c r="A52" s="12">
        <f t="shared" si="0"/>
        <v>46262</v>
      </c>
      <c r="B52" t="s">
        <v>21</v>
      </c>
      <c r="G52" s="12"/>
    </row>
    <row r="53" spans="1:7" x14ac:dyDescent="0.2">
      <c r="A53" s="12">
        <f t="shared" si="0"/>
        <v>46262</v>
      </c>
      <c r="B53" t="s">
        <v>22</v>
      </c>
      <c r="G53" s="12"/>
    </row>
    <row r="54" spans="1:7" x14ac:dyDescent="0.2">
      <c r="A54" s="12">
        <f t="shared" si="0"/>
        <v>46263</v>
      </c>
      <c r="B54" t="s">
        <v>21</v>
      </c>
      <c r="G54" s="12"/>
    </row>
    <row r="55" spans="1:7" x14ac:dyDescent="0.2">
      <c r="A55" s="12">
        <f t="shared" si="0"/>
        <v>46263</v>
      </c>
      <c r="B55" t="s">
        <v>22</v>
      </c>
      <c r="G55" s="12"/>
    </row>
    <row r="56" spans="1:7" x14ac:dyDescent="0.2">
      <c r="A56" s="12">
        <f t="shared" si="0"/>
        <v>46264</v>
      </c>
      <c r="B56" t="s">
        <v>21</v>
      </c>
      <c r="G56" s="12"/>
    </row>
    <row r="57" spans="1:7" x14ac:dyDescent="0.2">
      <c r="A57" s="12">
        <f t="shared" si="0"/>
        <v>46264</v>
      </c>
      <c r="B57" t="s">
        <v>22</v>
      </c>
      <c r="G57" s="12"/>
    </row>
    <row r="58" spans="1:7" x14ac:dyDescent="0.2">
      <c r="A58" s="12">
        <f t="shared" si="0"/>
        <v>46265</v>
      </c>
      <c r="B58" t="s">
        <v>21</v>
      </c>
      <c r="G58" s="12"/>
    </row>
    <row r="59" spans="1:7" x14ac:dyDescent="0.2">
      <c r="A59" s="12">
        <f t="shared" si="0"/>
        <v>46265</v>
      </c>
      <c r="B59" t="s">
        <v>22</v>
      </c>
      <c r="G59" s="12"/>
    </row>
    <row r="60" spans="1:7" x14ac:dyDescent="0.2">
      <c r="A60" s="12">
        <f t="shared" si="0"/>
        <v>46266</v>
      </c>
      <c r="B60" t="s">
        <v>21</v>
      </c>
      <c r="G60" s="12"/>
    </row>
    <row r="61" spans="1:7" x14ac:dyDescent="0.2">
      <c r="A61" s="12">
        <f t="shared" si="0"/>
        <v>46266</v>
      </c>
      <c r="B61" t="s">
        <v>22</v>
      </c>
      <c r="G61" s="12"/>
    </row>
    <row r="62" spans="1:7" x14ac:dyDescent="0.2">
      <c r="A62" s="12">
        <f t="shared" si="0"/>
        <v>46267</v>
      </c>
      <c r="B62" t="s">
        <v>21</v>
      </c>
      <c r="G62" s="12"/>
    </row>
    <row r="63" spans="1:7" x14ac:dyDescent="0.2">
      <c r="A63" s="12">
        <f t="shared" si="0"/>
        <v>46267</v>
      </c>
      <c r="B63" t="s">
        <v>22</v>
      </c>
      <c r="G63" s="12"/>
    </row>
    <row r="64" spans="1:7" x14ac:dyDescent="0.2">
      <c r="A64" s="12">
        <f t="shared" si="0"/>
        <v>46268</v>
      </c>
      <c r="B64" t="s">
        <v>21</v>
      </c>
      <c r="G64" s="12"/>
    </row>
    <row r="65" spans="1:7" x14ac:dyDescent="0.2">
      <c r="A65" s="12">
        <f t="shared" si="0"/>
        <v>46268</v>
      </c>
      <c r="B65" t="s">
        <v>22</v>
      </c>
      <c r="G65" s="12"/>
    </row>
    <row r="66" spans="1:7" x14ac:dyDescent="0.2">
      <c r="A66" s="12">
        <f t="shared" si="0"/>
        <v>46269</v>
      </c>
      <c r="B66" t="s">
        <v>21</v>
      </c>
      <c r="G66" s="12"/>
    </row>
    <row r="67" spans="1:7" x14ac:dyDescent="0.2">
      <c r="A67" s="12">
        <f t="shared" si="0"/>
        <v>46269</v>
      </c>
      <c r="B67" t="s">
        <v>22</v>
      </c>
      <c r="G67" s="12"/>
    </row>
    <row r="68" spans="1:7" x14ac:dyDescent="0.2">
      <c r="A68" s="12">
        <f t="shared" si="0"/>
        <v>46270</v>
      </c>
      <c r="B68" t="s">
        <v>21</v>
      </c>
      <c r="G68" s="12"/>
    </row>
    <row r="69" spans="1:7" x14ac:dyDescent="0.2">
      <c r="A69" s="12">
        <f t="shared" ref="A69:A73" si="1">+A67+1</f>
        <v>46270</v>
      </c>
      <c r="B69" t="s">
        <v>22</v>
      </c>
      <c r="G69" s="12"/>
    </row>
    <row r="70" spans="1:7" x14ac:dyDescent="0.2">
      <c r="A70" s="12">
        <f t="shared" si="1"/>
        <v>46271</v>
      </c>
      <c r="B70" t="s">
        <v>21</v>
      </c>
      <c r="G70" s="12"/>
    </row>
    <row r="71" spans="1:7" x14ac:dyDescent="0.2">
      <c r="A71" s="12">
        <f t="shared" si="1"/>
        <v>46271</v>
      </c>
      <c r="B71" t="s">
        <v>22</v>
      </c>
      <c r="G71" s="12"/>
    </row>
    <row r="72" spans="1:7" x14ac:dyDescent="0.2">
      <c r="A72" s="12">
        <f t="shared" si="1"/>
        <v>46272</v>
      </c>
      <c r="B72" t="s">
        <v>21</v>
      </c>
    </row>
    <row r="73" spans="1:7" x14ac:dyDescent="0.2">
      <c r="A73" s="12">
        <f t="shared" si="1"/>
        <v>46272</v>
      </c>
      <c r="B73" t="s">
        <v>22</v>
      </c>
    </row>
    <row r="74" spans="1:7" x14ac:dyDescent="0.2">
      <c r="A74" s="12"/>
    </row>
    <row r="75" spans="1:7" x14ac:dyDescent="0.2">
      <c r="A75" s="12"/>
    </row>
    <row r="76" spans="1:7" x14ac:dyDescent="0.2">
      <c r="A76" s="12"/>
    </row>
    <row r="77" spans="1:7" x14ac:dyDescent="0.2">
      <c r="A77" s="12"/>
    </row>
    <row r="78" spans="1:7" x14ac:dyDescent="0.2">
      <c r="A78" s="12"/>
    </row>
    <row r="79" spans="1:7" x14ac:dyDescent="0.2">
      <c r="A79" s="12"/>
    </row>
    <row r="80" spans="1:7" x14ac:dyDescent="0.2">
      <c r="A80" s="12"/>
    </row>
    <row r="81" spans="1:1" x14ac:dyDescent="0.2">
      <c r="A81" s="12"/>
    </row>
    <row r="82" spans="1:1" x14ac:dyDescent="0.2">
      <c r="A82" s="12"/>
    </row>
    <row r="83" spans="1:1" x14ac:dyDescent="0.2">
      <c r="A83" s="12"/>
    </row>
    <row r="84" spans="1:1" x14ac:dyDescent="0.2">
      <c r="A84" s="12"/>
    </row>
    <row r="85" spans="1:1" x14ac:dyDescent="0.2">
      <c r="A85" s="12"/>
    </row>
    <row r="86" spans="1:1" x14ac:dyDescent="0.2">
      <c r="A86" s="12"/>
    </row>
    <row r="87" spans="1:1" x14ac:dyDescent="0.2">
      <c r="A87" s="12"/>
    </row>
    <row r="88" spans="1:1" x14ac:dyDescent="0.2">
      <c r="A88" s="12"/>
    </row>
    <row r="89" spans="1:1" x14ac:dyDescent="0.2">
      <c r="A89" s="12"/>
    </row>
    <row r="90" spans="1:1" x14ac:dyDescent="0.2">
      <c r="A90" s="12"/>
    </row>
    <row r="91" spans="1:1" x14ac:dyDescent="0.2">
      <c r="A91" s="12"/>
    </row>
    <row r="92" spans="1:1" x14ac:dyDescent="0.2">
      <c r="A92" s="12"/>
    </row>
    <row r="93" spans="1:1" x14ac:dyDescent="0.2">
      <c r="A93" s="12"/>
    </row>
    <row r="94" spans="1:1" x14ac:dyDescent="0.2">
      <c r="A94" s="12"/>
    </row>
    <row r="95" spans="1:1" x14ac:dyDescent="0.2">
      <c r="A95" s="12"/>
    </row>
    <row r="96" spans="1:1" x14ac:dyDescent="0.2">
      <c r="A96" s="12"/>
    </row>
    <row r="97" spans="1:1" x14ac:dyDescent="0.2">
      <c r="A97" s="12"/>
    </row>
    <row r="98" spans="1:1" x14ac:dyDescent="0.2">
      <c r="A98" s="12"/>
    </row>
    <row r="99" spans="1:1" x14ac:dyDescent="0.2">
      <c r="A99" s="12"/>
    </row>
    <row r="100" spans="1:1" x14ac:dyDescent="0.2">
      <c r="A100" s="12"/>
    </row>
    <row r="101" spans="1:1" x14ac:dyDescent="0.2">
      <c r="A101" s="12"/>
    </row>
    <row r="102" spans="1:1" x14ac:dyDescent="0.2">
      <c r="A102" s="12"/>
    </row>
    <row r="103" spans="1:1" x14ac:dyDescent="0.2">
      <c r="A103" s="12"/>
    </row>
    <row r="104" spans="1:1" x14ac:dyDescent="0.2">
      <c r="A104" s="12"/>
    </row>
    <row r="105" spans="1:1" x14ac:dyDescent="0.2">
      <c r="A105" s="12"/>
    </row>
    <row r="106" spans="1:1" x14ac:dyDescent="0.2">
      <c r="A106" s="12"/>
    </row>
    <row r="107" spans="1:1" x14ac:dyDescent="0.2">
      <c r="A107" s="12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F33075-7C9F-4720-B6CE-BC36F70C6C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 сортам</vt:lpstr>
      <vt:lpstr>выработка</vt:lpstr>
      <vt:lpstr>простои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Огей Маргарита Викторовна</dc:creator>
  <cp:lastModifiedBy>Огей Маргарита Викторовна</cp:lastModifiedBy>
  <dcterms:created xsi:type="dcterms:W3CDTF">2026-07-07T16:41:02Z</dcterms:created>
  <dcterms:modified xsi:type="dcterms:W3CDTF">2026-08-13T10:14:39Z</dcterms:modified>
</cp:coreProperties>
</file>