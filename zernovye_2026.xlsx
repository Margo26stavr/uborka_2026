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C9D0D7B2-DA40-4AC7-ACB0-2A10E99B33F2}" xr6:coauthVersionLast="47" xr6:coauthVersionMax="47" xr10:uidLastSave="{00000000-0000-0000-0000-000000000000}"/>
  <bookViews>
    <workbookView xWindow="-120" yWindow="-120" windowWidth="29040" windowHeight="15840" tabRatio="836" activeTab="6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Кукуруза на зерно" sheetId="13" state="hidden" r:id="rId8"/>
    <sheet name="Поля кукурузы на зерно" sheetId="30" state="hidden" r:id="rId9"/>
    <sheet name="Кукуруза (гибрид)" sheetId="32" state="hidden" r:id="rId10"/>
    <sheet name="Горох на зерно" sheetId="25" r:id="rId11"/>
    <sheet name="Соя" sheetId="12" state="hidden" r:id="rId12"/>
    <sheet name="Статистика" sheetId="18" state="hidden" r:id="rId13"/>
  </sheets>
  <calcPr calcId="191029"/>
</workbook>
</file>

<file path=xl/calcChain.xml><?xml version="1.0" encoding="utf-8"?>
<calcChain xmlns="http://schemas.openxmlformats.org/spreadsheetml/2006/main">
  <c r="AA12" i="14" l="1"/>
  <c r="Z12" i="14" l="1"/>
  <c r="Y12" i="14"/>
  <c r="X12" i="14"/>
  <c r="W12" i="14"/>
  <c r="W11" i="14"/>
  <c r="AA11" i="14"/>
  <c r="Z11" i="14"/>
  <c r="Y11" i="14"/>
  <c r="X11" i="14"/>
  <c r="Z10" i="14"/>
  <c r="AA10" i="14"/>
  <c r="Z8" i="14"/>
  <c r="Y10" i="14"/>
  <c r="Y8" i="14"/>
  <c r="X10" i="14"/>
  <c r="X8" i="14"/>
  <c r="W10" i="14"/>
  <c r="W8" i="14"/>
  <c r="Y7" i="14"/>
  <c r="X7" i="14"/>
  <c r="I8" i="14"/>
  <c r="AA20" i="14" l="1"/>
  <c r="Z7" i="14"/>
  <c r="W7" i="14"/>
  <c r="Z20" i="14" l="1"/>
  <c r="Y20" i="14"/>
  <c r="X20" i="14"/>
  <c r="W20" i="14"/>
  <c r="U6" i="14"/>
  <c r="U20" i="14" s="1"/>
  <c r="V20" i="14" s="1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T20" i="14"/>
  <c r="C20" i="14" l="1"/>
  <c r="P6" i="14" l="1"/>
  <c r="I6" i="14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18" i="14" l="1"/>
  <c r="Q19" i="14"/>
  <c r="Q17" i="14" l="1"/>
  <c r="Q16" i="14"/>
  <c r="Q15" i="14"/>
  <c r="Q14" i="14" l="1"/>
  <c r="Q13" i="14" l="1"/>
  <c r="Q12" i="14"/>
  <c r="Q11" i="14"/>
  <c r="Q10" i="14"/>
  <c r="P20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M12" i="25"/>
  <c r="O12" i="25"/>
  <c r="P6" i="25"/>
  <c r="M52" i="12"/>
  <c r="L52" i="12"/>
  <c r="I11" i="25" l="1"/>
  <c r="C21" i="25"/>
  <c r="C24" i="25" s="1"/>
  <c r="N12" i="25"/>
  <c r="O51" i="12"/>
  <c r="O50" i="12"/>
  <c r="O49" i="12"/>
  <c r="O48" i="12"/>
  <c r="O47" i="12"/>
  <c r="M40" i="12"/>
  <c r="I13" i="25" l="1"/>
  <c r="C23" i="25" s="1"/>
  <c r="P12" i="25"/>
  <c r="I14" i="25" s="1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0" i="14"/>
  <c r="Q20" i="14" l="1"/>
  <c r="I14" i="14" s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</commentList>
</comments>
</file>

<file path=xl/sharedStrings.xml><?xml version="1.0" encoding="utf-8"?>
<sst xmlns="http://schemas.openxmlformats.org/spreadsheetml/2006/main" count="1543" uniqueCount="480">
  <si>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</si>
  <si>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</si>
  <si>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</si>
  <si>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</si>
  <si>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</si>
  <si>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</si>
  <si>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</si>
  <si>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</si>
  <si>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</si>
  <si>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</si>
  <si>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</si>
  <si>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</si>
  <si>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</si>
  <si>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</si>
  <si>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</si>
  <si>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</si>
  <si>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</si>
  <si>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</si>
  <si>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</si>
  <si>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</si>
  <si>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</si>
  <si>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</si>
  <si>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</si>
  <si>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</si>
  <si>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</si>
  <si>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</si>
  <si>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</si>
  <si>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</si>
  <si>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</si>
  <si>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</si>
  <si>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</si>
  <si>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</si>
  <si>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</si>
  <si>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</si>
  <si>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</si>
  <si>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</si>
  <si>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</si>
  <si>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</si>
  <si>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</si>
  <si>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</si>
  <si>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</si>
  <si>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</si>
  <si>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</si>
  <si>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</si>
  <si>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</si>
  <si>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</si>
  <si>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</si>
  <si>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</si>
  <si>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</si>
  <si>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</si>
  <si>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</si>
  <si>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</si>
  <si>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</si>
  <si>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</si>
  <si>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</si>
  <si>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</si>
  <si>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</si>
  <si>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</si>
  <si>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</si>
  <si>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</si>
  <si>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</si>
  <si>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</si>
  <si>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</si>
  <si>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</si>
  <si>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</si>
  <si>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</si>
  <si>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</si>
  <si>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</si>
  <si>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</si>
  <si>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</si>
  <si>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</si>
  <si>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</si>
  <si>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</si>
  <si>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</si>
  <si>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</si>
  <si>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</si>
  <si>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</si>
  <si>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</si>
  <si>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</si>
  <si>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</si>
  <si>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</si>
  <si>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</si>
  <si>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</si>
  <si>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</si>
  <si>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</si>
  <si>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</si>
  <si>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</si>
  <si>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</si>
  <si>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</si>
  <si>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</si>
  <si>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</si>
  <si>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</si>
  <si>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</si>
  <si>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</si>
  <si>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</si>
  <si>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</si>
  <si>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</si>
  <si>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</si>
  <si>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</si>
  <si>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</si>
  <si>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</si>
  <si>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</si>
  <si>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</si>
  <si>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</si>
  <si>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</si>
  <si>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</si>
  <si>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</si>
  <si>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</si>
  <si>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</si>
  <si>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</si>
  <si>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</si>
  <si>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</si>
  <si>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</si>
  <si>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</si>
  <si>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</si>
  <si>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</si>
  <si>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</si>
  <si>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</si>
  <si>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</si>
  <si>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</si>
  <si>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</si>
  <si>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</si>
  <si>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</si>
  <si>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</si>
  <si>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</si>
  <si>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</si>
  <si>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</si>
  <si>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</si>
  <si>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</si>
  <si>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</si>
  <si>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</si>
  <si>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</si>
  <si>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</si>
  <si>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</si>
  <si>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</si>
  <si>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</si>
  <si>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</si>
  <si>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</si>
  <si>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</si>
  <si>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</si>
  <si>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</si>
  <si>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</si>
  <si>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</si>
  <si>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</si>
  <si>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</si>
  <si>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</si>
  <si>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</si>
  <si>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</si>
  <si>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</si>
  <si>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</si>
  <si>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</si>
  <si>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</si>
  <si>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</si>
  <si>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</si>
  <si>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</si>
  <si>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</si>
  <si>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</si>
  <si>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</si>
  <si>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</si>
  <si>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</si>
  <si>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</si>
  <si>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</si>
  <si>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</si>
  <si>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</si>
  <si>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</si>
  <si>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</si>
  <si>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</si>
  <si>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</si>
  <si>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</si>
  <si>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</si>
  <si>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</si>
  <si>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</si>
  <si>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</si>
  <si>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</si>
  <si>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</si>
  <si>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</si>
  <si>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</si>
  <si>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</si>
  <si>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</si>
  <si>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</si>
  <si>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</si>
  <si>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</si>
  <si>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</si>
  <si>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</si>
  <si>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</si>
  <si>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</si>
  <si>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</si>
  <si>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</si>
  <si>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</si>
  <si>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</si>
  <si>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</si>
  <si>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</si>
  <si>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</si>
  <si>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</si>
  <si>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</si>
  <si>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</si>
  <si>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</si>
  <si>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</si>
  <si>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</si>
  <si>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</si>
  <si>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</si>
  <si>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</si>
  <si>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</si>
  <si>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</si>
  <si>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</si>
  <si>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</si>
  <si>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</si>
  <si>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</si>
  <si>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</si>
  <si>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</si>
  <si>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</si>
  <si>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</si>
  <si>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</si>
  <si>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</si>
  <si>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</si>
  <si>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</si>
  <si>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</si>
  <si>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</si>
  <si>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</si>
  <si>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</si>
  <si>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</si>
  <si>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</si>
  <si>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</si>
  <si>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</si>
  <si>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</si>
  <si>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</si>
  <si>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</si>
  <si>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</si>
  <si>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</si>
  <si>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</si>
  <si>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</si>
  <si>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</si>
  <si>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</si>
  <si>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</si>
  <si>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</si>
  <si>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</si>
  <si>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</si>
  <si>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</si>
  <si>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</si>
  <si>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</si>
  <si>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</si>
  <si>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</si>
  <si>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</si>
  <si>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</si>
  <si>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</si>
  <si>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</si>
  <si>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</si>
  <si>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</si>
  <si>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</si>
  <si>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</si>
  <si>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</si>
  <si>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</si>
  <si>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</si>
  <si>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</si>
  <si>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</si>
  <si>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</si>
  <si>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</si>
  <si>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</si>
  <si>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</si>
  <si>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</si>
  <si>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</si>
  <si>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</si>
  <si>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</si>
  <si>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</si>
  <si>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</si>
  <si>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</si>
  <si>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</si>
  <si>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</si>
  <si>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</si>
  <si>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</si>
  <si>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</si>
  <si>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</si>
  <si>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</si>
  <si>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</si>
  <si>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</si>
  <si>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</si>
  <si>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</si>
  <si>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</si>
  <si>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</si>
  <si>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</si>
  <si>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</si>
  <si>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</si>
  <si>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</si>
  <si>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</si>
  <si>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</si>
  <si>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</si>
  <si>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</si>
  <si>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</si>
  <si>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</si>
  <si>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</si>
  <si>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</si>
  <si>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</si>
  <si>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</si>
  <si>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</si>
  <si>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</si>
  <si>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</si>
  <si>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</si>
  <si>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</si>
  <si>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</si>
  <si>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</si>
  <si>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</si>
  <si>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</si>
  <si>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</si>
  <si>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</si>
  <si>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</si>
  <si>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</si>
  <si>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</si>
  <si>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</si>
  <si>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</si>
  <si>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</si>
  <si>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</si>
  <si>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</si>
  <si>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</si>
  <si>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</si>
  <si>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</si>
  <si>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</si>
  <si>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</si>
  <si>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</si>
  <si>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</si>
  <si>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</si>
  <si>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</si>
  <si>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</si>
  <si>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</si>
  <si>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</si>
  <si>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</si>
  <si>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</si>
  <si>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</si>
  <si>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</si>
  <si>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</si>
  <si>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</si>
  <si>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</si>
  <si>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</si>
  <si>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</si>
  <si>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</si>
  <si>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</si>
  <si>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</si>
  <si>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</si>
  <si>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</si>
  <si>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</si>
  <si>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</si>
  <si>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</si>
  <si>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</si>
  <si>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</si>
  <si>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</si>
  <si>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</si>
  <si>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</si>
  <si>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</si>
  <si>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</si>
  <si>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</si>
  <si>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</si>
  <si>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</si>
  <si>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</si>
  <si>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</si>
  <si>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</si>
  <si>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</si>
  <si>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</si>
  <si>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</si>
  <si>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</si>
  <si>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</si>
  <si>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</si>
  <si>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</si>
  <si>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</si>
  <si>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</si>
  <si>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</si>
  <si>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</si>
  <si>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</si>
  <si>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</si>
  <si>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</si>
  <si>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</si>
  <si>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</si>
  <si>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</si>
  <si>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</si>
  <si>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</si>
  <si>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</si>
  <si>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</si>
  <si>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</si>
  <si>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</si>
  <si>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</si>
  <si>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</si>
  <si>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</si>
  <si>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</si>
  <si>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</si>
  <si>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</si>
  <si>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</si>
  <si>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</si>
  <si>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</si>
  <si>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</si>
  <si>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</si>
  <si>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</si>
  <si>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</si>
  <si>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</si>
  <si>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</si>
  <si>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</si>
  <si>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</si>
  <si>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</si>
  <si>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</si>
  <si>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</si>
  <si>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</si>
  <si>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</si>
  <si>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</si>
  <si>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</si>
  <si>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</si>
  <si>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</si>
  <si>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</si>
  <si>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</si>
  <si>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</si>
  <si>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</si>
  <si>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</si>
  <si>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</si>
  <si>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</si>
  <si>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</si>
  <si>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</si>
  <si>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</si>
  <si>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</si>
  <si>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</si>
  <si>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</si>
  <si>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</si>
  <si>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</si>
  <si>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</si>
  <si>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</si>
  <si>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</si>
  <si>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</si>
  <si>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</si>
  <si>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</si>
  <si>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</si>
  <si>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</si>
  <si>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</si>
  <si>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</si>
  <si>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</si>
  <si>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</si>
  <si>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</si>
  <si>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</si>
  <si>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</si>
  <si>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</si>
  <si>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</si>
  <si>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</si>
  <si>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</si>
  <si>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</si>
  <si>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</si>
  <si>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</si>
  <si>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</si>
  <si>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</si>
  <si>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</si>
  <si>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</si>
  <si>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</si>
  <si>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</si>
  <si>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</si>
  <si>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</si>
  <si>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</si>
  <si>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</si>
  <si>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</si>
  <si>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</si>
  <si>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</si>
  <si>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</si>
  <si>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</si>
  <si>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</si>
  <si>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</si>
  <si>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</si>
  <si>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</si>
  <si>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</si>
  <si>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</si>
  <si>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</si>
  <si>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</si>
  <si>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</si>
  <si>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</si>
  <si>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</si>
  <si>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</si>
  <si>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</si>
  <si>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</si>
  <si>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</si>
  <si>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</si>
  <si>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</si>
  <si>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</si>
  <si>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</si>
  <si>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</si>
  <si>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</si>
  <si>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</si>
  <si>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</si>
  <si>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1ед.</t>
  </si>
  <si>
    <t xml:space="preserve"> 4 /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</si>
</sst>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6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4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177" fontId="50" fillId="2" borderId="2" xfId="0" applyNumberFormat="1" applyFont="1" applyFill="1" applyBorder="1" applyAlignment="1">
      <alignment vertical="center" wrapText="1"/>
    </xf>
    <xf numFmtId="10" fontId="6" fillId="2" borderId="2" xfId="0" applyNumberFormat="1" applyFont="1" applyFill="1" applyBorder="1" applyAlignment="1">
      <alignment horizontal="center" vertical="center" wrapText="1"/>
    </xf>
    <xf numFmtId="10" fontId="41" fillId="4" borderId="2" xfId="0" applyNumberFormat="1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3" fontId="10" fillId="2" borderId="0" xfId="0" applyNumberFormat="1" applyFont="1" applyFill="1" applyAlignment="1">
      <alignment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8A0000"/>
      <color rgb="FFFFF9E7"/>
      <color rgb="FFFF5757"/>
      <color rgb="FF669900"/>
      <color rgb="FFF9F9F9"/>
      <color rgb="FF5E5028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9034.67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1349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66.973091178650861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4" formatCode="0.0&quot; ц/га&quot;">
                  <c:v>9</c:v>
                </c:pt>
                <c:pt idx="5">
                  <c:v>19.903385416666666</c:v>
                </c:pt>
                <c:pt idx="6">
                  <c:v>16.505494505494507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53</xdr:row>
      <xdr:rowOff>70758</xdr:rowOff>
    </xdr:from>
    <xdr:to>
      <xdr:col>38</xdr:col>
      <xdr:colOff>540657</xdr:colOff>
      <xdr:row>74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100</xdr:row>
      <xdr:rowOff>163287</xdr:rowOff>
    </xdr:from>
    <xdr:to>
      <xdr:col>38</xdr:col>
      <xdr:colOff>449036</xdr:colOff>
      <xdr:row>122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72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101</xdr:row>
      <xdr:rowOff>11903</xdr:rowOff>
    </xdr:from>
    <xdr:to>
      <xdr:col>11</xdr:col>
      <xdr:colOff>603936</xdr:colOff>
      <xdr:row>119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164520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53</xdr:row>
      <xdr:rowOff>117702</xdr:rowOff>
    </xdr:from>
    <xdr:to>
      <xdr:col>12</xdr:col>
      <xdr:colOff>155920</xdr:colOff>
      <xdr:row>72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17572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101</xdr:row>
      <xdr:rowOff>147975</xdr:rowOff>
    </xdr:from>
    <xdr:to>
      <xdr:col>11</xdr:col>
      <xdr:colOff>588507</xdr:colOff>
      <xdr:row>104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104</xdr:row>
      <xdr:rowOff>37303</xdr:rowOff>
    </xdr:from>
    <xdr:to>
      <xdr:col>11</xdr:col>
      <xdr:colOff>564472</xdr:colOff>
      <xdr:row>104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9 035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37,2%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104</xdr:row>
      <xdr:rowOff>100803</xdr:rowOff>
    </xdr:from>
    <xdr:to>
      <xdr:col>11</xdr:col>
      <xdr:colOff>579663</xdr:colOff>
      <xdr:row>119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171696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67</xdr:row>
      <xdr:rowOff>76200</xdr:rowOff>
    </xdr:from>
    <xdr:to>
      <xdr:col>12</xdr:col>
      <xdr:colOff>123709</xdr:colOff>
      <xdr:row>70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113</xdr:row>
      <xdr:rowOff>152400</xdr:rowOff>
    </xdr:from>
    <xdr:to>
      <xdr:col>11</xdr:col>
      <xdr:colOff>553357</xdr:colOff>
      <xdr:row>116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69</xdr:row>
      <xdr:rowOff>136752</xdr:rowOff>
    </xdr:from>
    <xdr:to>
      <xdr:col>12</xdr:col>
      <xdr:colOff>123709</xdr:colOff>
      <xdr:row>72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116</xdr:row>
      <xdr:rowOff>76200</xdr:rowOff>
    </xdr:from>
    <xdr:to>
      <xdr:col>11</xdr:col>
      <xdr:colOff>540022</xdr:colOff>
      <xdr:row>119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128</xdr:row>
      <xdr:rowOff>158113</xdr:rowOff>
    </xdr:from>
    <xdr:to>
      <xdr:col>12</xdr:col>
      <xdr:colOff>39081</xdr:colOff>
      <xdr:row>147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12026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128</xdr:row>
      <xdr:rowOff>148045</xdr:rowOff>
    </xdr:from>
    <xdr:to>
      <xdr:col>38</xdr:col>
      <xdr:colOff>499836</xdr:colOff>
      <xdr:row>149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132</xdr:row>
      <xdr:rowOff>79373</xdr:rowOff>
    </xdr:from>
    <xdr:to>
      <xdr:col>11</xdr:col>
      <xdr:colOff>590100</xdr:colOff>
      <xdr:row>132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28</xdr:row>
      <xdr:rowOff>158112</xdr:rowOff>
    </xdr:from>
    <xdr:to>
      <xdr:col>6</xdr:col>
      <xdr:colOff>97823</xdr:colOff>
      <xdr:row>41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77</xdr:row>
      <xdr:rowOff>70758</xdr:rowOff>
    </xdr:from>
    <xdr:to>
      <xdr:col>38</xdr:col>
      <xdr:colOff>540657</xdr:colOff>
      <xdr:row>98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96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77</xdr:row>
      <xdr:rowOff>117702</xdr:rowOff>
    </xdr:from>
    <xdr:to>
      <xdr:col>12</xdr:col>
      <xdr:colOff>155920</xdr:colOff>
      <xdr:row>96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162306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91</xdr:row>
      <xdr:rowOff>76200</xdr:rowOff>
    </xdr:from>
    <xdr:to>
      <xdr:col>12</xdr:col>
      <xdr:colOff>123709</xdr:colOff>
      <xdr:row>94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93</xdr:row>
      <xdr:rowOff>136752</xdr:rowOff>
    </xdr:from>
    <xdr:to>
      <xdr:col>12</xdr:col>
      <xdr:colOff>123709</xdr:colOff>
      <xdr:row>96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122</xdr:row>
      <xdr:rowOff>152400</xdr:rowOff>
    </xdr:from>
    <xdr:to>
      <xdr:col>34</xdr:col>
      <xdr:colOff>266700</xdr:colOff>
      <xdr:row>124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 13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59"/>
  <sheetViews>
    <sheetView showGridLines="0" zoomScale="50" zoomScaleNormal="50" workbookViewId="0">
      <pane ySplit="2" topLeftCell="A3" activePane="bottomLeft" state="frozen"/>
      <selection pane="bottomLeft" activeCell="S53" sqref="S53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59" t="s">
        <v>477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hidden="1" customHeight="1" outlineLevel="1"/>
    <row r="77" ht="15.75" hidden="1" customHeight="1" outlineLevel="1"/>
    <row r="78" ht="15.75" hidden="1" customHeight="1" outlineLevel="1"/>
    <row r="79" ht="15.75" hidden="1" customHeight="1" outlineLevel="1"/>
    <row r="80" ht="15.75" hidden="1" customHeight="1" outlineLevel="1"/>
    <row r="81" ht="15.75" hidden="1" customHeight="1" outlineLevel="1"/>
    <row r="82" ht="15.75" hidden="1" customHeight="1" outlineLevel="1"/>
    <row r="83" ht="15.75" hidden="1" customHeight="1" outlineLevel="1"/>
    <row r="84" ht="15.75" hidden="1" customHeight="1" outlineLevel="1"/>
    <row r="85" ht="15.75" hidden="1" customHeight="1" outlineLevel="1"/>
    <row r="86" ht="15.75" hidden="1" customHeight="1" outlineLevel="1"/>
    <row r="87" ht="15.75" hidden="1" customHeight="1" outlineLevel="1"/>
    <row r="88" ht="15.75" hidden="1" customHeight="1" outlineLevel="1"/>
    <row r="89" ht="15.75" hidden="1" customHeight="1" outlineLevel="1"/>
    <row r="90" ht="15.75" hidden="1" customHeight="1" outlineLevel="1"/>
    <row r="91" ht="15.75" hidden="1" customHeight="1" outlineLevel="1"/>
    <row r="92" ht="15.75" hidden="1" customHeight="1" outlineLevel="1"/>
    <row r="93" ht="15.75" hidden="1" customHeight="1" outlineLevel="1"/>
    <row r="94" ht="15.75" hidden="1" customHeight="1" outlineLevel="1"/>
    <row r="95" ht="15.75" hidden="1" customHeight="1" outlineLevel="1"/>
    <row r="96" ht="15.75" hidden="1" customHeight="1" outlineLevel="1"/>
    <row r="97" ht="15.75" hidden="1" customHeight="1" outlineLevel="1"/>
    <row r="98" ht="15.75" hidden="1" customHeight="1" outlineLevel="1"/>
    <row r="99" ht="15.75" hidden="1" customHeight="1" outlineLevel="1"/>
    <row r="100" ht="15.75" hidden="1" customHeight="1" outlineLevel="1"/>
    <row r="101" ht="15.75" customHeight="1" collapsed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26" hidden="1" outlineLevel="1"/>
    <row r="127" hidden="1" outlineLevel="1"/>
    <row r="128" ht="15.75" hidden="1" customHeight="1" outlineLevel="1"/>
    <row r="129" ht="15.75" hidden="1" customHeight="1" outlineLevel="1"/>
    <row r="130" ht="15.75" hidden="1" customHeight="1" outlineLevel="1"/>
    <row r="131" ht="15.75" hidden="1" customHeight="1" outlineLevel="1"/>
    <row r="132" ht="15.75" hidden="1" customHeight="1" outlineLevel="1"/>
    <row r="133" ht="15.75" hidden="1" customHeight="1" outlineLevel="1"/>
    <row r="134" ht="15.75" hidden="1" customHeight="1" outlineLevel="1"/>
    <row r="135" ht="15.75" hidden="1" customHeight="1" outlineLevel="1"/>
    <row r="136" ht="15.75" hidden="1" customHeight="1" outlineLevel="1"/>
    <row r="137" ht="15.75" hidden="1" customHeight="1" outlineLevel="1"/>
    <row r="138" ht="15.75" hidden="1" customHeight="1" outlineLevel="1"/>
    <row r="139" ht="15.75" hidden="1" customHeight="1" outlineLevel="1"/>
    <row r="140" ht="15.75" hidden="1" customHeight="1" outlineLevel="1"/>
    <row r="141" ht="15.75" hidden="1" customHeight="1" outlineLevel="1"/>
    <row r="142" ht="15.75" hidden="1" customHeight="1" outlineLevel="1"/>
    <row r="143" ht="15.75" hidden="1" customHeight="1" outlineLevel="1"/>
    <row r="144" ht="15.75" hidden="1" customHeight="1" outlineLevel="1"/>
    <row r="145" ht="15.75" hidden="1" customHeight="1" outlineLevel="1"/>
    <row r="146" ht="15.75" hidden="1" customHeight="1" outlineLevel="1"/>
    <row r="147" ht="15.75" hidden="1" customHeight="1" outlineLevel="1"/>
    <row r="148" ht="15.75" hidden="1" customHeight="1" outlineLevel="1"/>
    <row r="149" ht="15.75" hidden="1" customHeight="1" outlineLevel="1"/>
    <row r="150" ht="15.75" hidden="1" customHeight="1" outlineLevel="1"/>
    <row r="151" hidden="1" outlineLevel="1"/>
    <row r="152" hidden="1" outlineLevel="1"/>
    <row r="153" hidden="1" outlineLevel="1"/>
    <row r="154" hidden="1" outlineLevel="1"/>
    <row r="155" hidden="1" outlineLevel="1"/>
    <row r="156" collapsed="1"/>
    <row r="159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61" t="s">
        <v>467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60"/>
      <c r="F24" s="160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61" t="s">
        <v>469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60"/>
      <c r="F24" s="160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A40"/>
  <sheetViews>
    <sheetView tabSelected="1" zoomScaleNormal="100" workbookViewId="0">
      <selection activeCell="I26" sqref="I26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1.42578125" style="1" customWidth="1"/>
    <col min="25" max="25" width="12.7109375" style="1" customWidth="1"/>
    <col min="26" max="26" width="9.28515625" style="1" customWidth="1"/>
    <col min="27" max="27" width="10.7109375" style="1" customWidth="1"/>
    <col min="28" max="16384" width="9.140625" style="1"/>
  </cols>
  <sheetData>
    <row r="2" spans="2:27" ht="27.75" customHeight="1">
      <c r="B2" s="161" t="s">
        <v>475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75"/>
      <c r="V2" s="30"/>
      <c r="W2" s="30"/>
      <c r="X2" s="30"/>
    </row>
    <row r="3" spans="2:27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7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27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19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</row>
    <row r="7" spans="2:27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/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</row>
    <row r="8" spans="2:27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13" t="str">
        <f>IF(I7=0,"-",I7-I6+1)</f>
        <v>-</v>
      </c>
      <c r="M8" s="36">
        <v>46206</v>
      </c>
      <c r="N8" s="37"/>
      <c r="O8" s="89">
        <v>229</v>
      </c>
      <c r="P8" s="32">
        <v>1464280</v>
      </c>
      <c r="Q8" s="57">
        <f t="shared" ref="Q8:Q19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</row>
    <row r="9" spans="2:27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93">
        <v>0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27" ht="15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AVERAGE(780,773,768)</f>
        <v>773.66666666666663</v>
      </c>
      <c r="AA10" s="157">
        <f>AVERAGE(0.2%,0,0)</f>
        <v>6.6666666666666664E-4</v>
      </c>
    </row>
    <row r="11" spans="2:27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9034.67</v>
      </c>
      <c r="M11" s="36">
        <v>46209</v>
      </c>
      <c r="N11" s="37"/>
      <c r="O11" s="89">
        <v>246</v>
      </c>
      <c r="P11" s="32">
        <v>1638000</v>
      </c>
      <c r="Q11" s="57">
        <f t="shared" si="3"/>
        <v>66.58536585365853</v>
      </c>
      <c r="R11" s="36"/>
      <c r="S11" s="37"/>
      <c r="T11" s="89"/>
      <c r="U11" s="32"/>
      <c r="V11" s="57">
        <f t="shared" si="1"/>
        <v>0</v>
      </c>
      <c r="W11" s="150">
        <f>AVERAGE(0.129,0.123,0.125,0.128)</f>
        <v>0.12625</v>
      </c>
      <c r="X11" s="151">
        <f>AVERAGE(0.145,0.128,0.124,0.144)</f>
        <v>0.13525000000000001</v>
      </c>
      <c r="Y11" s="150">
        <f>AVERAGE(0.2,0.208,0.211,0.219)</f>
        <v>0.20949999999999999</v>
      </c>
      <c r="Z11" s="155">
        <f>AVERAGE(780,770,780,812)</f>
        <v>785.5</v>
      </c>
      <c r="AA11" s="157">
        <f>AVERAGE(0,0,0,0.6%)</f>
        <v>1.5E-3</v>
      </c>
    </row>
    <row r="12" spans="2:27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>
        <v>46210</v>
      </c>
      <c r="N12" s="37"/>
      <c r="O12" s="89">
        <v>200</v>
      </c>
      <c r="P12" s="32">
        <v>1280360</v>
      </c>
      <c r="Q12" s="57">
        <f t="shared" si="3"/>
        <v>64.018000000000001</v>
      </c>
      <c r="R12" s="36"/>
      <c r="S12" s="37"/>
      <c r="T12" s="89"/>
      <c r="U12" s="32"/>
      <c r="V12" s="57">
        <f t="shared" si="1"/>
        <v>0</v>
      </c>
      <c r="W12" s="150">
        <f>AVERAGE(0.114,0.116)</f>
        <v>0.115</v>
      </c>
      <c r="X12" s="151">
        <f>AVERAGE(0.115,0.11)</f>
        <v>0.1125</v>
      </c>
      <c r="Y12" s="150">
        <f>AVERAGE(0.194,0.216)</f>
        <v>0.20500000000000002</v>
      </c>
      <c r="Z12" s="155">
        <f>AVERAGE(731,775)</f>
        <v>753</v>
      </c>
      <c r="AA12" s="157">
        <f>AVERAGE(0.2%,0.2%)</f>
        <v>2E-3</v>
      </c>
    </row>
    <row r="13" spans="2:27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O20</f>
        <v>1349</v>
      </c>
      <c r="M13" s="36"/>
      <c r="N13" s="37"/>
      <c r="O13" s="89"/>
      <c r="P13" s="32"/>
      <c r="Q13" s="156">
        <f t="shared" si="3"/>
        <v>0</v>
      </c>
      <c r="R13" s="36"/>
      <c r="S13" s="37"/>
      <c r="T13" s="89"/>
      <c r="U13" s="32"/>
      <c r="V13" s="57">
        <f t="shared" si="1"/>
        <v>0</v>
      </c>
      <c r="W13" s="36"/>
      <c r="X13" s="37"/>
      <c r="Y13" s="89"/>
      <c r="Z13" s="32"/>
      <c r="AA13" s="57"/>
    </row>
    <row r="14" spans="2:27" ht="15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Q20</f>
        <v>66.973091178650861</v>
      </c>
      <c r="M14" s="36"/>
      <c r="N14" s="37"/>
      <c r="O14" s="89"/>
      <c r="P14" s="32"/>
      <c r="Q14" s="156">
        <f t="shared" si="3"/>
        <v>0</v>
      </c>
      <c r="R14" s="36"/>
      <c r="S14" s="37"/>
      <c r="T14" s="89"/>
      <c r="U14" s="32"/>
      <c r="V14" s="57">
        <f t="shared" si="1"/>
        <v>0</v>
      </c>
      <c r="W14" s="36"/>
      <c r="X14" s="37"/>
      <c r="Y14" s="89"/>
      <c r="Z14" s="32"/>
      <c r="AA14" s="57"/>
    </row>
    <row r="15" spans="2:27" ht="21.7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62.1</v>
      </c>
      <c r="J15" s="76"/>
      <c r="M15" s="36"/>
      <c r="N15" s="37"/>
      <c r="O15" s="89"/>
      <c r="P15" s="32"/>
      <c r="Q15" s="156">
        <f t="shared" si="3"/>
        <v>0</v>
      </c>
      <c r="R15" s="36"/>
      <c r="S15" s="37"/>
      <c r="T15" s="89"/>
      <c r="U15" s="32"/>
      <c r="V15" s="57">
        <f t="shared" si="1"/>
        <v>0</v>
      </c>
      <c r="W15" s="36"/>
      <c r="X15" s="37"/>
      <c r="Y15" s="89"/>
      <c r="Z15" s="32"/>
      <c r="AA15" s="57"/>
    </row>
    <row r="16" spans="2:27" s="8" customFormat="1" ht="1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479</v>
      </c>
      <c r="J16" s="76"/>
      <c r="M16" s="36"/>
      <c r="N16" s="37"/>
      <c r="O16" s="89"/>
      <c r="P16" s="32"/>
      <c r="Q16" s="156">
        <f t="shared" si="3"/>
        <v>0</v>
      </c>
      <c r="R16" s="36"/>
      <c r="S16" s="37"/>
      <c r="T16" s="89"/>
      <c r="U16" s="32"/>
      <c r="V16" s="57">
        <f t="shared" si="1"/>
        <v>0</v>
      </c>
      <c r="W16" s="36"/>
      <c r="X16" s="37"/>
      <c r="Y16" s="89"/>
      <c r="Z16" s="32"/>
      <c r="AA16" s="57"/>
    </row>
    <row r="17" spans="2:27">
      <c r="C17" s="25"/>
      <c r="D17" s="25"/>
      <c r="E17" s="25"/>
      <c r="F17" s="25"/>
      <c r="M17" s="36"/>
      <c r="N17" s="37"/>
      <c r="O17" s="89"/>
      <c r="P17" s="32"/>
      <c r="Q17" s="156">
        <f t="shared" si="3"/>
        <v>0</v>
      </c>
      <c r="R17" s="36"/>
      <c r="S17" s="37"/>
      <c r="T17" s="89"/>
      <c r="U17" s="32"/>
      <c r="V17" s="57">
        <f t="shared" si="1"/>
        <v>0</v>
      </c>
      <c r="W17" s="36"/>
      <c r="X17" s="37"/>
      <c r="Y17" s="89"/>
      <c r="Z17" s="32"/>
      <c r="AA17" s="57"/>
    </row>
    <row r="18" spans="2:27">
      <c r="M18" s="36"/>
      <c r="N18" s="37"/>
      <c r="O18" s="89"/>
      <c r="P18" s="32"/>
      <c r="Q18" s="156">
        <f t="shared" si="3"/>
        <v>0</v>
      </c>
      <c r="R18" s="36"/>
      <c r="S18" s="37"/>
      <c r="T18" s="89"/>
      <c r="U18" s="32"/>
      <c r="V18" s="57">
        <f t="shared" si="1"/>
        <v>0</v>
      </c>
      <c r="W18" s="36"/>
      <c r="X18" s="37"/>
      <c r="Y18" s="89"/>
      <c r="Z18" s="32"/>
      <c r="AA18" s="57"/>
    </row>
    <row r="19" spans="2:27" ht="13.9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/>
      <c r="N19" s="37"/>
      <c r="O19" s="89"/>
      <c r="P19" s="32"/>
      <c r="Q19" s="156">
        <f t="shared" si="3"/>
        <v>0</v>
      </c>
      <c r="R19" s="36"/>
      <c r="S19" s="37"/>
      <c r="T19" s="89"/>
      <c r="U19" s="32"/>
      <c r="V19" s="57">
        <f t="shared" si="1"/>
        <v>0</v>
      </c>
      <c r="W19" s="36"/>
      <c r="X19" s="37"/>
      <c r="Y19" s="89"/>
      <c r="Z19" s="32"/>
      <c r="AA19" s="57"/>
    </row>
    <row r="20" spans="2:27" ht="15">
      <c r="B20" s="11" t="s">
        <v>18</v>
      </c>
      <c r="C20" s="48">
        <f>I12*64/10</f>
        <v>24307.200000000001</v>
      </c>
      <c r="D20" s="24">
        <f>C20/I12*10</f>
        <v>64</v>
      </c>
      <c r="M20" s="86" t="s">
        <v>40</v>
      </c>
      <c r="N20" s="86"/>
      <c r="O20" s="90">
        <f>SUM(O6:O19)</f>
        <v>1349</v>
      </c>
      <c r="P20" s="87">
        <f>SUM(P6:P19)</f>
        <v>9034670</v>
      </c>
      <c r="Q20" s="88">
        <f>P20/O20/100</f>
        <v>66.973091178650861</v>
      </c>
      <c r="R20" s="86" t="s">
        <v>40</v>
      </c>
      <c r="S20" s="86"/>
      <c r="T20" s="90">
        <f t="shared" ref="T20:U20" si="4">SUM(T6:T19)</f>
        <v>70</v>
      </c>
      <c r="U20" s="87">
        <f t="shared" si="4"/>
        <v>478860</v>
      </c>
      <c r="V20" s="88">
        <f t="shared" ref="V20" si="5">U20/T20/100</f>
        <v>68.408571428571435</v>
      </c>
      <c r="W20" s="153">
        <f>AVERAGE(W6:W19)</f>
        <v>0.12453571428571429</v>
      </c>
      <c r="X20" s="153">
        <f>AVERAGE(X6:X19)</f>
        <v>0.12463095238095238</v>
      </c>
      <c r="Y20" s="153">
        <f>AVERAGE(Y6:Y19)</f>
        <v>0.21933333333333335</v>
      </c>
      <c r="Z20" s="154">
        <f>AVERAGE(Z6:Z19)</f>
        <v>765.5</v>
      </c>
      <c r="AA20" s="158">
        <f>AVERAGE(AA6:AA19)</f>
        <v>5.9523809523809518E-4</v>
      </c>
    </row>
    <row r="21" spans="2:27" ht="15">
      <c r="B21" s="72" t="s">
        <v>19</v>
      </c>
      <c r="C21" s="73">
        <f>P20/1000</f>
        <v>9034.67</v>
      </c>
      <c r="D21" s="74">
        <f>C21/I13*10</f>
        <v>66.973091178650861</v>
      </c>
    </row>
    <row r="22" spans="2:27">
      <c r="D22" s="19"/>
      <c r="G22" s="26"/>
      <c r="H22" s="26"/>
      <c r="I22" s="26"/>
    </row>
    <row r="23" spans="2:27">
      <c r="B23" s="11" t="s">
        <v>64</v>
      </c>
      <c r="C23" s="19">
        <f>I13/I12</f>
        <v>0.35518694049499738</v>
      </c>
      <c r="G23" s="26"/>
      <c r="H23" s="26"/>
      <c r="I23" s="26"/>
    </row>
    <row r="24" spans="2:27">
      <c r="B24" s="11" t="s">
        <v>62</v>
      </c>
      <c r="C24" s="19">
        <f>IFERROR(C21/C20,0)</f>
        <v>0.37168698986308585</v>
      </c>
      <c r="G24" s="38"/>
      <c r="H24" s="38"/>
      <c r="I24" s="38"/>
    </row>
    <row r="25" spans="2:27">
      <c r="B25" s="48"/>
      <c r="G25" s="25"/>
      <c r="H25" s="25"/>
      <c r="I25" s="25"/>
    </row>
    <row r="26" spans="2:27">
      <c r="G26" s="31"/>
      <c r="H26" s="31"/>
      <c r="I26" s="31"/>
    </row>
    <row r="27" spans="2:27">
      <c r="G27" s="31"/>
      <c r="H27" s="31"/>
      <c r="I27" s="31"/>
    </row>
    <row r="28" spans="2:27">
      <c r="G28" s="31"/>
      <c r="H28" s="31"/>
      <c r="I28" s="31"/>
      <c r="P28" s="163"/>
    </row>
    <row r="29" spans="2:27">
      <c r="G29" s="31"/>
      <c r="H29" s="31"/>
      <c r="I29" s="31"/>
    </row>
    <row r="30" spans="2:27">
      <c r="G30" s="31"/>
      <c r="H30" s="31"/>
      <c r="I30" s="31"/>
    </row>
    <row r="31" spans="2:27">
      <c r="G31" s="31"/>
      <c r="H31" s="31"/>
      <c r="I31" s="31"/>
    </row>
    <row r="32" spans="2:27">
      <c r="G32" s="31"/>
      <c r="H32" s="31"/>
      <c r="I32" s="31"/>
    </row>
    <row r="33" spans="7:9">
      <c r="G33" s="31"/>
      <c r="H33" s="31"/>
      <c r="I33" s="31"/>
    </row>
    <row r="34" spans="7:9">
      <c r="G34" s="31"/>
      <c r="H34" s="31"/>
      <c r="I34" s="31"/>
    </row>
    <row r="35" spans="7:9">
      <c r="G35" s="31"/>
      <c r="H35" s="31"/>
      <c r="I35" s="31"/>
    </row>
    <row r="36" spans="7:9">
      <c r="G36" s="31"/>
      <c r="H36" s="31"/>
      <c r="I36" s="31"/>
    </row>
    <row r="37" spans="7:9">
      <c r="G37" s="31"/>
      <c r="H37" s="31"/>
      <c r="I37" s="31"/>
    </row>
    <row r="38" spans="7:9">
      <c r="G38" s="31"/>
      <c r="H38" s="31"/>
      <c r="I38" s="31"/>
    </row>
    <row r="39" spans="7:9">
      <c r="G39" s="31"/>
      <c r="H39" s="31"/>
      <c r="I39" s="31"/>
    </row>
    <row r="40" spans="7:9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61" t="s">
        <v>470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60"/>
      <c r="F22" s="160"/>
      <c r="G22" s="160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80" zoomScaleNormal="80" workbookViewId="0">
      <selection activeCell="D41" sqref="D41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" customWidth="1" collapsed="1"/>
    <col min="22" max="16384" width="9.140625" style="1"/>
  </cols>
  <sheetData>
    <row r="2" spans="2:25" ht="27.75">
      <c r="B2" s="161" t="s">
        <v>474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62"/>
      <c r="V2" s="62"/>
    </row>
    <row r="3" spans="2:25" ht="18" customHeight="1"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42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42"/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478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21</v>
      </c>
      <c r="O11" s="32">
        <v>43330</v>
      </c>
      <c r="P11" s="57">
        <f t="shared" si="0"/>
        <v>20.633333333333333</v>
      </c>
      <c r="Q11" s="27"/>
      <c r="R11" s="27"/>
      <c r="S11" s="27"/>
      <c r="T11" s="27"/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91</v>
      </c>
      <c r="O12" s="33">
        <f>SUM(O6:O11)</f>
        <v>150200</v>
      </c>
      <c r="P12" s="58">
        <f>O12/100/N12</f>
        <v>16.505494505494507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91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>
        <v>9</v>
      </c>
      <c r="H14" s="24">
        <v>19.903385416666666</v>
      </c>
      <c r="I14" s="24">
        <f>P12</f>
        <v>16.505494505494507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0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472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"/>
      <c r="V16" s="1"/>
      <c r="W16" s="1"/>
      <c r="X16" s="1"/>
      <c r="Y16" s="1"/>
    </row>
    <row r="17" spans="2:25">
      <c r="U17" s="8"/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16.505494505494507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60"/>
      <c r="F23" s="160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2"/>
      <c r="V38" s="162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61" t="s">
        <v>30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62"/>
      <c r="U2" s="62"/>
    </row>
    <row r="3" spans="2:21" ht="18" customHeight="1"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60"/>
      <c r="F25" s="160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2" t="s">
        <v>101</v>
      </c>
      <c r="U40" s="162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Неезжалова Анастасия Викторовна</cp:lastModifiedBy>
  <cp:revision>2</cp:revision>
  <cp:lastPrinted>2023-10-09T08:39:57Z</cp:lastPrinted>
  <dcterms:created xsi:type="dcterms:W3CDTF">2015-06-05T18:19:34Z</dcterms:created>
  <dcterms:modified xsi:type="dcterms:W3CDTF">2026-07-08T07:18:40Z</dcterms:modified>
  <dc:language>ru-RU</dc:language>
</cp:coreProperties>
</file>