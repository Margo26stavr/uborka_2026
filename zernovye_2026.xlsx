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192.168.170.200\обмен\НеезжаловаАВ\"/>
    </mc:Choice>
  </mc:AlternateContent>
  <xr:revisionPtr revIDLastSave="0" documentId="13_ncr:1_{C07C4ED2-6304-4DA5-82FD-50668C59B193}" xr6:coauthVersionLast="47" xr6:coauthVersionMax="47" xr10:uidLastSave="{00000000-0000-0000-0000-000000000000}"/>
  <bookViews>
    <workbookView xWindow="-120" yWindow="-120" windowWidth="29040" windowHeight="15840" tabRatio="836" xr2:uid="{00000000-000D-0000-FFFF-FFFF00000000}"/>
  </bookViews>
  <sheets>
    <sheet name="ИНФО" sheetId="17" r:id="rId1"/>
    <sheet name="Реестр ОП 2025" sheetId="27" state="hidden" r:id="rId2"/>
    <sheet name="Подсолнечник" sheetId="11" state="hidden" r:id="rId3"/>
    <sheet name="Подсолнечник кондитерский" sheetId="26" state="hidden" r:id="rId4"/>
    <sheet name="Поля подсолнечника" sheetId="28" state="hidden" r:id="rId5"/>
    <sheet name="Подсолнечник (гибрид)" sheetId="31" state="hidden" r:id="rId6"/>
    <sheet name="Озимая пшеница" sheetId="14" r:id="rId7"/>
    <sheet name="Кукуруза на зерно" sheetId="13" state="hidden" r:id="rId8"/>
    <sheet name="Поля кукурузы на зерно" sheetId="30" state="hidden" r:id="rId9"/>
    <sheet name="Кукуруза (гибрид)" sheetId="32" state="hidden" r:id="rId10"/>
    <sheet name="Горох на зерно" sheetId="25" r:id="rId11"/>
    <sheet name="Соя" sheetId="12" state="hidden" r:id="rId12"/>
    <sheet name="Статистика" sheetId="18" state="hidden" r:id="rId13"/>
  </sheets>
  <calcPr calcId="191029"/>
</workbook>
</file>

<file path=xl/calcChain.xml><?xml version="1.0" encoding="utf-8"?>
<calcChain xmlns="http://schemas.openxmlformats.org/spreadsheetml/2006/main">
  <c r="AA14" i="14" l="1"/>
  <c r="AA13" i="14"/>
  <c r="Z14" i="14"/>
  <c r="Y14" i="14"/>
  <c r="X14" i="14"/>
  <c r="W14" i="14"/>
  <c r="AA12" i="14"/>
  <c r="Z13" i="14"/>
  <c r="Y13" i="14"/>
  <c r="X13" i="14"/>
  <c r="W13" i="14"/>
  <c r="Z12" i="14"/>
  <c r="Y12" i="14"/>
  <c r="X12" i="14"/>
  <c r="W12" i="14"/>
  <c r="W11" i="14" l="1"/>
  <c r="AA11" i="14"/>
  <c r="Z11" i="14"/>
  <c r="Y11" i="14"/>
  <c r="X11" i="14"/>
  <c r="Z10" i="14"/>
  <c r="AA10" i="14"/>
  <c r="Z8" i="14"/>
  <c r="Y10" i="14"/>
  <c r="Y8" i="14"/>
  <c r="X10" i="14"/>
  <c r="X8" i="14"/>
  <c r="W10" i="14"/>
  <c r="W8" i="14"/>
  <c r="Y7" i="14"/>
  <c r="X7" i="14"/>
  <c r="I8" i="14"/>
  <c r="AA20" i="14" l="1"/>
  <c r="Z7" i="14"/>
  <c r="W7" i="14"/>
  <c r="Z20" i="14" l="1"/>
  <c r="Y20" i="14"/>
  <c r="X20" i="14"/>
  <c r="W20" i="14"/>
  <c r="U6" i="14"/>
  <c r="U20" i="14" s="1"/>
  <c r="V20" i="14" s="1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V19" i="14"/>
  <c r="T20" i="14"/>
  <c r="C20" i="14" l="1"/>
  <c r="P6" i="14" l="1"/>
  <c r="I6" i="14"/>
  <c r="N7" i="25"/>
  <c r="N6" i="25"/>
  <c r="P9" i="25"/>
  <c r="P10" i="25"/>
  <c r="P11" i="25"/>
  <c r="I6" i="25"/>
  <c r="D20" i="25"/>
  <c r="R12" i="25"/>
  <c r="S12" i="25"/>
  <c r="T12" i="25"/>
  <c r="Q12" i="25"/>
  <c r="C24" i="13"/>
  <c r="C23" i="13"/>
  <c r="C20" i="13"/>
  <c r="P6" i="13"/>
  <c r="P7" i="13"/>
  <c r="P8" i="13"/>
  <c r="P9" i="13"/>
  <c r="P10" i="13"/>
  <c r="P11" i="13"/>
  <c r="P12" i="13"/>
  <c r="P13" i="13"/>
  <c r="P14" i="13"/>
  <c r="P15" i="13"/>
  <c r="P16" i="13"/>
  <c r="P17" i="13"/>
  <c r="R19" i="13"/>
  <c r="S19" i="13"/>
  <c r="T19" i="13"/>
  <c r="Q19" i="13"/>
  <c r="P18" i="13"/>
  <c r="C24" i="26"/>
  <c r="C23" i="26"/>
  <c r="D20" i="26"/>
  <c r="C20" i="26"/>
  <c r="R23" i="26"/>
  <c r="S23" i="26"/>
  <c r="T23" i="26"/>
  <c r="Q23" i="26"/>
  <c r="I8" i="26"/>
  <c r="I14" i="11" l="1"/>
  <c r="S12" i="11"/>
  <c r="T12" i="11"/>
  <c r="U12" i="11"/>
  <c r="R12" i="11"/>
  <c r="F16" i="28"/>
  <c r="N19" i="13"/>
  <c r="I13" i="13" s="1"/>
  <c r="E21" i="13" s="1"/>
  <c r="H18" i="30"/>
  <c r="H19" i="30"/>
  <c r="H20" i="30"/>
  <c r="H21" i="30"/>
  <c r="H22" i="30"/>
  <c r="H23" i="30"/>
  <c r="H24" i="30"/>
  <c r="H25" i="30"/>
  <c r="H26" i="30"/>
  <c r="H27" i="30"/>
  <c r="H2" i="30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D18" i="30"/>
  <c r="D19" i="30"/>
  <c r="D20" i="30"/>
  <c r="D28" i="30"/>
  <c r="F28" i="30"/>
  <c r="G28" i="30"/>
  <c r="H28" i="30" s="1"/>
  <c r="D7" i="32" l="1"/>
  <c r="F3" i="32"/>
  <c r="B8" i="32" s="1"/>
  <c r="E3" i="32"/>
  <c r="C8" i="32" s="1"/>
  <c r="B10" i="32" s="1"/>
  <c r="C3" i="32"/>
  <c r="G2" i="32"/>
  <c r="O19" i="13"/>
  <c r="B11" i="32" l="1"/>
  <c r="D8" i="32"/>
  <c r="G3" i="32"/>
  <c r="A15" i="28"/>
  <c r="H16" i="28"/>
  <c r="H25" i="28" l="1"/>
  <c r="H24" i="28"/>
  <c r="H20" i="28"/>
  <c r="A14" i="28"/>
  <c r="A17" i="28" s="1"/>
  <c r="A18" i="28" s="1"/>
  <c r="A19" i="28" s="1"/>
  <c r="A21" i="28" s="1"/>
  <c r="A22" i="28" s="1"/>
  <c r="A23" i="28" s="1"/>
  <c r="A26" i="28" s="1"/>
  <c r="A27" i="28" s="1"/>
  <c r="A28" i="28" s="1"/>
  <c r="H22" i="28"/>
  <c r="H23" i="28"/>
  <c r="H18" i="28"/>
  <c r="H19" i="28"/>
  <c r="H14" i="28"/>
  <c r="H15" i="28"/>
  <c r="H13" i="28" l="1"/>
  <c r="H17" i="28"/>
  <c r="H21" i="28"/>
  <c r="H26" i="28"/>
  <c r="H27" i="28"/>
  <c r="H28" i="28"/>
  <c r="A3" i="28"/>
  <c r="A4" i="28" s="1"/>
  <c r="A5" i="28" s="1"/>
  <c r="A6" i="28" s="1"/>
  <c r="A7" i="28" s="1"/>
  <c r="A8" i="28" s="1"/>
  <c r="A9" i="28" s="1"/>
  <c r="A10" i="28" s="1"/>
  <c r="A11" i="28" s="1"/>
  <c r="A12" i="28" s="1"/>
  <c r="B14" i="31"/>
  <c r="B13" i="31"/>
  <c r="D10" i="31"/>
  <c r="D11" i="31"/>
  <c r="C11" i="31"/>
  <c r="B11" i="31"/>
  <c r="Q11" i="11" l="1"/>
  <c r="H10" i="28"/>
  <c r="Q10" i="11" l="1"/>
  <c r="Q9" i="11"/>
  <c r="Q8" i="11"/>
  <c r="F6" i="31"/>
  <c r="E6" i="31"/>
  <c r="C6" i="31"/>
  <c r="G5" i="31"/>
  <c r="G4" i="31"/>
  <c r="G3" i="31"/>
  <c r="G2" i="31"/>
  <c r="Q7" i="11"/>
  <c r="H12" i="28"/>
  <c r="D29" i="28"/>
  <c r="H2" i="28"/>
  <c r="H3" i="28"/>
  <c r="H4" i="28"/>
  <c r="H5" i="28"/>
  <c r="H6" i="28"/>
  <c r="H7" i="28"/>
  <c r="H8" i="28"/>
  <c r="H9" i="28"/>
  <c r="H11" i="28"/>
  <c r="G29" i="28"/>
  <c r="F29" i="28"/>
  <c r="G6" i="31" l="1"/>
  <c r="H29" i="28"/>
  <c r="Q18" i="14" l="1"/>
  <c r="Q19" i="14"/>
  <c r="Q17" i="14" l="1"/>
  <c r="Q16" i="14"/>
  <c r="Q15" i="14"/>
  <c r="Q14" i="14" l="1"/>
  <c r="Q13" i="14" l="1"/>
  <c r="Q12" i="14"/>
  <c r="Q11" i="14"/>
  <c r="Q10" i="14"/>
  <c r="P20" i="14" l="1"/>
  <c r="I8" i="13"/>
  <c r="I8" i="11"/>
  <c r="E20" i="13"/>
  <c r="D20" i="13" l="1"/>
  <c r="D20" i="11"/>
  <c r="E8" i="25"/>
  <c r="D8" i="14"/>
  <c r="E8" i="14"/>
  <c r="F8" i="14"/>
  <c r="G8" i="14"/>
  <c r="C8" i="14"/>
  <c r="D8" i="25"/>
  <c r="E14" i="25"/>
  <c r="D14" i="25" l="1"/>
  <c r="D20" i="14" l="1"/>
  <c r="Q9" i="14"/>
  <c r="O23" i="26" l="1"/>
  <c r="I11" i="26" s="1"/>
  <c r="N23" i="26"/>
  <c r="M23" i="26"/>
  <c r="I13" i="26" l="1"/>
  <c r="C21" i="26"/>
  <c r="P23" i="26"/>
  <c r="I14" i="26" s="1"/>
  <c r="D21" i="26"/>
  <c r="P7" i="25"/>
  <c r="Q6" i="14"/>
  <c r="Q8" i="14"/>
  <c r="Q7" i="14"/>
  <c r="I8" i="25" l="1"/>
  <c r="M12" i="25"/>
  <c r="O12" i="25"/>
  <c r="P6" i="25"/>
  <c r="M52" i="12"/>
  <c r="L52" i="12"/>
  <c r="I11" i="25" l="1"/>
  <c r="C21" i="25"/>
  <c r="C24" i="25" s="1"/>
  <c r="N12" i="25"/>
  <c r="O51" i="12"/>
  <c r="O50" i="12"/>
  <c r="O49" i="12"/>
  <c r="O48" i="12"/>
  <c r="O47" i="12"/>
  <c r="M40" i="12"/>
  <c r="I13" i="25" l="1"/>
  <c r="C23" i="25" s="1"/>
  <c r="P12" i="25"/>
  <c r="I14" i="25" s="1"/>
  <c r="D21" i="25"/>
  <c r="O46" i="12"/>
  <c r="Q52" i="12"/>
  <c r="R52" i="12"/>
  <c r="S52" i="12"/>
  <c r="P52" i="12"/>
  <c r="O45" i="12"/>
  <c r="O43" i="12" l="1"/>
  <c r="O42" i="12"/>
  <c r="O41" i="12" l="1"/>
  <c r="C21" i="14"/>
  <c r="O40" i="12"/>
  <c r="O39" i="12"/>
  <c r="O38" i="12"/>
  <c r="C24" i="14" l="1"/>
  <c r="I11" i="14"/>
  <c r="O33" i="12"/>
  <c r="E120" i="18" l="1"/>
  <c r="E118" i="18"/>
  <c r="C118" i="18"/>
  <c r="P12" i="11" l="1"/>
  <c r="C21" i="11" l="1"/>
  <c r="C24" i="11" s="1"/>
  <c r="I11" i="11"/>
  <c r="P19" i="13"/>
  <c r="M19" i="13"/>
  <c r="C21" i="13" l="1"/>
  <c r="I11" i="13"/>
  <c r="I14" i="13"/>
  <c r="N12" i="11"/>
  <c r="O12" i="11"/>
  <c r="Q6" i="11"/>
  <c r="M11" i="12"/>
  <c r="D21" i="13" l="1"/>
  <c r="I13" i="11"/>
  <c r="C23" i="11"/>
  <c r="Q12" i="11"/>
  <c r="D21" i="11"/>
  <c r="O11" i="12"/>
  <c r="O8" i="12" l="1"/>
  <c r="N7" i="12"/>
  <c r="N52" i="12" s="1"/>
  <c r="O7" i="12" l="1"/>
  <c r="O6" i="12"/>
  <c r="C23" i="12"/>
  <c r="C22" i="12"/>
  <c r="D22" i="12" s="1"/>
  <c r="C21" i="12"/>
  <c r="D21" i="12" s="1"/>
  <c r="D20" i="12"/>
  <c r="O52" i="12"/>
  <c r="O20" i="14"/>
  <c r="Q20" i="14" l="1"/>
  <c r="I14" i="14" s="1"/>
  <c r="I13" i="14"/>
  <c r="C25" i="12"/>
  <c r="C27" i="12"/>
  <c r="C26" i="12"/>
  <c r="D23" i="12"/>
  <c r="C23" i="14" l="1"/>
  <c r="D21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H15" authorId="0" shapeId="0" xr:uid="{AEDE9817-546A-4A87-A6B0-6B34D8337F1F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25.07.2025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H12" authorId="0" shapeId="0" xr:uid="{042CC26F-0FCD-44D8-8506-28363E7DE1CC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0" shapeId="0" xr:uid="{B362FC6F-B81C-46B0-BA64-FCF12A8CE442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15.09.2024</t>
        </r>
      </text>
    </comment>
    <comment ref="H15" authorId="0" shapeId="0" xr:uid="{F3EF892B-6EB5-465D-98A5-9FB2C574AE31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11.11.2025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D5" authorId="0" shapeId="0" xr:uid="{3FEA7C57-FC1C-4202-AC14-7722D7D48E9B}">
      <text>
        <r>
          <rPr>
            <b/>
            <sz val="9"/>
            <color indexed="81"/>
            <rFont val="Tahoma"/>
            <family val="2"/>
            <charset val="204"/>
          </rPr>
          <t>продукция овощеводства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5" authorId="0" shapeId="0" xr:uid="{29A5D26A-9AC2-44B6-8D20-E66615C01649}">
      <text>
        <r>
          <rPr>
            <b/>
            <sz val="9"/>
            <color indexed="81"/>
            <rFont val="Tahoma"/>
            <family val="2"/>
            <charset val="204"/>
          </rPr>
          <t>продукция растениеводства</t>
        </r>
      </text>
    </comment>
    <comment ref="F5" authorId="0" shapeId="0" xr:uid="{8CA873A9-2396-420E-81A9-E22DF667C5FF}">
      <text>
        <r>
          <rPr>
            <sz val="9"/>
            <color indexed="81"/>
            <rFont val="Tahoma"/>
            <family val="2"/>
            <charset val="204"/>
          </rPr>
          <t xml:space="preserve">была уборка в ООО Колос переспелого овощного гороха на площади 82 га
</t>
        </r>
      </text>
    </comment>
    <comment ref="H5" authorId="0" shapeId="0" xr:uid="{55D4C5B3-97A7-492D-B4DE-D9736A180D86}">
      <text>
        <r>
          <rPr>
            <b/>
            <sz val="9"/>
            <color indexed="81"/>
            <rFont val="Tahoma"/>
            <family val="2"/>
            <charset val="204"/>
          </rPr>
          <t>без учета уборки гороха овощного на зерно (71 га)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15" authorId="0" shapeId="0" xr:uid="{18969274-D62B-4905-9125-D9F0A631DA42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16.07.2025</t>
        </r>
      </text>
    </comment>
    <comment ref="I15" authorId="0" shapeId="0" xr:uid="{E9F01E30-29DE-4833-B967-C2E29DF32C1B}">
      <text>
        <r>
          <rPr>
            <b/>
            <sz val="9"/>
            <color indexed="81"/>
            <rFont val="Tahoma"/>
            <family val="2"/>
            <charset val="204"/>
          </rPr>
          <t>на 09.07.2026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<sst xmlns="http://schemas.openxmlformats.org/spreadsheetml/2006/main" count="1548" uniqueCount="483">
  <si>
    <t>Показатели</t>
  </si>
  <si>
    <t>2020 г.</t>
  </si>
  <si>
    <t>2021 г.</t>
  </si>
  <si>
    <t>2022 г.</t>
  </si>
  <si>
    <t>2023 г.</t>
  </si>
  <si>
    <t>Начало уборки</t>
  </si>
  <si>
    <t>Окончание уборки</t>
  </si>
  <si>
    <t>Кол-во календарных дней</t>
  </si>
  <si>
    <t>Кол-во фактических дней</t>
  </si>
  <si>
    <t>Кол-во техники</t>
  </si>
  <si>
    <t>6-7</t>
  </si>
  <si>
    <t>6-9</t>
  </si>
  <si>
    <t xml:space="preserve"> 8-9</t>
  </si>
  <si>
    <t>Валовый сбор</t>
  </si>
  <si>
    <t>Площадь сева</t>
  </si>
  <si>
    <t>Площадь уборки</t>
  </si>
  <si>
    <t>Средняя урожайность по району</t>
  </si>
  <si>
    <t>Место в районе</t>
  </si>
  <si>
    <t>План</t>
  </si>
  <si>
    <t>Факт</t>
  </si>
  <si>
    <t xml:space="preserve"> 4 / 9</t>
  </si>
  <si>
    <t xml:space="preserve"> 2 / 3</t>
  </si>
  <si>
    <t xml:space="preserve"> 8 / 9</t>
  </si>
  <si>
    <t xml:space="preserve"> 1 / 9</t>
  </si>
  <si>
    <t xml:space="preserve"> 1 / 8</t>
  </si>
  <si>
    <t xml:space="preserve"> -</t>
  </si>
  <si>
    <t xml:space="preserve"> 11 / 11</t>
  </si>
  <si>
    <t>3 ед.</t>
  </si>
  <si>
    <t>2024 г.</t>
  </si>
  <si>
    <t>4 ед.</t>
  </si>
  <si>
    <t>СОЯ 2024 г.</t>
  </si>
  <si>
    <t>18 ц/га</t>
  </si>
  <si>
    <t>Урожайность, ц/га</t>
  </si>
  <si>
    <t>Показатели 2024 г.</t>
  </si>
  <si>
    <t>Кол-во рейсов</t>
  </si>
  <si>
    <t xml:space="preserve">Натура </t>
  </si>
  <si>
    <t>Дата</t>
  </si>
  <si>
    <t xml:space="preserve"> Белок</t>
  </si>
  <si>
    <t>Влажность</t>
  </si>
  <si>
    <t xml:space="preserve">Клейковина </t>
  </si>
  <si>
    <t>Общий итог</t>
  </si>
  <si>
    <t>Урожайность</t>
  </si>
  <si>
    <t>Фузариоз</t>
  </si>
  <si>
    <t>7-9</t>
  </si>
  <si>
    <t>https://rosstat.gov.ru/dbscripts/munst/munst03/DBInet.cgi</t>
  </si>
  <si>
    <t>пр. "им.Гармаша И.И."</t>
  </si>
  <si>
    <t>АО "Путиловец Юг"</t>
  </si>
  <si>
    <t>НПХ Калинина</t>
  </si>
  <si>
    <t>ООО "АК Павловский"</t>
  </si>
  <si>
    <t>АО "Н-пластуновское"</t>
  </si>
  <si>
    <t>ООО "Грин Рэй Кубань"</t>
  </si>
  <si>
    <t>ЗАО "Юбилейное"</t>
  </si>
  <si>
    <t>АО "Рассвет"</t>
  </si>
  <si>
    <t>ООО "Агромаркет"</t>
  </si>
  <si>
    <t>КФХ Барсук Т.Л.</t>
  </si>
  <si>
    <t>Хозяйство</t>
  </si>
  <si>
    <t>Место</t>
  </si>
  <si>
    <t xml:space="preserve"> 4 / 4</t>
  </si>
  <si>
    <t>Прогноз от 13.08.2024</t>
  </si>
  <si>
    <t>Прогноз от 19.07.2024</t>
  </si>
  <si>
    <t>Сор</t>
  </si>
  <si>
    <t>Масличность</t>
  </si>
  <si>
    <t>Выполнение по валу от плана</t>
  </si>
  <si>
    <t>Выполнение по валу от прогноза</t>
  </si>
  <si>
    <t>Выполнение по площади</t>
  </si>
  <si>
    <t>№ п/п</t>
  </si>
  <si>
    <t>Период</t>
  </si>
  <si>
    <t>Номер документа</t>
  </si>
  <si>
    <t>Водитель</t>
  </si>
  <si>
    <t>№ машины</t>
  </si>
  <si>
    <t>№ прицепа</t>
  </si>
  <si>
    <t>Груз</t>
  </si>
  <si>
    <t>Номера полей</t>
  </si>
  <si>
    <t>Брутто</t>
  </si>
  <si>
    <t>Тара</t>
  </si>
  <si>
    <t>Нетто</t>
  </si>
  <si>
    <t>Пункт назначения</t>
  </si>
  <si>
    <t>Пункт отправления</t>
  </si>
  <si>
    <t>Чигрин Н А</t>
  </si>
  <si>
    <t>А819ЕВ 123</t>
  </si>
  <si>
    <t>ЕС2899 23</t>
  </si>
  <si>
    <t>Грин Рэй Кубань ООО</t>
  </si>
  <si>
    <t>Сайко В.В.</t>
  </si>
  <si>
    <t>А816ЕВ 123</t>
  </si>
  <si>
    <t>ЕС2898 23</t>
  </si>
  <si>
    <t>А-11</t>
  </si>
  <si>
    <t>Столбец1</t>
  </si>
  <si>
    <t>Столбец2</t>
  </si>
  <si>
    <t>Столбец3</t>
  </si>
  <si>
    <t>Столбец4</t>
  </si>
  <si>
    <t>Столбец5</t>
  </si>
  <si>
    <t>место</t>
  </si>
  <si>
    <t>КФХ "Барсук Т.Л."</t>
  </si>
  <si>
    <t>НПХ  Калинина</t>
  </si>
  <si>
    <t>Пред. "им.Гармаша И.И."</t>
  </si>
  <si>
    <t>2-3 ед.</t>
  </si>
  <si>
    <t xml:space="preserve"> 10 / 10</t>
  </si>
  <si>
    <t xml:space="preserve"> 6 / 7</t>
  </si>
  <si>
    <t xml:space="preserve"> 4 / 4 </t>
  </si>
  <si>
    <t xml:space="preserve"> 7 / 10</t>
  </si>
  <si>
    <t xml:space="preserve"> 9 / 10</t>
  </si>
  <si>
    <t>корректировка площади +5 га</t>
  </si>
  <si>
    <t>на 25.09.2025</t>
  </si>
  <si>
    <t>Показатели 2025 г.</t>
  </si>
  <si>
    <t>2025 г.</t>
  </si>
  <si>
    <t>2 ед.</t>
  </si>
  <si>
    <t xml:space="preserve"> 3 / 10</t>
  </si>
  <si>
    <t xml:space="preserve"> 8 / 10</t>
  </si>
  <si>
    <t>24.06.2025 15:31:17</t>
  </si>
  <si>
    <t>00000000072</t>
  </si>
  <si>
    <t>Сайко Владимир Николаевич</t>
  </si>
  <si>
    <t>Т919РВ 193</t>
  </si>
  <si>
    <t xml:space="preserve"> </t>
  </si>
  <si>
    <t>Пшеница озимая</t>
  </si>
  <si>
    <t>25.06.2025 15:46:44</t>
  </si>
  <si>
    <t>00000000073</t>
  </si>
  <si>
    <t>26.06.2025 13:44:30</t>
  </si>
  <si>
    <t>00000000079</t>
  </si>
  <si>
    <t>26.06.2025 13:46:07</t>
  </si>
  <si>
    <t>00000000078</t>
  </si>
  <si>
    <t>26.06.2025 13:49:28</t>
  </si>
  <si>
    <t>00000000076</t>
  </si>
  <si>
    <t>Роговской Р.А.</t>
  </si>
  <si>
    <t>Т945РВ 193</t>
  </si>
  <si>
    <t>26.06.2025 14:21:32</t>
  </si>
  <si>
    <t>00000000081</t>
  </si>
  <si>
    <t>26.06.2025 14:38:21</t>
  </si>
  <si>
    <t>00000000082</t>
  </si>
  <si>
    <t>26.06.2025 14:40:58</t>
  </si>
  <si>
    <t>00000000080</t>
  </si>
  <si>
    <t>26.06.2025 14:55:48</t>
  </si>
  <si>
    <t>00000000083</t>
  </si>
  <si>
    <t>Магадиев Александр Сайлаувич</t>
  </si>
  <si>
    <t>У184НО 193</t>
  </si>
  <si>
    <t>МН7302 23</t>
  </si>
  <si>
    <t>26.06.2025 15:40:36</t>
  </si>
  <si>
    <t>00000000084</t>
  </si>
  <si>
    <t>Ревенко А.В.</t>
  </si>
  <si>
    <t>А781РР 123</t>
  </si>
  <si>
    <t>ЕХ4187 23</t>
  </si>
  <si>
    <t>26.06.2025 15:41:27</t>
  </si>
  <si>
    <t>00000000085</t>
  </si>
  <si>
    <t>26.06.2025 17:36:39</t>
  </si>
  <si>
    <t>00000000106</t>
  </si>
  <si>
    <t>26.06.2025 17:45:43</t>
  </si>
  <si>
    <t>00000000107</t>
  </si>
  <si>
    <t>26.06.2025 18:23:07</t>
  </si>
  <si>
    <t>00000000109</t>
  </si>
  <si>
    <t>26.06.2025 18:42:02</t>
  </si>
  <si>
    <t>00000000108</t>
  </si>
  <si>
    <t>26.06.2025 18:48:52</t>
  </si>
  <si>
    <t>00000000116</t>
  </si>
  <si>
    <t>26.06.2025 18:50:07</t>
  </si>
  <si>
    <t>00000000111</t>
  </si>
  <si>
    <t>Сероштан Станислав Викторович</t>
  </si>
  <si>
    <t>Е758РЕ 123</t>
  </si>
  <si>
    <t>ЕХ4191 23</t>
  </si>
  <si>
    <t>26.06.2025 18:53:49</t>
  </si>
  <si>
    <t>00000000118</t>
  </si>
  <si>
    <t>26.06.2025 19:00:03</t>
  </si>
  <si>
    <t>00000000113</t>
  </si>
  <si>
    <t>26.06.2025 19:17:14</t>
  </si>
  <si>
    <t>00000000122</t>
  </si>
  <si>
    <t>26.06.2025 19:44:19</t>
  </si>
  <si>
    <t>00000000128</t>
  </si>
  <si>
    <t>26.06.2025 20:02:30</t>
  </si>
  <si>
    <t>00000000133</t>
  </si>
  <si>
    <t>26.06.2025 20:15:57</t>
  </si>
  <si>
    <t>00000000136</t>
  </si>
  <si>
    <t>26.06.2025 20:39:39</t>
  </si>
  <si>
    <t>00000000123</t>
  </si>
  <si>
    <t>26.06.2025 20:58:14</t>
  </si>
  <si>
    <t>00000000146</t>
  </si>
  <si>
    <t>26.06.2025 21:11:45</t>
  </si>
  <si>
    <t>00000000147</t>
  </si>
  <si>
    <t>26.06.2025 21:34:00</t>
  </si>
  <si>
    <t>00000000152</t>
  </si>
  <si>
    <t>26.06.2025 21:39:00</t>
  </si>
  <si>
    <t>00000000142</t>
  </si>
  <si>
    <t>26.06.2025 22:11:03</t>
  </si>
  <si>
    <t>00000000158</t>
  </si>
  <si>
    <t>26.06.2025 22:12:55</t>
  </si>
  <si>
    <t>00000000163</t>
  </si>
  <si>
    <t>26.06.2025 22:23:39</t>
  </si>
  <si>
    <t>00000000164</t>
  </si>
  <si>
    <t>26.06.2025 22:31:23</t>
  </si>
  <si>
    <t>00000000156</t>
  </si>
  <si>
    <t>26.06.2025 22:38:25</t>
  </si>
  <si>
    <t>00000000140</t>
  </si>
  <si>
    <t>27.06.2025 10:15:33</t>
  </si>
  <si>
    <t>00000000167</t>
  </si>
  <si>
    <t>Извеков Владимир Владимирович</t>
  </si>
  <si>
    <t>Н378ХЕ 93</t>
  </si>
  <si>
    <t>ЕР7829 23</t>
  </si>
  <si>
    <t>А-20</t>
  </si>
  <si>
    <t>27.06.2025 10:35:05</t>
  </si>
  <si>
    <t>00000000170</t>
  </si>
  <si>
    <t>Емец  Р.А.</t>
  </si>
  <si>
    <t>У315НХ 123</t>
  </si>
  <si>
    <t>ЕУ4649 23</t>
  </si>
  <si>
    <t>27.06.2025 10:38:25</t>
  </si>
  <si>
    <t>00000000171</t>
  </si>
  <si>
    <t>27.06.2025 11:02:03</t>
  </si>
  <si>
    <t>00000000176</t>
  </si>
  <si>
    <t>27.06.2025 11:06:11</t>
  </si>
  <si>
    <t>00000000172</t>
  </si>
  <si>
    <t>27.06.2025 11:15:58</t>
  </si>
  <si>
    <t>00000000177</t>
  </si>
  <si>
    <t>27.06.2025 11:20:49</t>
  </si>
  <si>
    <t>00000000180</t>
  </si>
  <si>
    <t>27.06.2025 11:26:51</t>
  </si>
  <si>
    <t>00000000182</t>
  </si>
  <si>
    <t>27.06.2025 11:48:49</t>
  </si>
  <si>
    <t>00000000186</t>
  </si>
  <si>
    <t>27.06.2025 11:55:55</t>
  </si>
  <si>
    <t>00000000188</t>
  </si>
  <si>
    <t>27.06.2025 12:22:53</t>
  </si>
  <si>
    <t>00000000193</t>
  </si>
  <si>
    <t>27.06.2025 12:32:02</t>
  </si>
  <si>
    <t>00000000194</t>
  </si>
  <si>
    <t>27.06.2025 12:36:45</t>
  </si>
  <si>
    <t>00000000195</t>
  </si>
  <si>
    <t>27.06.2025 12:38:02</t>
  </si>
  <si>
    <t>00000000196</t>
  </si>
  <si>
    <t>27.06.2025 12:56:11</t>
  </si>
  <si>
    <t>00000000197</t>
  </si>
  <si>
    <t>27.06.2025 13:23:48</t>
  </si>
  <si>
    <t>00000000198</t>
  </si>
  <si>
    <t>27.06.2025 13:34:50</t>
  </si>
  <si>
    <t>00000000199</t>
  </si>
  <si>
    <t>А-87</t>
  </si>
  <si>
    <t>27.06.2025 13:42:26</t>
  </si>
  <si>
    <t>00000000201</t>
  </si>
  <si>
    <t>27.06.2025 13:47:24</t>
  </si>
  <si>
    <t>00000000202</t>
  </si>
  <si>
    <t>27.06.2025 13:57:14</t>
  </si>
  <si>
    <t>00000000203</t>
  </si>
  <si>
    <t>27.06.2025 14:09:35</t>
  </si>
  <si>
    <t>00000000204</t>
  </si>
  <si>
    <t>27.06.2025 14:13:37</t>
  </si>
  <si>
    <t>00000000205</t>
  </si>
  <si>
    <t>Фомин Н.Г.</t>
  </si>
  <si>
    <t>А731ВА 123</t>
  </si>
  <si>
    <t>МО8130 23</t>
  </si>
  <si>
    <t>27.06.2025 14:25:54</t>
  </si>
  <si>
    <t>00000000206</t>
  </si>
  <si>
    <t>27.06.2025 14:28:16</t>
  </si>
  <si>
    <t>00000000207</t>
  </si>
  <si>
    <t>27.06.2025 14:46:50</t>
  </si>
  <si>
    <t>00000000208</t>
  </si>
  <si>
    <t>27.06.2025 14:57:05</t>
  </si>
  <si>
    <t>00000000209</t>
  </si>
  <si>
    <t>27.06.2025 15:06:29</t>
  </si>
  <si>
    <t>00000000210</t>
  </si>
  <si>
    <t>27.06.2025 15:11:27</t>
  </si>
  <si>
    <t>00000000211</t>
  </si>
  <si>
    <t>27.06.2025 15:13:14</t>
  </si>
  <si>
    <t>00000000212</t>
  </si>
  <si>
    <t>27.06.2025 15:54:28</t>
  </si>
  <si>
    <t>00000000213</t>
  </si>
  <si>
    <t>27.06.2025 16:15:44</t>
  </si>
  <si>
    <t>00000000214</t>
  </si>
  <si>
    <t>А-17</t>
  </si>
  <si>
    <t>27.06.2025 16:30:55</t>
  </si>
  <si>
    <t>00000000215</t>
  </si>
  <si>
    <t>27.06.2025 16:39:05</t>
  </si>
  <si>
    <t>00000000216</t>
  </si>
  <si>
    <t>27.06.2025 16:41:00</t>
  </si>
  <si>
    <t>00000000217</t>
  </si>
  <si>
    <t>27.06.2025 16:55:47</t>
  </si>
  <si>
    <t>00000000218</t>
  </si>
  <si>
    <t>27.06.2025 17:05:17</t>
  </si>
  <si>
    <t>00000000219</t>
  </si>
  <si>
    <t>27.06.2025 17:13:19</t>
  </si>
  <si>
    <t>00000000220</t>
  </si>
  <si>
    <t>27.06.2025 17:44:18</t>
  </si>
  <si>
    <t>00000000221</t>
  </si>
  <si>
    <t>27.06.2025 18:01:01</t>
  </si>
  <si>
    <t>00000000222</t>
  </si>
  <si>
    <t>27.06.2025 18:35:46</t>
  </si>
  <si>
    <t>00000000224</t>
  </si>
  <si>
    <t>27.06.2025 18:37:40</t>
  </si>
  <si>
    <t>00000000223</t>
  </si>
  <si>
    <t>27.06.2025 19:23:47</t>
  </si>
  <si>
    <t>00000000225</t>
  </si>
  <si>
    <t>А-18</t>
  </si>
  <si>
    <t>27.06.2025 19:51:07</t>
  </si>
  <si>
    <t>00000000227</t>
  </si>
  <si>
    <t>27.06.2025 20:07:54</t>
  </si>
  <si>
    <t>00000000229</t>
  </si>
  <si>
    <t>27.06.2025 20:13:17</t>
  </si>
  <si>
    <t>00000000226</t>
  </si>
  <si>
    <t>27.06.2025 20:16:02</t>
  </si>
  <si>
    <t>00000000228</t>
  </si>
  <si>
    <t>27.06.2025 20:21:06</t>
  </si>
  <si>
    <t>00000000230</t>
  </si>
  <si>
    <t>27.06.2025 21:08:24</t>
  </si>
  <si>
    <t>00000000231</t>
  </si>
  <si>
    <t>27.06.2025 21:38:12</t>
  </si>
  <si>
    <t>00000000232</t>
  </si>
  <si>
    <t>27.06.2025 21:43:40</t>
  </si>
  <si>
    <t>00000000233</t>
  </si>
  <si>
    <t>27.06.2025 21:52:04</t>
  </si>
  <si>
    <t>00000000234</t>
  </si>
  <si>
    <t>28.06.2025 10:59:39</t>
  </si>
  <si>
    <t>00000000243</t>
  </si>
  <si>
    <t>А-15</t>
  </si>
  <si>
    <t>28.06.2025 11:07:43</t>
  </si>
  <si>
    <t>00000000245</t>
  </si>
  <si>
    <t>28.06.2025 11:36:11</t>
  </si>
  <si>
    <t>00000000248</t>
  </si>
  <si>
    <t>28.06.2025 12:04:50</t>
  </si>
  <si>
    <t>00000000254</t>
  </si>
  <si>
    <t>28.06.2025 12:06:29</t>
  </si>
  <si>
    <t>00000000252</t>
  </si>
  <si>
    <t>Титаренко М.С.</t>
  </si>
  <si>
    <t>О398ХО 193</t>
  </si>
  <si>
    <t>МТ9729 23</t>
  </si>
  <si>
    <t>28.06.2025 12:14:21</t>
  </si>
  <si>
    <t>00000000255</t>
  </si>
  <si>
    <t>28.06.2025 12:16:53</t>
  </si>
  <si>
    <t>00000000256</t>
  </si>
  <si>
    <t>28.06.2025 12:33:51</t>
  </si>
  <si>
    <t>00000000251</t>
  </si>
  <si>
    <t>Игольницын С.В.</t>
  </si>
  <si>
    <t>В780ТТ 193</t>
  </si>
  <si>
    <t>МС8607 23</t>
  </si>
  <si>
    <t>28.06.2025 12:42:40</t>
  </si>
  <si>
    <t>00000000257</t>
  </si>
  <si>
    <t>28.06.2025 12:54:33</t>
  </si>
  <si>
    <t>00000000258</t>
  </si>
  <si>
    <t>28.06.2025 13:30:32</t>
  </si>
  <si>
    <t>00000000259</t>
  </si>
  <si>
    <t>Грищенко А.А.</t>
  </si>
  <si>
    <t>К416ТН 193</t>
  </si>
  <si>
    <t>МС8480 23</t>
  </si>
  <si>
    <t>28.06.2025 14:12:38</t>
  </si>
  <si>
    <t>00000000265</t>
  </si>
  <si>
    <t>28.06.2025 14:14:49</t>
  </si>
  <si>
    <t>00000000263</t>
  </si>
  <si>
    <t>28.06.2025 14:44:32</t>
  </si>
  <si>
    <t>00000000269</t>
  </si>
  <si>
    <t>А-5</t>
  </si>
  <si>
    <t>28.06.2025 14:54:47</t>
  </si>
  <si>
    <t>00000000270</t>
  </si>
  <si>
    <t>28.06.2025 14:56:24</t>
  </si>
  <si>
    <t>00000000271</t>
  </si>
  <si>
    <t>28.06.2025 15:01:07</t>
  </si>
  <si>
    <t>00000000272</t>
  </si>
  <si>
    <t>28.06.2025 15:26:00</t>
  </si>
  <si>
    <t>00000000274</t>
  </si>
  <si>
    <t>28.06.2025 15:35:33</t>
  </si>
  <si>
    <t>00000000275</t>
  </si>
  <si>
    <t>28.06.2025 15:40:24</t>
  </si>
  <si>
    <t>00000000277</t>
  </si>
  <si>
    <t>28.06.2025 16:05:38</t>
  </si>
  <si>
    <t>00000000281</t>
  </si>
  <si>
    <t>28.06.2025 16:07:07</t>
  </si>
  <si>
    <t>00000000283</t>
  </si>
  <si>
    <t>28.06.2025 16:59:36</t>
  </si>
  <si>
    <t>00000000292</t>
  </si>
  <si>
    <t>А- 16</t>
  </si>
  <si>
    <t>28.06.2025 17:12:10</t>
  </si>
  <si>
    <t>00000000293</t>
  </si>
  <si>
    <t>28.06.2025 17:25:51</t>
  </si>
  <si>
    <t>00000000297</t>
  </si>
  <si>
    <t>28.06.2025 17:31:04</t>
  </si>
  <si>
    <t>00000000294</t>
  </si>
  <si>
    <t>28.06.2025 17:34:30</t>
  </si>
  <si>
    <t>00000000289</t>
  </si>
  <si>
    <t>28.06.2025 17:35:58</t>
  </si>
  <si>
    <t>00000000298</t>
  </si>
  <si>
    <t>28.06.2025 18:13:30</t>
  </si>
  <si>
    <t>00000000302</t>
  </si>
  <si>
    <t>28.06.2025 18:25:14</t>
  </si>
  <si>
    <t>00000000303</t>
  </si>
  <si>
    <t>28.06.2025 19:00:44</t>
  </si>
  <si>
    <t>00000000307</t>
  </si>
  <si>
    <t>28.06.2025 19:07:56</t>
  </si>
  <si>
    <t>00000000311</t>
  </si>
  <si>
    <t>28.06.2025 19:11:21</t>
  </si>
  <si>
    <t>00000000310</t>
  </si>
  <si>
    <t>28.06.2025 20:44:59</t>
  </si>
  <si>
    <t>00000000314</t>
  </si>
  <si>
    <t>А-64</t>
  </si>
  <si>
    <t>28.06.2025 20:51:02</t>
  </si>
  <si>
    <t>00000000315</t>
  </si>
  <si>
    <t>28.06.2025 21:10:46</t>
  </si>
  <si>
    <t>00000000316</t>
  </si>
  <si>
    <t>28.06.2025 21:20:03</t>
  </si>
  <si>
    <t>00000000317</t>
  </si>
  <si>
    <t>28.06.2025 21:45:03</t>
  </si>
  <si>
    <t>00000000320</t>
  </si>
  <si>
    <t>А-62</t>
  </si>
  <si>
    <t>28.06.2025 22:10:24</t>
  </si>
  <si>
    <t>00000000321</t>
  </si>
  <si>
    <t>28.06.2025 22:33:04</t>
  </si>
  <si>
    <t>00000000324</t>
  </si>
  <si>
    <t>У184НО 19</t>
  </si>
  <si>
    <t>28.06.2025 22:35:02</t>
  </si>
  <si>
    <t>00000000325</t>
  </si>
  <si>
    <t>28.06.2025 22:38:39</t>
  </si>
  <si>
    <t>00000000326</t>
  </si>
  <si>
    <t>28.06.2025 22:41:27</t>
  </si>
  <si>
    <t>00000000323</t>
  </si>
  <si>
    <t>30.06.2025 15:37:54</t>
  </si>
  <si>
    <t>00000000333</t>
  </si>
  <si>
    <t>Дата отчета</t>
  </si>
  <si>
    <t>богара + полив</t>
  </si>
  <si>
    <t xml:space="preserve"> 5 / 10</t>
  </si>
  <si>
    <t>9-14</t>
  </si>
  <si>
    <t>А-1/1</t>
  </si>
  <si>
    <t>А-27</t>
  </si>
  <si>
    <t>А-25</t>
  </si>
  <si>
    <t>А-14/1</t>
  </si>
  <si>
    <t>А-13</t>
  </si>
  <si>
    <t>Экселент</t>
  </si>
  <si>
    <t>Ираклион</t>
  </si>
  <si>
    <t>КУБА (партия Фортуна)</t>
  </si>
  <si>
    <t>КУБА (партия Кекс ТМ)</t>
  </si>
  <si>
    <t>Поле</t>
  </si>
  <si>
    <t>Сорт семян</t>
  </si>
  <si>
    <t>Площадь поля, га</t>
  </si>
  <si>
    <t>Валовый сбор, кг</t>
  </si>
  <si>
    <t>Дата уборки</t>
  </si>
  <si>
    <t>Площадь уборки, га</t>
  </si>
  <si>
    <t>Культура</t>
  </si>
  <si>
    <t>Кукуруза на зерно</t>
  </si>
  <si>
    <t>А-2/1</t>
  </si>
  <si>
    <t>Краснодарская 291  (ФС 2823)</t>
  </si>
  <si>
    <t>СИ ПРЕМЕО</t>
  </si>
  <si>
    <t>А-65/1</t>
  </si>
  <si>
    <t>СИ Скорпиус</t>
  </si>
  <si>
    <t>А-66/2</t>
  </si>
  <si>
    <t>Краснодарская 291  (ФС 1670)</t>
  </si>
  <si>
    <t>СИ Энермакс</t>
  </si>
  <si>
    <t>А-75</t>
  </si>
  <si>
    <t>А-87/3</t>
  </si>
  <si>
    <t>Акустика</t>
  </si>
  <si>
    <t>Кашимир</t>
  </si>
  <si>
    <t>Рикардо</t>
  </si>
  <si>
    <t>Кукуруза на зерно (полив)</t>
  </si>
  <si>
    <t>А-111/2</t>
  </si>
  <si>
    <t>СИ КАРИОКА</t>
  </si>
  <si>
    <t>А-104/1</t>
  </si>
  <si>
    <t>А-106/1</t>
  </si>
  <si>
    <t>А-87/4</t>
  </si>
  <si>
    <t>МАГ213Р, МАГ65А</t>
  </si>
  <si>
    <t>1 ед.</t>
  </si>
  <si>
    <t>Выполнение по валу</t>
  </si>
  <si>
    <t>Подсолнечник</t>
  </si>
  <si>
    <t>Подсолнечник кондитерский</t>
  </si>
  <si>
    <t>СПК-плюс</t>
  </si>
  <si>
    <t>А-37/3</t>
  </si>
  <si>
    <t>А-39/3</t>
  </si>
  <si>
    <t>А-6/1</t>
  </si>
  <si>
    <t>А-7</t>
  </si>
  <si>
    <t>задисковано</t>
  </si>
  <si>
    <t>Примечание</t>
  </si>
  <si>
    <t>задискован остаток</t>
  </si>
  <si>
    <t>Задисковано 238 га</t>
  </si>
  <si>
    <t>А-54</t>
  </si>
  <si>
    <t xml:space="preserve">  9 / 10</t>
  </si>
  <si>
    <t xml:space="preserve"> 4 / 7</t>
  </si>
  <si>
    <t>2026 г.</t>
  </si>
  <si>
    <t xml:space="preserve"> 0 / 10</t>
  </si>
  <si>
    <t>0 ед.</t>
  </si>
  <si>
    <t>ПОДСОЛНЕЧНИК 2026 г.</t>
  </si>
  <si>
    <t>Показатели 2026 г.</t>
  </si>
  <si>
    <t>ПОДСОЛНЕЧНИК КОНДИТЕРСКИЙ 2026 г.</t>
  </si>
  <si>
    <t>КУКУРУЗА НА ЗЕРНО 2026 г.</t>
  </si>
  <si>
    <t>\</t>
  </si>
  <si>
    <t>0 / 10</t>
  </si>
  <si>
    <t>на семена</t>
  </si>
  <si>
    <t>ГОРОХ НА ЗЕРНО 2026 г.</t>
  </si>
  <si>
    <t xml:space="preserve">ОЗИМАЯ ПШЕНИЦА 2026 г.                                         </t>
  </si>
  <si>
    <t>11</t>
  </si>
  <si>
    <t>ОБЩАЯ ИНФОРМАЦИЯ ПО УБОРКЕ ЗЕРНОВЫХ КУЛЬТУР СЕЗОН 2026 г.</t>
  </si>
  <si>
    <t>1ед.</t>
  </si>
  <si>
    <t xml:space="preserve"> 4 / 10</t>
  </si>
  <si>
    <t>А-111</t>
  </si>
  <si>
    <t>А-23</t>
  </si>
  <si>
    <t>А-83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</si>
</sst>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5">
    <numFmt numFmtId="43" formatCode="_-* #,##0.00_-;\-* #,##0.00_-;_-* &quot;-&quot;??_-;_-@_-"/>
    <numFmt numFmtId="164" formatCode="0.0%"/>
    <numFmt numFmtId="165" formatCode="00&quot; дн.&quot;"/>
    <numFmt numFmtId="166" formatCode="00&quot; га&quot;"/>
    <numFmt numFmtId="167" formatCode="00&quot; ц/га&quot;"/>
    <numFmt numFmtId="168" formatCode="##,###&quot; тн.&quot;"/>
    <numFmt numFmtId="169" formatCode="##,###&quot; кг&quot;"/>
    <numFmt numFmtId="170" formatCode="00.0&quot; ц/га&quot;"/>
    <numFmt numFmtId="171" formatCode="0.0"/>
    <numFmt numFmtId="172" formatCode="dd/mm/yy;@"/>
    <numFmt numFmtId="173" formatCode="##.0&quot; га&quot;"/>
    <numFmt numFmtId="174" formatCode="#,##0.0"/>
    <numFmt numFmtId="175" formatCode="##,###&quot; т&quot;"/>
    <numFmt numFmtId="176" formatCode="_-* #,##0.00\ _₽_-;\-* #,##0.00\ _₽_-;_-* &quot;-&quot;??\ _₽_-;_-@_-"/>
    <numFmt numFmtId="177" formatCode="0.0&quot; ц/га&quot;"/>
    <numFmt numFmtId="178" formatCode="0&quot; га&quot;"/>
    <numFmt numFmtId="179" formatCode="0&quot; ц/га&quot;"/>
    <numFmt numFmtId="180" formatCode="##&quot; га&quot;"/>
    <numFmt numFmtId="181" formatCode="_-* #\ ##0.00_р_._-;\-* #\ ##0.00_р_._-;_-* &quot;-&quot;??_р_._-;_-@_-"/>
    <numFmt numFmtId="182" formatCode="##,###&quot; га&quot;"/>
    <numFmt numFmtId="183" formatCode="_-* #\.##0.00\ &quot;₽&quot;_-;\-* #\.##0.00\ &quot;₽&quot;_-;_-* \-??\ &quot;₽&quot;_-;_-@_-"/>
    <numFmt numFmtId="184" formatCode="_-* #\ ##0&quot; руб&quot;_-;\-* #\ ##0&quot; руб&quot;_-;_-* &quot;- руб&quot;_-;_-@_-"/>
    <numFmt numFmtId="185" formatCode="_-* #\ ##0_р_._-;\-* #\ ##0_р_._-;_-* \-_р_._-;_-@_-"/>
    <numFmt numFmtId="186" formatCode="_-* #\ ##0.00_р_._-;\-* #\ ##0.00_р_._-;_-* \-??_р_._-;_-@_-"/>
    <numFmt numFmtId="187" formatCode="_-* #\ ##0&quot;р.&quot;_-;\-* #\ ##0&quot;р.&quot;_-;_-* &quot;-р.&quot;_-;_-@_-"/>
    <numFmt numFmtId="188" formatCode="_-* #\ ##0.00&quot;р.&quot;_-;\-* #\ ##0.00&quot;р.&quot;_-;_-* \-??&quot;р.&quot;_-;_-@_-"/>
    <numFmt numFmtId="189" formatCode="dd\.mm\.yyyy"/>
    <numFmt numFmtId="190" formatCode="_-* #\ ##0.00[$€-1]_-;\-* #\ ##0.00[$€-1]_-;_-* &quot;-&quot;??[$€-1]_-"/>
    <numFmt numFmtId="191" formatCode="_-* #\ ##0.00[$€-1]_-;\-* #\ ##0.00[$€-1]_-;_-* \-??[$€-1]_-"/>
    <numFmt numFmtId="192" formatCode="#\ ##0;\-#\ ##0"/>
    <numFmt numFmtId="193" formatCode="General_)"/>
    <numFmt numFmtId="194" formatCode="#\ ##0&quot;в&quot;"/>
    <numFmt numFmtId="195" formatCode="#\ ##0"/>
    <numFmt numFmtId="196" formatCode="_-* #\ ##0.00&quot;р.&quot;_-;\-* #\ ##0.00&quot;р.&quot;_-;_-* &quot;-&quot;??&quot;р.&quot;_-;_-@_-"/>
    <numFmt numFmtId="197" formatCode="_-* #\ ##0.00\ &quot;₽&quot;_-;\-* #\ ##0.00\ &quot;₽&quot;_-;_-* &quot;-&quot;??\ &quot;₽&quot;_-;_-@_-"/>
    <numFmt numFmtId="198" formatCode="#\ ##0_);\(#\ ##0\);#\ ###"/>
    <numFmt numFmtId="199" formatCode="#\ ##0&quot;т&quot;"/>
    <numFmt numFmtId="200" formatCode="_-* #\ ##0\ _р_._-;\-* #\ ##0\ _р_._-;_-* &quot;-&quot;\ _р_._-;_-@_-"/>
    <numFmt numFmtId="201" formatCode="_-* #\ ##0.00\ _р_._-;\-* #\ ##0.00\ _р_._-;_-* &quot;-&quot;??\ _р_._-;_-@_-"/>
    <numFmt numFmtId="202" formatCode="_-* #\ ##0.00_-;\-* #\ ##0.00_-;_-* &quot;-&quot;??_-;_-@_-"/>
    <numFmt numFmtId="203" formatCode="_-* #\ ##0.00_-;\-* #\ ##0.00_-;_-* \-??_-;_-@_-"/>
    <numFmt numFmtId="204" formatCode="&quot;?.&quot;#\ ##0_);[Red]\(&quot;?.&quot;#\ ##0\)"/>
    <numFmt numFmtId="205" formatCode="_(* #\ ##0.00_);_(* \(#\ ##0.00\);_(* &quot;-&quot;??_);_(@_)"/>
    <numFmt numFmtId="206" formatCode="_-* #,##0.00_р_._-;\-* #,##0.00_р_._-;_-* &quot;-&quot;??_р_._-;_-@_-"/>
    <numFmt numFmtId="207" formatCode="##,###.0&quot; т&quot;"/>
  </numFmts>
  <fonts count="106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sz val="11"/>
      <color rgb="FFFF0000"/>
      <name val="Arial"/>
      <family val="2"/>
      <charset val="204"/>
    </font>
    <font>
      <sz val="11"/>
      <color theme="1"/>
      <name val="Arial"/>
      <family val="2"/>
      <charset val="204"/>
    </font>
    <font>
      <sz val="36"/>
      <color theme="2" tint="-0.499984740745262"/>
      <name val="Arial Narrow"/>
      <family val="2"/>
      <charset val="204"/>
    </font>
    <font>
      <b/>
      <sz val="14"/>
      <color theme="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22"/>
      <color theme="7" tint="-0.249977111117893"/>
      <name val="Arial"/>
      <family val="2"/>
      <charset val="204"/>
    </font>
    <font>
      <b/>
      <sz val="11"/>
      <color theme="2" tint="-0.499984740745262"/>
      <name val="Arial"/>
      <family val="2"/>
      <charset val="204"/>
    </font>
    <font>
      <sz val="11"/>
      <color theme="2" tint="-0.499984740745262"/>
      <name val="Arial"/>
      <family val="2"/>
      <charset val="204"/>
    </font>
    <font>
      <b/>
      <sz val="14"/>
      <color theme="2" tint="-0.499984740745262"/>
      <name val="Arial"/>
      <family val="2"/>
      <charset val="204"/>
    </font>
    <font>
      <b/>
      <sz val="12"/>
      <color theme="2" tint="-0.499984740745262"/>
      <name val="Arial"/>
      <family val="2"/>
      <charset val="204"/>
    </font>
    <font>
      <sz val="11"/>
      <color theme="0"/>
      <name val="Arial"/>
      <family val="2"/>
      <charset val="204"/>
    </font>
    <font>
      <b/>
      <i/>
      <sz val="24"/>
      <color theme="0" tint="-0.499984740745262"/>
      <name val="Arial"/>
      <family val="2"/>
      <charset val="204"/>
    </font>
    <font>
      <b/>
      <i/>
      <sz val="8"/>
      <color theme="1"/>
      <name val="Arial"/>
      <family val="2"/>
      <charset val="204"/>
    </font>
    <font>
      <i/>
      <sz val="8"/>
      <color theme="1"/>
      <name val="Arial"/>
      <family val="2"/>
      <charset val="204"/>
    </font>
    <font>
      <i/>
      <sz val="8"/>
      <color rgb="FFFF0000"/>
      <name val="Arial"/>
      <family val="2"/>
      <charset val="204"/>
    </font>
    <font>
      <sz val="12"/>
      <color theme="1"/>
      <name val="Arial"/>
      <family val="2"/>
      <charset val="204"/>
    </font>
    <font>
      <sz val="8"/>
      <name val="Arial"/>
      <family val="2"/>
      <charset val="204"/>
    </font>
    <font>
      <sz val="10"/>
      <name val="Arial"/>
      <family val="2"/>
      <charset val="204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5"/>
      <color theme="3"/>
      <name val="Arial"/>
      <family val="2"/>
      <charset val="204"/>
    </font>
    <font>
      <sz val="10"/>
      <name val="Arial Cyr"/>
      <charset val="204"/>
    </font>
    <font>
      <i/>
      <sz val="11"/>
      <color theme="2" tint="-0.499984740745262"/>
      <name val="Arial"/>
      <family val="2"/>
      <charset val="204"/>
    </font>
    <font>
      <b/>
      <i/>
      <sz val="11"/>
      <color theme="2" tint="-0.499984740745262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8"/>
      <name val="Arial"/>
      <family val="2"/>
      <charset val="204"/>
    </font>
    <font>
      <sz val="10"/>
      <name val="Times New Roman"/>
      <family val="1"/>
      <charset val="204"/>
    </font>
    <font>
      <i/>
      <sz val="8"/>
      <color theme="0" tint="-0.249977111117893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22"/>
      <color theme="1"/>
      <name val="Arial"/>
      <family val="2"/>
      <charset val="204"/>
    </font>
    <font>
      <i/>
      <sz val="11"/>
      <color theme="0" tint="-0.249977111117893"/>
      <name val="Arial"/>
      <family val="2"/>
      <charset val="204"/>
    </font>
    <font>
      <sz val="11"/>
      <name val="Arial"/>
      <family val="2"/>
      <charset val="204"/>
    </font>
    <font>
      <sz val="10"/>
      <name val="Arial Cyr"/>
      <family val="2"/>
      <charset val="204"/>
    </font>
    <font>
      <b/>
      <sz val="11"/>
      <name val="Arial"/>
      <family val="2"/>
      <charset val="204"/>
    </font>
    <font>
      <sz val="10"/>
      <color rgb="FF00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8"/>
      <color theme="1"/>
      <name val="Arial"/>
      <family val="2"/>
      <charset val="204"/>
    </font>
    <font>
      <b/>
      <sz val="10"/>
      <color theme="0"/>
      <name val="Calibri"/>
      <family val="2"/>
      <charset val="204"/>
      <scheme val="minor"/>
    </font>
    <font>
      <b/>
      <sz val="10"/>
      <color theme="0" tint="-0.14999847407452621"/>
      <name val="Calibri"/>
      <family val="2"/>
      <charset val="204"/>
      <scheme val="minor"/>
    </font>
    <font>
      <b/>
      <u/>
      <sz val="14"/>
      <color theme="1"/>
      <name val="Arial"/>
      <family val="2"/>
      <charset val="204"/>
    </font>
    <font>
      <sz val="11"/>
      <color theme="2" tint="-9.9978637043366805E-2"/>
      <name val="Arial"/>
      <family val="2"/>
      <charset val="204"/>
    </font>
    <font>
      <b/>
      <sz val="10"/>
      <color rgb="FF000000"/>
      <name val="Calibri"/>
      <family val="2"/>
      <charset val="204"/>
      <scheme val="minor"/>
    </font>
    <font>
      <sz val="8"/>
      <color rgb="FF000000"/>
      <name val="Calibri"/>
      <family val="2"/>
      <charset val="1"/>
    </font>
    <font>
      <sz val="11"/>
      <color theme="1"/>
      <name val="Calibri"/>
      <family val="2"/>
      <charset val="1"/>
    </font>
    <font>
      <i/>
      <sz val="11"/>
      <color theme="0" tint="-0.499984740745262"/>
      <name val="Arial"/>
      <family val="2"/>
      <charset val="204"/>
    </font>
    <font>
      <i/>
      <sz val="11"/>
      <color theme="1"/>
      <name val="Arial"/>
      <family val="2"/>
      <charset val="204"/>
    </font>
    <font>
      <sz val="11"/>
      <color indexed="8"/>
      <name val="Calibri"/>
      <family val="2"/>
      <charset val="204"/>
    </font>
    <font>
      <b/>
      <sz val="12"/>
      <name val="Arial"/>
      <family val="2"/>
      <charset val="204"/>
    </font>
    <font>
      <b/>
      <sz val="11"/>
      <color indexed="8"/>
      <name val="Calibri"/>
      <family val="2"/>
      <charset val="204"/>
    </font>
    <font>
      <b/>
      <sz val="10"/>
      <color indexed="8"/>
      <name val="Arial"/>
      <family val="2"/>
      <charset val="204"/>
    </font>
    <font>
      <u/>
      <sz val="11"/>
      <color indexed="12"/>
      <name val="Calibri"/>
      <family val="2"/>
      <charset val="204"/>
    </font>
    <font>
      <sz val="11"/>
      <color indexed="8"/>
      <name val="Liberation Sans"/>
      <family val="2"/>
      <charset val="204"/>
    </font>
    <font>
      <sz val="11"/>
      <color indexed="10"/>
      <name val="Calibri"/>
      <family val="2"/>
      <charset val="204"/>
    </font>
    <font>
      <u/>
      <sz val="10"/>
      <color indexed="12"/>
      <name val="Arial Cyr"/>
      <family val="2"/>
      <charset val="204"/>
    </font>
    <font>
      <b/>
      <sz val="14"/>
      <name val="Times New Roman"/>
      <family val="1"/>
      <charset val="204"/>
    </font>
    <font>
      <sz val="14"/>
      <color indexed="8"/>
      <name val="Times New Roman"/>
      <family val="1"/>
      <charset val="204"/>
    </font>
    <font>
      <sz val="11"/>
      <color indexed="9"/>
      <name val="Calibri"/>
      <family val="2"/>
      <charset val="204"/>
    </font>
    <font>
      <sz val="8"/>
      <name val="Times New Roman"/>
      <family val="1"/>
      <charset val="204"/>
    </font>
    <font>
      <sz val="12"/>
      <color indexed="8"/>
      <name val="Calibri"/>
      <family val="2"/>
      <charset val="204"/>
    </font>
    <font>
      <sz val="10"/>
      <name val="Helv"/>
      <family val="2"/>
      <charset val="204"/>
    </font>
    <font>
      <sz val="10"/>
      <name val="MS Sans Serif"/>
      <family val="2"/>
      <charset val="204"/>
    </font>
    <font>
      <sz val="11"/>
      <color indexed="20"/>
      <name val="Calibri"/>
      <family val="2"/>
      <charset val="204"/>
    </font>
    <font>
      <sz val="10"/>
      <name val="Courier"/>
      <family val="1"/>
      <charset val="204"/>
    </font>
    <font>
      <sz val="10"/>
      <name val="Courier New"/>
      <family val="3"/>
      <charset val="204"/>
    </font>
    <font>
      <sz val="10"/>
      <color indexed="8"/>
      <name val="MS Sans Serif"/>
      <family val="2"/>
      <charset val="204"/>
    </font>
    <font>
      <b/>
      <sz val="11"/>
      <color indexed="52"/>
      <name val="Calibri"/>
      <family val="2"/>
      <charset val="204"/>
    </font>
    <font>
      <b/>
      <sz val="11"/>
      <color indexed="9"/>
      <name val="Calibri"/>
      <family val="2"/>
      <charset val="204"/>
    </font>
    <font>
      <sz val="12"/>
      <name val="Times New Roman"/>
      <family val="1"/>
      <charset val="204"/>
    </font>
    <font>
      <i/>
      <sz val="11"/>
      <color indexed="23"/>
      <name val="Calibri"/>
      <family val="2"/>
      <charset val="204"/>
    </font>
    <font>
      <u/>
      <sz val="7"/>
      <color indexed="20"/>
      <name val="Arial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u/>
      <sz val="9.6"/>
      <color indexed="12"/>
      <name val="Arial"/>
      <family val="2"/>
      <charset val="204"/>
    </font>
    <font>
      <sz val="11"/>
      <color indexed="62"/>
      <name val="Calibri"/>
      <family val="2"/>
      <charset val="204"/>
    </font>
    <font>
      <u/>
      <sz val="10"/>
      <color indexed="20"/>
      <name val="Arial Cyr"/>
      <family val="2"/>
      <charset val="204"/>
    </font>
    <font>
      <b/>
      <u/>
      <sz val="16"/>
      <name val="Arial"/>
      <family val="2"/>
      <charset val="204"/>
    </font>
    <font>
      <sz val="11"/>
      <color indexed="52"/>
      <name val="Calibri"/>
      <family val="2"/>
      <charset val="204"/>
    </font>
    <font>
      <sz val="11"/>
      <color indexed="60"/>
      <name val="Calibri"/>
      <family val="2"/>
      <charset val="204"/>
    </font>
    <font>
      <sz val="8"/>
      <name val="Tahoma"/>
      <family val="2"/>
      <charset val="204"/>
    </font>
    <font>
      <b/>
      <sz val="11"/>
      <color indexed="63"/>
      <name val="Calibri"/>
      <family val="2"/>
      <charset val="204"/>
    </font>
    <font>
      <b/>
      <sz val="20"/>
      <name val="Times New Roman"/>
      <family val="1"/>
      <charset val="204"/>
    </font>
    <font>
      <b/>
      <sz val="18"/>
      <color indexed="56"/>
      <name val="Cambria"/>
      <family val="1"/>
      <charset val="204"/>
    </font>
    <font>
      <sz val="10"/>
      <name val="Arial Narrow"/>
      <family val="2"/>
      <charset val="204"/>
    </font>
    <font>
      <b/>
      <sz val="8"/>
      <name val="Arial Cyr"/>
      <family val="2"/>
      <charset val="204"/>
    </font>
    <font>
      <sz val="12"/>
      <name val="Arial Narrow"/>
      <family val="2"/>
      <charset val="204"/>
    </font>
    <font>
      <b/>
      <sz val="10"/>
      <color indexed="12"/>
      <name val="Arial Cyr"/>
      <family val="2"/>
      <charset val="204"/>
    </font>
    <font>
      <sz val="10"/>
      <name val="Verdana"/>
      <family val="2"/>
      <charset val="204"/>
    </font>
    <font>
      <sz val="11"/>
      <color indexed="8"/>
      <name val="Century Gothic"/>
      <family val="2"/>
      <charset val="204"/>
    </font>
    <font>
      <sz val="8"/>
      <color indexed="8"/>
      <name val="Tahoma"/>
      <family val="2"/>
      <charset val="204"/>
    </font>
    <font>
      <sz val="10"/>
      <name val="Tahoma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i/>
      <sz val="8"/>
      <color theme="2" tint="-0.499984740745262"/>
      <name val="Arial"/>
      <family val="2"/>
      <charset val="204"/>
    </font>
    <font>
      <i/>
      <sz val="9"/>
      <color theme="2" tint="-0.499984740745262"/>
      <name val="Arial"/>
      <family val="2"/>
      <charset val="204"/>
    </font>
  </fonts>
  <fills count="5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4"/>
        <bgColor indexed="64"/>
      </patternFill>
    </fill>
    <fill>
      <patternFill patternType="lightGray">
        <fgColor indexed="22"/>
      </patternFill>
    </fill>
    <fill>
      <patternFill patternType="solid">
        <fgColor indexed="41"/>
        <bgColor indexed="9"/>
      </patternFill>
    </fill>
    <fill>
      <patternFill patternType="solid">
        <fgColor indexed="46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22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1"/>
        <bgColor indexed="11"/>
      </patternFill>
    </fill>
    <fill>
      <patternFill patternType="solid">
        <fgColor indexed="26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33"/>
        <bgColor indexed="33"/>
      </patternFill>
    </fill>
    <fill>
      <patternFill patternType="solid">
        <fgColor indexed="14"/>
        <bgColor indexed="33"/>
      </patternFill>
    </fill>
    <fill>
      <patternFill patternType="solid">
        <fgColor indexed="9"/>
        <bgColor indexed="4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15"/>
        <bgColor indexed="35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 style="hair">
        <color indexed="64"/>
      </top>
      <bottom style="hair">
        <color indexed="9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860">
    <xf numFmtId="0" fontId="0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6" fontId="27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7" fillId="0" borderId="0"/>
    <xf numFmtId="0" fontId="27" fillId="0" borderId="0"/>
    <xf numFmtId="0" fontId="29" fillId="0" borderId="3" applyNumberFormat="0" applyFill="0" applyAlignment="0" applyProtection="0"/>
    <xf numFmtId="0" fontId="5" fillId="0" borderId="0"/>
    <xf numFmtId="0" fontId="25" fillId="0" borderId="0"/>
    <xf numFmtId="0" fontId="5" fillId="0" borderId="0"/>
    <xf numFmtId="0" fontId="30" fillId="0" borderId="0"/>
    <xf numFmtId="0" fontId="28" fillId="0" borderId="0"/>
    <xf numFmtId="0" fontId="5" fillId="0" borderId="0"/>
    <xf numFmtId="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181" fontId="42" fillId="0" borderId="0" applyFont="0" applyFill="0" applyBorder="0" applyAlignment="0" applyProtection="0"/>
    <xf numFmtId="0" fontId="42" fillId="0" borderId="0"/>
    <xf numFmtId="183" fontId="56" fillId="0" borderId="0" applyFont="0" applyFill="0" applyBorder="0" applyAlignment="0" applyProtection="0">
      <alignment vertical="center"/>
    </xf>
    <xf numFmtId="9" fontId="42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84" fontId="42" fillId="0" borderId="0">
      <alignment horizontal="center"/>
    </xf>
    <xf numFmtId="184" fontId="42" fillId="0" borderId="0">
      <alignment horizontal="center"/>
    </xf>
    <xf numFmtId="184" fontId="42" fillId="0" borderId="0">
      <alignment horizontal="center"/>
    </xf>
    <xf numFmtId="184" fontId="42" fillId="0" borderId="0">
      <alignment horizontal="center"/>
    </xf>
    <xf numFmtId="184" fontId="42" fillId="0" borderId="0">
      <alignment horizontal="center"/>
    </xf>
    <xf numFmtId="0" fontId="70" fillId="18" borderId="0"/>
    <xf numFmtId="0" fontId="70" fillId="19" borderId="0"/>
    <xf numFmtId="0" fontId="70" fillId="19" borderId="0"/>
    <xf numFmtId="0" fontId="70" fillId="19" borderId="0"/>
    <xf numFmtId="0" fontId="70" fillId="19" borderId="0"/>
    <xf numFmtId="0" fontId="56" fillId="13" borderId="0" applyNumberFormat="0" applyBorder="0" applyAlignment="0" applyProtection="0"/>
    <xf numFmtId="0" fontId="56" fillId="10" borderId="0" applyNumberFormat="0" applyBorder="0" applyAlignment="0" applyProtection="0"/>
    <xf numFmtId="0" fontId="56" fillId="9" borderId="0" applyNumberFormat="0" applyBorder="0" applyAlignment="0" applyProtection="0"/>
    <xf numFmtId="0" fontId="56" fillId="20" borderId="0" applyNumberFormat="0" applyBorder="0" applyAlignment="0" applyProtection="0"/>
    <xf numFmtId="0" fontId="56" fillId="12" borderId="0" applyNumberFormat="0" applyBorder="0" applyAlignment="0" applyProtection="0"/>
    <xf numFmtId="0" fontId="56" fillId="6" borderId="0" applyNumberFormat="0" applyBorder="0" applyAlignment="0" applyProtection="0"/>
    <xf numFmtId="0" fontId="56" fillId="21" borderId="0" applyNumberFormat="0" applyBorder="0" applyAlignment="0" applyProtection="0"/>
    <xf numFmtId="0" fontId="56" fillId="13" borderId="0" applyNumberFormat="0" applyBorder="0" applyAlignment="0" applyProtection="0"/>
    <xf numFmtId="0" fontId="56" fillId="21" borderId="0" applyNumberFormat="0" applyBorder="0" applyAlignment="0" applyProtection="0"/>
    <xf numFmtId="0" fontId="56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0" borderId="0" applyNumberFormat="0" applyBorder="0" applyAlignment="0" applyProtection="0"/>
    <xf numFmtId="0" fontId="56" fillId="22" borderId="0" applyNumberFormat="0" applyBorder="0" applyAlignment="0" applyProtection="0"/>
    <xf numFmtId="0" fontId="56" fillId="22" borderId="0" applyNumberFormat="0" applyBorder="0" applyAlignment="0" applyProtection="0"/>
    <xf numFmtId="0" fontId="56" fillId="23" borderId="0" applyNumberFormat="0" applyBorder="0" applyAlignment="0" applyProtection="0"/>
    <xf numFmtId="0" fontId="56" fillId="9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12" borderId="0" applyNumberFormat="0" applyBorder="0" applyAlignment="0" applyProtection="0"/>
    <xf numFmtId="0" fontId="56" fillId="25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6" borderId="0" applyNumberFormat="0" applyBorder="0" applyAlignment="0" applyProtection="0"/>
    <xf numFmtId="0" fontId="56" fillId="26" borderId="0" applyNumberFormat="0" applyBorder="0" applyAlignment="0" applyProtection="0"/>
    <xf numFmtId="0" fontId="56" fillId="26" borderId="0" applyNumberFormat="0" applyBorder="0" applyAlignment="0" applyProtection="0"/>
    <xf numFmtId="0" fontId="56" fillId="17" borderId="0" applyNumberFormat="0" applyBorder="0" applyAlignment="0" applyProtection="0"/>
    <xf numFmtId="0" fontId="56" fillId="15" borderId="0" applyNumberFormat="0" applyBorder="0" applyAlignment="0" applyProtection="0"/>
    <xf numFmtId="0" fontId="56" fillId="27" borderId="0" applyNumberFormat="0" applyBorder="0" applyAlignment="0" applyProtection="0"/>
    <xf numFmtId="0" fontId="56" fillId="20" borderId="0" applyNumberFormat="0" applyBorder="0" applyAlignment="0" applyProtection="0"/>
    <xf numFmtId="0" fontId="56" fillId="1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15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27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2" borderId="0" applyNumberFormat="0" applyBorder="0" applyAlignment="0" applyProtection="0"/>
    <xf numFmtId="0" fontId="56" fillId="28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66" fillId="33" borderId="0" applyNumberFormat="0" applyBorder="0" applyAlignment="0" applyProtection="0"/>
    <xf numFmtId="0" fontId="66" fillId="15" borderId="0" applyNumberFormat="0" applyBorder="0" applyAlignment="0" applyProtection="0"/>
    <xf numFmtId="0" fontId="66" fillId="27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35" borderId="0" applyNumberFormat="0" applyBorder="0" applyAlignment="0" applyProtection="0"/>
    <xf numFmtId="0" fontId="66" fillId="36" borderId="0" applyNumberFormat="0" applyBorder="0" applyAlignment="0" applyProtection="0"/>
    <xf numFmtId="0" fontId="66" fillId="33" borderId="0" applyNumberFormat="0" applyBorder="0" applyAlignment="0" applyProtection="0"/>
    <xf numFmtId="0" fontId="66" fillId="36" borderId="0" applyNumberFormat="0" applyBorder="0" applyAlignment="0" applyProtection="0"/>
    <xf numFmtId="0" fontId="66" fillId="36" borderId="0" applyNumberFormat="0" applyBorder="0" applyAlignment="0" applyProtection="0"/>
    <xf numFmtId="0" fontId="66" fillId="30" borderId="0" applyNumberFormat="0" applyBorder="0" applyAlignment="0" applyProtection="0"/>
    <xf numFmtId="0" fontId="66" fillId="15" borderId="0" applyNumberFormat="0" applyBorder="0" applyAlignment="0" applyProtection="0"/>
    <xf numFmtId="0" fontId="66" fillId="30" borderId="0" applyNumberFormat="0" applyBorder="0" applyAlignment="0" applyProtection="0"/>
    <xf numFmtId="0" fontId="66" fillId="30" borderId="0" applyNumberFormat="0" applyBorder="0" applyAlignment="0" applyProtection="0"/>
    <xf numFmtId="0" fontId="66" fillId="31" borderId="0" applyNumberFormat="0" applyBorder="0" applyAlignment="0" applyProtection="0"/>
    <xf numFmtId="0" fontId="66" fillId="27" borderId="0" applyNumberFormat="0" applyBorder="0" applyAlignment="0" applyProtection="0"/>
    <xf numFmtId="0" fontId="66" fillId="31" borderId="0" applyNumberFormat="0" applyBorder="0" applyAlignment="0" applyProtection="0"/>
    <xf numFmtId="0" fontId="66" fillId="31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39" borderId="0" applyNumberFormat="0" applyBorder="0" applyAlignment="0" applyProtection="0"/>
    <xf numFmtId="0" fontId="66" fillId="35" borderId="0" applyNumberFormat="0" applyBorder="0" applyAlignment="0" applyProtection="0"/>
    <xf numFmtId="0" fontId="66" fillId="39" borderId="0" applyNumberFormat="0" applyBorder="0" applyAlignment="0" applyProtection="0"/>
    <xf numFmtId="0" fontId="66" fillId="39" borderId="0" applyNumberFormat="0" applyBorder="0" applyAlignment="0" applyProtection="0"/>
    <xf numFmtId="0" fontId="66" fillId="40" borderId="0" applyNumberFormat="0" applyBorder="0" applyAlignment="0" applyProtection="0"/>
    <xf numFmtId="0" fontId="66" fillId="41" borderId="0" applyNumberFormat="0" applyBorder="0" applyAlignment="0" applyProtection="0"/>
    <xf numFmtId="0" fontId="66" fillId="42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43" borderId="0" applyNumberFormat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71" fillId="10" borderId="0" applyNumberFormat="0" applyBorder="0" applyAlignment="0" applyProtection="0"/>
    <xf numFmtId="0" fontId="72" fillId="44" borderId="0"/>
    <xf numFmtId="0" fontId="73" fillId="31" borderId="0"/>
    <xf numFmtId="0" fontId="72" fillId="44" borderId="0"/>
    <xf numFmtId="0" fontId="73" fillId="31" borderId="0"/>
    <xf numFmtId="0" fontId="73" fillId="31" borderId="0"/>
    <xf numFmtId="0" fontId="59" fillId="44" borderId="0"/>
    <xf numFmtId="0" fontId="59" fillId="31" borderId="0"/>
    <xf numFmtId="0" fontId="59" fillId="31" borderId="0"/>
    <xf numFmtId="0" fontId="59" fillId="31" borderId="0"/>
    <xf numFmtId="0" fontId="59" fillId="31" borderId="0"/>
    <xf numFmtId="0" fontId="74" fillId="0" borderId="0" applyFill="0" applyBorder="0" applyAlignment="0"/>
    <xf numFmtId="0" fontId="74" fillId="0" borderId="0" applyFill="0" applyBorder="0" applyAlignment="0"/>
    <xf numFmtId="0" fontId="74" fillId="0" borderId="0" applyFill="0" applyBorder="0" applyAlignment="0"/>
    <xf numFmtId="0" fontId="74" fillId="0" borderId="0" applyFill="0" applyBorder="0" applyAlignment="0"/>
    <xf numFmtId="0" fontId="74" fillId="0" borderId="0" applyFill="0" applyBorder="0" applyAlignment="0"/>
    <xf numFmtId="0" fontId="75" fillId="14" borderId="6" applyNumberFormat="0" applyAlignment="0" applyProtection="0"/>
    <xf numFmtId="0" fontId="76" fillId="8" borderId="8" applyNumberFormat="0" applyAlignment="0" applyProtection="0"/>
    <xf numFmtId="185" fontId="42" fillId="0" borderId="0" applyFill="0" applyBorder="0" applyAlignment="0" applyProtection="0"/>
    <xf numFmtId="186" fontId="42" fillId="0" borderId="0" applyFill="0" applyBorder="0" applyAlignment="0" applyProtection="0"/>
    <xf numFmtId="187" fontId="42" fillId="0" borderId="0" applyFill="0" applyBorder="0" applyAlignment="0" applyProtection="0"/>
    <xf numFmtId="188" fontId="42" fillId="0" borderId="0" applyFill="0" applyBorder="0" applyAlignment="0" applyProtection="0"/>
    <xf numFmtId="0" fontId="72" fillId="45" borderId="0"/>
    <xf numFmtId="0" fontId="73" fillId="46" borderId="0"/>
    <xf numFmtId="0" fontId="72" fillId="45" borderId="0"/>
    <xf numFmtId="0" fontId="73" fillId="46" borderId="0"/>
    <xf numFmtId="0" fontId="73" fillId="46" borderId="0"/>
    <xf numFmtId="0" fontId="59" fillId="47" borderId="0"/>
    <xf numFmtId="0" fontId="59" fillId="48" borderId="0"/>
    <xf numFmtId="0" fontId="59" fillId="48" borderId="0"/>
    <xf numFmtId="0" fontId="59" fillId="48" borderId="0"/>
    <xf numFmtId="0" fontId="59" fillId="48" borderId="0"/>
    <xf numFmtId="189" fontId="42" fillId="0" borderId="0" applyBorder="0">
      <alignment vertical="top"/>
    </xf>
    <xf numFmtId="189" fontId="42" fillId="0" borderId="0" applyBorder="0">
      <alignment vertical="top"/>
    </xf>
    <xf numFmtId="189" fontId="42" fillId="0" borderId="0" applyBorder="0">
      <alignment vertical="top"/>
    </xf>
    <xf numFmtId="189" fontId="42" fillId="0" borderId="0" applyBorder="0">
      <alignment vertical="top"/>
    </xf>
    <xf numFmtId="189" fontId="42" fillId="0" borderId="0" applyBorder="0">
      <alignment vertical="top"/>
    </xf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190" fontId="42" fillId="0" borderId="0" applyFont="0" applyFill="0" applyBorder="0" applyAlignment="0" applyProtection="0"/>
    <xf numFmtId="191" fontId="42" fillId="0" borderId="0" applyFill="0" applyBorder="0" applyAlignment="0" applyProtection="0"/>
    <xf numFmtId="190" fontId="42" fillId="0" borderId="0" applyFont="0" applyFill="0" applyBorder="0" applyAlignment="0" applyProtection="0"/>
    <xf numFmtId="191" fontId="42" fillId="0" borderId="0" applyFill="0" applyBorder="0" applyAlignment="0" applyProtection="0"/>
    <xf numFmtId="191" fontId="42" fillId="0" borderId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9" borderId="0" applyNumberFormat="0" applyBorder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81" fillId="0" borderId="12" applyNumberFormat="0" applyFill="0" applyAlignment="0" applyProtection="0"/>
    <xf numFmtId="0" fontId="82" fillId="0" borderId="13" applyNumberFormat="0" applyFill="0" applyAlignment="0" applyProtection="0"/>
    <xf numFmtId="0" fontId="83" fillId="0" borderId="14" applyNumberFormat="0" applyFill="0" applyAlignment="0" applyProtection="0"/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42" fillId="0" borderId="0"/>
    <xf numFmtId="0" fontId="85" fillId="6" borderId="6" applyNumberFormat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7" fillId="0" borderId="0">
      <alignment vertical="center"/>
    </xf>
    <xf numFmtId="0" fontId="87" fillId="0" borderId="0">
      <alignment vertical="center"/>
    </xf>
    <xf numFmtId="0" fontId="87" fillId="0" borderId="0">
      <alignment vertical="center"/>
    </xf>
    <xf numFmtId="0" fontId="87" fillId="0" borderId="0">
      <alignment vertical="center"/>
    </xf>
    <xf numFmtId="0" fontId="87" fillId="0" borderId="0">
      <alignment vertical="center"/>
    </xf>
    <xf numFmtId="0" fontId="88" fillId="0" borderId="9" applyNumberFormat="0" applyFill="0" applyAlignment="0" applyProtection="0"/>
    <xf numFmtId="0" fontId="89" fillId="11" borderId="0" applyNumberFormat="0" applyBorder="0" applyAlignment="0" applyProtection="0"/>
    <xf numFmtId="0" fontId="70" fillId="0" borderId="15"/>
    <xf numFmtId="0" fontId="70" fillId="0" borderId="16"/>
    <xf numFmtId="0" fontId="70" fillId="0" borderId="16"/>
    <xf numFmtId="0" fontId="70" fillId="0" borderId="16"/>
    <xf numFmtId="0" fontId="70" fillId="0" borderId="16"/>
    <xf numFmtId="192" fontId="90" fillId="7" borderId="17" applyBorder="0">
      <alignment horizontal="left" vertical="center" indent="2"/>
    </xf>
    <xf numFmtId="192" fontId="90" fillId="49" borderId="0" applyBorder="0">
      <alignment horizontal="left" vertical="center" indent="2"/>
    </xf>
    <xf numFmtId="192" fontId="90" fillId="49" borderId="0" applyBorder="0">
      <alignment horizontal="left" vertical="center" indent="2"/>
    </xf>
    <xf numFmtId="192" fontId="90" fillId="49" borderId="0" applyBorder="0">
      <alignment horizontal="left" vertical="center" indent="2"/>
    </xf>
    <xf numFmtId="192" fontId="90" fillId="49" borderId="0" applyBorder="0">
      <alignment horizontal="left" vertical="center" indent="2"/>
    </xf>
    <xf numFmtId="0" fontId="67" fillId="0" borderId="0"/>
    <xf numFmtId="0" fontId="26" fillId="0" borderId="0"/>
    <xf numFmtId="0" fontId="56" fillId="5" borderId="5" applyNumberFormat="0" applyFont="0" applyAlignment="0" applyProtection="0"/>
    <xf numFmtId="0" fontId="91" fillId="14" borderId="7" applyNumberFormat="0" applyAlignment="0" applyProtection="0"/>
    <xf numFmtId="0" fontId="92" fillId="0" borderId="0"/>
    <xf numFmtId="0" fontId="92" fillId="0" borderId="0"/>
    <xf numFmtId="0" fontId="92" fillId="0" borderId="0"/>
    <xf numFmtId="0" fontId="92" fillId="0" borderId="0"/>
    <xf numFmtId="0" fontId="92" fillId="0" borderId="0"/>
    <xf numFmtId="0" fontId="93" fillId="0" borderId="0" applyNumberFormat="0" applyFill="0" applyBorder="0" applyAlignment="0" applyProtection="0"/>
    <xf numFmtId="0" fontId="58" fillId="0" borderId="18" applyNumberFormat="0" applyFill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2" fillId="0" borderId="0" applyNumberFormat="0" applyFill="0" applyBorder="0" applyAlignment="0" applyProtection="0"/>
    <xf numFmtId="0" fontId="66" fillId="50" borderId="0" applyNumberFormat="0" applyBorder="0" applyAlignment="0" applyProtection="0"/>
    <xf numFmtId="0" fontId="66" fillId="40" borderId="0" applyNumberFormat="0" applyBorder="0" applyAlignment="0" applyProtection="0"/>
    <xf numFmtId="0" fontId="66" fillId="50" borderId="0" applyNumberFormat="0" applyBorder="0" applyAlignment="0" applyProtection="0"/>
    <xf numFmtId="0" fontId="66" fillId="50" borderId="0" applyNumberFormat="0" applyBorder="0" applyAlignment="0" applyProtection="0"/>
    <xf numFmtId="0" fontId="66" fillId="51" borderId="0" applyNumberFormat="0" applyBorder="0" applyAlignment="0" applyProtection="0"/>
    <xf numFmtId="0" fontId="66" fillId="41" borderId="0" applyNumberFormat="0" applyBorder="0" applyAlignment="0" applyProtection="0"/>
    <xf numFmtId="0" fontId="66" fillId="51" borderId="0" applyNumberFormat="0" applyBorder="0" applyAlignment="0" applyProtection="0"/>
    <xf numFmtId="0" fontId="66" fillId="51" borderId="0" applyNumberFormat="0" applyBorder="0" applyAlignment="0" applyProtection="0"/>
    <xf numFmtId="0" fontId="66" fillId="52" borderId="0" applyNumberFormat="0" applyBorder="0" applyAlignment="0" applyProtection="0"/>
    <xf numFmtId="0" fontId="66" fillId="4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53" borderId="0" applyNumberFormat="0" applyBorder="0" applyAlignment="0" applyProtection="0"/>
    <xf numFmtId="0" fontId="66" fillId="4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193" fontId="42" fillId="0" borderId="19">
      <protection locked="0"/>
    </xf>
    <xf numFmtId="194" fontId="94" fillId="0" borderId="20">
      <alignment horizontal="center"/>
    </xf>
    <xf numFmtId="194" fontId="94" fillId="0" borderId="20">
      <alignment horizontal="center"/>
    </xf>
    <xf numFmtId="194" fontId="94" fillId="0" borderId="20">
      <alignment horizontal="center"/>
    </xf>
    <xf numFmtId="194" fontId="94" fillId="0" borderId="20">
      <alignment horizontal="center"/>
    </xf>
    <xf numFmtId="194" fontId="94" fillId="0" borderId="20">
      <alignment horizontal="center"/>
    </xf>
    <xf numFmtId="0" fontId="85" fillId="26" borderId="6" applyNumberFormat="0" applyAlignment="0" applyProtection="0"/>
    <xf numFmtId="0" fontId="85" fillId="6" borderId="6" applyNumberFormat="0" applyAlignment="0" applyProtection="0"/>
    <xf numFmtId="0" fontId="85" fillId="26" borderId="6" applyNumberFormat="0" applyAlignment="0" applyProtection="0"/>
    <xf numFmtId="0" fontId="85" fillId="26" borderId="6" applyNumberFormat="0" applyAlignment="0" applyProtection="0"/>
    <xf numFmtId="195" fontId="95" fillId="0" borderId="0">
      <alignment horizontal="center" vertical="center" textRotation="90" wrapText="1"/>
    </xf>
    <xf numFmtId="195" fontId="95" fillId="0" borderId="0">
      <alignment horizontal="center" vertical="center" textRotation="90" wrapText="1"/>
    </xf>
    <xf numFmtId="195" fontId="95" fillId="0" borderId="0">
      <alignment horizontal="center" vertical="center" textRotation="90" wrapText="1"/>
    </xf>
    <xf numFmtId="195" fontId="95" fillId="0" borderId="0">
      <alignment horizontal="center" vertical="center" textRotation="90" wrapText="1"/>
    </xf>
    <xf numFmtId="0" fontId="91" fillId="54" borderId="7" applyNumberFormat="0" applyAlignment="0" applyProtection="0"/>
    <xf numFmtId="0" fontId="91" fillId="14" borderId="7" applyNumberFormat="0" applyAlignment="0" applyProtection="0"/>
    <xf numFmtId="0" fontId="91" fillId="54" borderId="7" applyNumberFormat="0" applyAlignment="0" applyProtection="0"/>
    <xf numFmtId="0" fontId="91" fillId="54" borderId="7" applyNumberFormat="0" applyAlignment="0" applyProtection="0"/>
    <xf numFmtId="0" fontId="75" fillId="54" borderId="6" applyNumberFormat="0" applyAlignment="0" applyProtection="0"/>
    <xf numFmtId="0" fontId="75" fillId="14" borderId="6" applyNumberFormat="0" applyAlignment="0" applyProtection="0"/>
    <xf numFmtId="0" fontId="75" fillId="54" borderId="6" applyNumberFormat="0" applyAlignment="0" applyProtection="0"/>
    <xf numFmtId="0" fontId="75" fillId="54" borderId="6" applyNumberFormat="0" applyAlignment="0" applyProtection="0"/>
    <xf numFmtId="0" fontId="60" fillId="0" borderId="0" applyNumberFormat="0" applyFill="0" applyBorder="0" applyAlignment="0" applyProtection="0"/>
    <xf numFmtId="189" fontId="96" fillId="0" borderId="0" applyBorder="0">
      <alignment horizontal="center" vertical="center"/>
    </xf>
    <xf numFmtId="189" fontId="96" fillId="0" borderId="0" applyBorder="0">
      <alignment horizontal="center" vertical="center"/>
    </xf>
    <xf numFmtId="189" fontId="96" fillId="0" borderId="0" applyBorder="0">
      <alignment horizontal="center" vertical="center"/>
    </xf>
    <xf numFmtId="189" fontId="96" fillId="0" borderId="0" applyBorder="0">
      <alignment horizontal="center" vertical="center"/>
    </xf>
    <xf numFmtId="189" fontId="42" fillId="0" borderId="0">
      <alignment vertical="center"/>
    </xf>
    <xf numFmtId="189" fontId="42" fillId="0" borderId="0">
      <alignment vertical="center"/>
    </xf>
    <xf numFmtId="189" fontId="42" fillId="0" borderId="0">
      <alignment vertical="center"/>
    </xf>
    <xf numFmtId="189" fontId="42" fillId="0" borderId="0">
      <alignment vertical="center"/>
    </xf>
    <xf numFmtId="189" fontId="96" fillId="0" borderId="0" applyBorder="0">
      <alignment horizontal="center" vertical="center"/>
    </xf>
    <xf numFmtId="196" fontId="42" fillId="0" borderId="0" applyFont="0" applyFill="0" applyBorder="0" applyAlignment="0" applyProtection="0"/>
    <xf numFmtId="196" fontId="42" fillId="0" borderId="0" applyFont="0" applyFill="0" applyBorder="0" applyAlignment="0" applyProtection="0"/>
    <xf numFmtId="197" fontId="26" fillId="0" borderId="0" applyBorder="0" applyAlignment="0" applyProtection="0"/>
    <xf numFmtId="197" fontId="56" fillId="0" borderId="0" applyFont="0" applyFill="0" applyBorder="0" applyAlignment="0" applyProtection="0"/>
    <xf numFmtId="196" fontId="42" fillId="0" borderId="0" applyFont="0" applyFill="0" applyBorder="0" applyAlignment="0" applyProtection="0"/>
    <xf numFmtId="0" fontId="81" fillId="0" borderId="12" applyNumberFormat="0" applyFill="0" applyAlignment="0" applyProtection="0"/>
    <xf numFmtId="0" fontId="81" fillId="0" borderId="12" applyNumberFormat="0" applyFill="0" applyAlignment="0" applyProtection="0"/>
    <xf numFmtId="0" fontId="81" fillId="0" borderId="12" applyNumberFormat="0" applyFill="0" applyAlignment="0" applyProtection="0"/>
    <xf numFmtId="0" fontId="81" fillId="0" borderId="12" applyNumberFormat="0" applyFill="0" applyAlignment="0" applyProtection="0"/>
    <xf numFmtId="0" fontId="82" fillId="0" borderId="13" applyNumberFormat="0" applyFill="0" applyAlignment="0" applyProtection="0"/>
    <xf numFmtId="0" fontId="82" fillId="0" borderId="13" applyNumberFormat="0" applyFill="0" applyAlignment="0" applyProtection="0"/>
    <xf numFmtId="0" fontId="82" fillId="0" borderId="13" applyNumberFormat="0" applyFill="0" applyAlignment="0" applyProtection="0"/>
    <xf numFmtId="0" fontId="82" fillId="0" borderId="13" applyNumberFormat="0" applyFill="0" applyAlignment="0" applyProtection="0"/>
    <xf numFmtId="0" fontId="83" fillId="0" borderId="14" applyNumberFormat="0" applyFill="0" applyAlignment="0" applyProtection="0"/>
    <xf numFmtId="0" fontId="83" fillId="0" borderId="14" applyNumberFormat="0" applyFill="0" applyAlignment="0" applyProtection="0"/>
    <xf numFmtId="0" fontId="83" fillId="0" borderId="14" applyNumberFormat="0" applyFill="0" applyAlignment="0" applyProtection="0"/>
    <xf numFmtId="0" fontId="83" fillId="0" borderId="14" applyNumberFormat="0" applyFill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93" fontId="97" fillId="12" borderId="19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76" fillId="55" borderId="8" applyNumberFormat="0" applyAlignment="0" applyProtection="0"/>
    <xf numFmtId="0" fontId="76" fillId="8" borderId="8" applyNumberFormat="0" applyAlignment="0" applyProtection="0"/>
    <xf numFmtId="0" fontId="76" fillId="55" borderId="8" applyNumberFormat="0" applyAlignment="0" applyProtection="0"/>
    <xf numFmtId="0" fontId="76" fillId="55" borderId="8" applyNumberFormat="0" applyAlignment="0" applyProtection="0"/>
    <xf numFmtId="198" fontId="26" fillId="0" borderId="0" applyFont="0" applyFill="0" applyBorder="0" applyAlignment="0" applyProtection="0"/>
    <xf numFmtId="198" fontId="26" fillId="0" borderId="0"/>
    <xf numFmtId="198" fontId="26" fillId="0" borderId="0"/>
    <xf numFmtId="198" fontId="26" fillId="0" borderId="0"/>
    <xf numFmtId="198" fontId="26" fillId="0" borderId="0"/>
    <xf numFmtId="198" fontId="26" fillId="0" borderId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89" fillId="56" borderId="0" applyNumberFormat="0" applyBorder="0" applyAlignment="0" applyProtection="0"/>
    <xf numFmtId="0" fontId="89" fillId="11" borderId="0" applyNumberFormat="0" applyBorder="0" applyAlignment="0" applyProtection="0"/>
    <xf numFmtId="0" fontId="89" fillId="56" borderId="0" applyNumberFormat="0" applyBorder="0" applyAlignment="0" applyProtection="0"/>
    <xf numFmtId="0" fontId="89" fillId="56" borderId="0" applyNumberFormat="0" applyBorder="0" applyAlignment="0" applyProtection="0"/>
    <xf numFmtId="0" fontId="65" fillId="0" borderId="0"/>
    <xf numFmtId="0" fontId="42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26" fillId="0" borderId="0"/>
    <xf numFmtId="0" fontId="65" fillId="0" borderId="0"/>
    <xf numFmtId="0" fontId="42" fillId="0" borderId="0"/>
    <xf numFmtId="0" fontId="56" fillId="0" borderId="0"/>
    <xf numFmtId="0" fontId="42" fillId="0" borderId="0"/>
    <xf numFmtId="0" fontId="25" fillId="0" borderId="0"/>
    <xf numFmtId="0" fontId="42" fillId="0" borderId="0"/>
    <xf numFmtId="0" fontId="26" fillId="0" borderId="0"/>
    <xf numFmtId="0" fontId="98" fillId="0" borderId="0"/>
    <xf numFmtId="0" fontId="42" fillId="0" borderId="0"/>
    <xf numFmtId="0" fontId="56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42" fillId="0" borderId="0"/>
    <xf numFmtId="0" fontId="99" fillId="0" borderId="0"/>
    <xf numFmtId="0" fontId="42" fillId="0" borderId="0"/>
    <xf numFmtId="0" fontId="77" fillId="0" borderId="0"/>
    <xf numFmtId="0" fontId="56" fillId="0" borderId="0"/>
    <xf numFmtId="0" fontId="42" fillId="0" borderId="0"/>
    <xf numFmtId="0" fontId="68" fillId="0" borderId="0"/>
    <xf numFmtId="0" fontId="42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25" fillId="0" borderId="0"/>
    <xf numFmtId="0" fontId="42" fillId="0" borderId="0"/>
    <xf numFmtId="0" fontId="26" fillId="0" borderId="0"/>
    <xf numFmtId="0" fontId="61" fillId="0" borderId="0"/>
    <xf numFmtId="0" fontId="61" fillId="0" borderId="0"/>
    <xf numFmtId="0" fontId="42" fillId="0" borderId="0"/>
    <xf numFmtId="0" fontId="42" fillId="0" borderId="0"/>
    <xf numFmtId="0" fontId="42" fillId="0" borderId="0"/>
    <xf numFmtId="0" fontId="100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42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35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8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0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26" fillId="0" borderId="0"/>
    <xf numFmtId="0" fontId="42" fillId="0" borderId="0"/>
    <xf numFmtId="0" fontId="42" fillId="0" borderId="0"/>
    <xf numFmtId="0" fontId="71" fillId="22" borderId="0" applyNumberFormat="0" applyBorder="0" applyAlignment="0" applyProtection="0"/>
    <xf numFmtId="0" fontId="71" fillId="10" borderId="0" applyNumberFormat="0" applyBorder="0" applyAlignment="0" applyProtection="0"/>
    <xf numFmtId="0" fontId="71" fillId="22" borderId="0" applyNumberFormat="0" applyBorder="0" applyAlignment="0" applyProtection="0"/>
    <xf numFmtId="0" fontId="71" fillId="22" borderId="0" applyNumberFormat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42" fillId="46" borderId="5" applyNumberFormat="0" applyAlignment="0" applyProtection="0"/>
    <xf numFmtId="0" fontId="42" fillId="5" borderId="5" applyNumberFormat="0" applyFont="0" applyAlignment="0" applyProtection="0"/>
    <xf numFmtId="0" fontId="42" fillId="46" borderId="5" applyNumberFormat="0" applyAlignment="0" applyProtection="0"/>
    <xf numFmtId="0" fontId="42" fillId="46" borderId="5" applyNumberFormat="0" applyAlignment="0" applyProtection="0"/>
    <xf numFmtId="0" fontId="42" fillId="57" borderId="0" applyProtection="0"/>
    <xf numFmtId="0" fontId="42" fillId="57" borderId="0" applyProtection="0"/>
    <xf numFmtId="0" fontId="42" fillId="57" borderId="0" applyProtection="0"/>
    <xf numFmtId="0" fontId="42" fillId="57" borderId="0" applyProtection="0"/>
    <xf numFmtId="9" fontId="26" fillId="0" borderId="0" applyFont="0" applyFill="0" applyBorder="0" applyAlignment="0" applyProtection="0"/>
    <xf numFmtId="9" fontId="56" fillId="0" borderId="0" applyBorder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42" fillId="0" borderId="0" applyBorder="0" applyProtection="0"/>
    <xf numFmtId="9" fontId="56" fillId="0" borderId="0" applyFont="0" applyFill="0" applyBorder="0" applyAlignment="0" applyProtection="0"/>
    <xf numFmtId="0" fontId="88" fillId="0" borderId="9" applyNumberFormat="0" applyFill="0" applyAlignment="0" applyProtection="0"/>
    <xf numFmtId="0" fontId="88" fillId="0" borderId="9" applyNumberFormat="0" applyFill="0" applyAlignment="0" applyProtection="0"/>
    <xf numFmtId="0" fontId="88" fillId="0" borderId="9" applyNumberFormat="0" applyFill="0" applyAlignment="0" applyProtection="0"/>
    <xf numFmtId="0" fontId="88" fillId="0" borderId="9" applyNumberFormat="0" applyFill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99" fontId="94" fillId="0" borderId="0"/>
    <xf numFmtId="199" fontId="94" fillId="0" borderId="0"/>
    <xf numFmtId="199" fontId="94" fillId="0" borderId="0"/>
    <xf numFmtId="199" fontId="94" fillId="0" borderId="0"/>
    <xf numFmtId="199" fontId="94" fillId="0" borderId="0"/>
    <xf numFmtId="200" fontId="42" fillId="0" borderId="0" applyFont="0" applyFill="0" applyBorder="0" applyAlignment="0" applyProtection="0"/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201" fontId="42" fillId="0" borderId="0" applyFont="0" applyFill="0" applyBorder="0" applyAlignment="0" applyProtection="0"/>
    <xf numFmtId="186" fontId="42" fillId="0" borderId="0" applyBorder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181" fontId="56" fillId="0" borderId="0" applyFont="0" applyFill="0" applyBorder="0" applyAlignment="0" applyProtection="0"/>
    <xf numFmtId="202" fontId="68" fillId="0" borderId="0" applyFont="0" applyFill="0" applyBorder="0" applyAlignment="0" applyProtection="0"/>
    <xf numFmtId="203" fontId="56" fillId="0" borderId="0" applyBorder="0" applyProtection="0"/>
    <xf numFmtId="202" fontId="56" fillId="0" borderId="0" applyFont="0" applyFill="0" applyBorder="0" applyAlignment="0" applyProtection="0"/>
    <xf numFmtId="181" fontId="42" fillId="0" borderId="0" applyFont="0" applyFill="0" applyBorder="0" applyAlignment="0" applyProtection="0"/>
    <xf numFmtId="204" fontId="26" fillId="0" borderId="0" applyFont="0" applyFill="0" applyBorder="0" applyAlignment="0" applyProtection="0"/>
    <xf numFmtId="204" fontId="26" fillId="0" borderId="0" applyFont="0" applyFill="0" applyBorder="0" applyAlignment="0" applyProtection="0"/>
    <xf numFmtId="181" fontId="42" fillId="0" borderId="0" applyFont="0" applyFill="0" applyBorder="0" applyAlignment="0" applyProtection="0"/>
    <xf numFmtId="205" fontId="26" fillId="0" borderId="0" applyFont="0" applyFill="0" applyBorder="0" applyAlignment="0" applyProtection="0"/>
    <xf numFmtId="205" fontId="26" fillId="0" borderId="0" applyFont="0" applyFill="0" applyBorder="0" applyAlignment="0" applyProtection="0"/>
    <xf numFmtId="205" fontId="26" fillId="0" borderId="0" applyFont="0" applyFill="0" applyBorder="0" applyAlignment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186" fontId="42" fillId="0" borderId="0" applyFill="0" applyBorder="0" applyAlignment="0" applyProtection="0"/>
    <xf numFmtId="202" fontId="56" fillId="0" borderId="0" applyFont="0" applyFill="0" applyBorder="0" applyAlignment="0" applyProtection="0"/>
    <xf numFmtId="186" fontId="42" fillId="0" borderId="0" applyFill="0" applyBorder="0" applyAlignment="0" applyProtection="0"/>
    <xf numFmtId="202" fontId="56" fillId="0" borderId="0" applyFont="0" applyFill="0" applyBorder="0" applyAlignment="0" applyProtection="0"/>
    <xf numFmtId="0" fontId="80" fillId="23" borderId="0" applyNumberFormat="0" applyBorder="0" applyAlignment="0" applyProtection="0"/>
    <xf numFmtId="0" fontId="80" fillId="9" borderId="0" applyNumberFormat="0" applyBorder="0" applyAlignment="0" applyProtection="0"/>
    <xf numFmtId="0" fontId="80" fillId="23" borderId="0" applyNumberFormat="0" applyBorder="0" applyAlignment="0" applyProtection="0"/>
    <xf numFmtId="0" fontId="80" fillId="23" borderId="0" applyNumberFormat="0" applyBorder="0" applyAlignment="0" applyProtection="0"/>
    <xf numFmtId="0" fontId="102" fillId="0" borderId="0"/>
    <xf numFmtId="43" fontId="102" fillId="0" borderId="0" applyFont="0" applyFill="0" applyBorder="0" applyAlignment="0" applyProtection="0"/>
    <xf numFmtId="0" fontId="27" fillId="0" borderId="0"/>
    <xf numFmtId="206" fontId="30" fillId="0" borderId="0" applyFont="0" applyFill="0" applyBorder="0" applyAlignment="0" applyProtection="0"/>
    <xf numFmtId="0" fontId="30" fillId="0" borderId="0"/>
    <xf numFmtId="0" fontId="102" fillId="0" borderId="0"/>
    <xf numFmtId="202" fontId="102" fillId="0" borderId="0" applyFont="0" applyFill="0" applyBorder="0" applyAlignment="0" applyProtection="0"/>
    <xf numFmtId="0" fontId="103" fillId="0" borderId="0" applyBorder="0" applyProtection="0">
      <alignment horizontal="left"/>
    </xf>
    <xf numFmtId="0" fontId="102" fillId="0" borderId="0" applyBorder="0" applyProtection="0"/>
    <xf numFmtId="0" fontId="102" fillId="0" borderId="0" applyBorder="0" applyProtection="0">
      <alignment horizontal="left"/>
    </xf>
    <xf numFmtId="0" fontId="102" fillId="0" borderId="0" applyBorder="0" applyProtection="0"/>
    <xf numFmtId="0" fontId="103" fillId="0" borderId="0" applyBorder="0" applyProtection="0"/>
    <xf numFmtId="0" fontId="102" fillId="0" borderId="0" applyBorder="0" applyProtection="0"/>
    <xf numFmtId="0" fontId="102" fillId="0" borderId="0"/>
    <xf numFmtId="0" fontId="102" fillId="0" borderId="0"/>
    <xf numFmtId="0" fontId="102" fillId="0" borderId="0"/>
    <xf numFmtId="9" fontId="102" fillId="0" borderId="0" applyBorder="0" applyProtection="0"/>
    <xf numFmtId="0" fontId="24" fillId="0" borderId="0"/>
    <xf numFmtId="206" fontId="30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8" fillId="0" borderId="0"/>
    <xf numFmtId="0" fontId="28" fillId="0" borderId="0"/>
    <xf numFmtId="0" fontId="26" fillId="0" borderId="0"/>
    <xf numFmtId="0" fontId="28" fillId="0" borderId="0"/>
    <xf numFmtId="0" fontId="1" fillId="0" borderId="0"/>
    <xf numFmtId="0" fontId="1" fillId="0" borderId="0"/>
    <xf numFmtId="9" fontId="27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3" fontId="56" fillId="0" borderId="0" applyFont="0" applyFill="0" applyBorder="0" applyAlignment="0" applyProtection="0">
      <alignment vertical="center"/>
    </xf>
    <xf numFmtId="0" fontId="70" fillId="19" borderId="0"/>
    <xf numFmtId="0" fontId="70" fillId="19" borderId="0"/>
    <xf numFmtId="0" fontId="70" fillId="19" borderId="0"/>
    <xf numFmtId="0" fontId="56" fillId="13" borderId="0" applyNumberFormat="0" applyBorder="0" applyAlignment="0" applyProtection="0"/>
    <xf numFmtId="0" fontId="56" fillId="10" borderId="0" applyNumberFormat="0" applyBorder="0" applyAlignment="0" applyProtection="0"/>
    <xf numFmtId="0" fontId="56" fillId="9" borderId="0" applyNumberFormat="0" applyBorder="0" applyAlignment="0" applyProtection="0"/>
    <xf numFmtId="0" fontId="56" fillId="20" borderId="0" applyNumberFormat="0" applyBorder="0" applyAlignment="0" applyProtection="0"/>
    <xf numFmtId="0" fontId="56" fillId="12" borderId="0" applyNumberFormat="0" applyBorder="0" applyAlignment="0" applyProtection="0"/>
    <xf numFmtId="0" fontId="56" fillId="6" borderId="0" applyNumberFormat="0" applyBorder="0" applyAlignment="0" applyProtection="0"/>
    <xf numFmtId="0" fontId="56" fillId="21" borderId="0" applyNumberFormat="0" applyBorder="0" applyAlignment="0" applyProtection="0"/>
    <xf numFmtId="0" fontId="56" fillId="13" borderId="0" applyNumberFormat="0" applyBorder="0" applyAlignment="0" applyProtection="0"/>
    <xf numFmtId="0" fontId="56" fillId="21" borderId="0" applyNumberFormat="0" applyBorder="0" applyAlignment="0" applyProtection="0"/>
    <xf numFmtId="0" fontId="56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0" borderId="0" applyNumberFormat="0" applyBorder="0" applyAlignment="0" applyProtection="0"/>
    <xf numFmtId="0" fontId="56" fillId="22" borderId="0" applyNumberFormat="0" applyBorder="0" applyAlignment="0" applyProtection="0"/>
    <xf numFmtId="0" fontId="56" fillId="22" borderId="0" applyNumberFormat="0" applyBorder="0" applyAlignment="0" applyProtection="0"/>
    <xf numFmtId="0" fontId="56" fillId="23" borderId="0" applyNumberFormat="0" applyBorder="0" applyAlignment="0" applyProtection="0"/>
    <xf numFmtId="0" fontId="56" fillId="9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12" borderId="0" applyNumberFormat="0" applyBorder="0" applyAlignment="0" applyProtection="0"/>
    <xf numFmtId="0" fontId="56" fillId="25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6" borderId="0" applyNumberFormat="0" applyBorder="0" applyAlignment="0" applyProtection="0"/>
    <xf numFmtId="0" fontId="56" fillId="26" borderId="0" applyNumberFormat="0" applyBorder="0" applyAlignment="0" applyProtection="0"/>
    <xf numFmtId="0" fontId="56" fillId="26" borderId="0" applyNumberFormat="0" applyBorder="0" applyAlignment="0" applyProtection="0"/>
    <xf numFmtId="0" fontId="56" fillId="17" borderId="0" applyNumberFormat="0" applyBorder="0" applyAlignment="0" applyProtection="0"/>
    <xf numFmtId="0" fontId="56" fillId="15" borderId="0" applyNumberFormat="0" applyBorder="0" applyAlignment="0" applyProtection="0"/>
    <xf numFmtId="0" fontId="56" fillId="27" borderId="0" applyNumberFormat="0" applyBorder="0" applyAlignment="0" applyProtection="0"/>
    <xf numFmtId="0" fontId="56" fillId="20" borderId="0" applyNumberFormat="0" applyBorder="0" applyAlignment="0" applyProtection="0"/>
    <xf numFmtId="0" fontId="56" fillId="1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15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27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2" borderId="0" applyNumberFormat="0" applyBorder="0" applyAlignment="0" applyProtection="0"/>
    <xf numFmtId="0" fontId="56" fillId="28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66" fillId="33" borderId="0" applyNumberFormat="0" applyBorder="0" applyAlignment="0" applyProtection="0"/>
    <xf numFmtId="0" fontId="66" fillId="15" borderId="0" applyNumberFormat="0" applyBorder="0" applyAlignment="0" applyProtection="0"/>
    <xf numFmtId="0" fontId="66" fillId="27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35" borderId="0" applyNumberFormat="0" applyBorder="0" applyAlignment="0" applyProtection="0"/>
    <xf numFmtId="0" fontId="66" fillId="36" borderId="0" applyNumberFormat="0" applyBorder="0" applyAlignment="0" applyProtection="0"/>
    <xf numFmtId="0" fontId="66" fillId="33" borderId="0" applyNumberFormat="0" applyBorder="0" applyAlignment="0" applyProtection="0"/>
    <xf numFmtId="0" fontId="66" fillId="36" borderId="0" applyNumberFormat="0" applyBorder="0" applyAlignment="0" applyProtection="0"/>
    <xf numFmtId="0" fontId="66" fillId="36" borderId="0" applyNumberFormat="0" applyBorder="0" applyAlignment="0" applyProtection="0"/>
    <xf numFmtId="0" fontId="66" fillId="30" borderId="0" applyNumberFormat="0" applyBorder="0" applyAlignment="0" applyProtection="0"/>
    <xf numFmtId="0" fontId="66" fillId="15" borderId="0" applyNumberFormat="0" applyBorder="0" applyAlignment="0" applyProtection="0"/>
    <xf numFmtId="0" fontId="66" fillId="30" borderId="0" applyNumberFormat="0" applyBorder="0" applyAlignment="0" applyProtection="0"/>
    <xf numFmtId="0" fontId="66" fillId="30" borderId="0" applyNumberFormat="0" applyBorder="0" applyAlignment="0" applyProtection="0"/>
    <xf numFmtId="0" fontId="66" fillId="31" borderId="0" applyNumberFormat="0" applyBorder="0" applyAlignment="0" applyProtection="0"/>
    <xf numFmtId="0" fontId="66" fillId="27" borderId="0" applyNumberFormat="0" applyBorder="0" applyAlignment="0" applyProtection="0"/>
    <xf numFmtId="0" fontId="66" fillId="31" borderId="0" applyNumberFormat="0" applyBorder="0" applyAlignment="0" applyProtection="0"/>
    <xf numFmtId="0" fontId="66" fillId="31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39" borderId="0" applyNumberFormat="0" applyBorder="0" applyAlignment="0" applyProtection="0"/>
    <xf numFmtId="0" fontId="66" fillId="35" borderId="0" applyNumberFormat="0" applyBorder="0" applyAlignment="0" applyProtection="0"/>
    <xf numFmtId="0" fontId="66" fillId="39" borderId="0" applyNumberFormat="0" applyBorder="0" applyAlignment="0" applyProtection="0"/>
    <xf numFmtId="0" fontId="66" fillId="39" borderId="0" applyNumberFormat="0" applyBorder="0" applyAlignment="0" applyProtection="0"/>
    <xf numFmtId="0" fontId="66" fillId="40" borderId="0" applyNumberFormat="0" applyBorder="0" applyAlignment="0" applyProtection="0"/>
    <xf numFmtId="0" fontId="66" fillId="41" borderId="0" applyNumberFormat="0" applyBorder="0" applyAlignment="0" applyProtection="0"/>
    <xf numFmtId="0" fontId="66" fillId="42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43" borderId="0" applyNumberFormat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72" fillId="44" borderId="0"/>
    <xf numFmtId="0" fontId="59" fillId="44" borderId="0"/>
    <xf numFmtId="0" fontId="59" fillId="31" borderId="0"/>
    <xf numFmtId="0" fontId="59" fillId="31" borderId="0"/>
    <xf numFmtId="0" fontId="59" fillId="31" borderId="0"/>
    <xf numFmtId="0" fontId="75" fillId="14" borderId="6" applyNumberFormat="0" applyAlignment="0" applyProtection="0"/>
    <xf numFmtId="0" fontId="72" fillId="45" borderId="0"/>
    <xf numFmtId="0" fontId="59" fillId="47" borderId="0"/>
    <xf numFmtId="0" fontId="59" fillId="48" borderId="0"/>
    <xf numFmtId="0" fontId="59" fillId="48" borderId="0"/>
    <xf numFmtId="0" fontId="59" fillId="48" borderId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85" fillId="6" borderId="6" applyNumberFormat="0" applyAlignment="0" applyProtection="0"/>
    <xf numFmtId="0" fontId="70" fillId="0" borderId="16"/>
    <xf numFmtId="0" fontId="70" fillId="0" borderId="16"/>
    <xf numFmtId="0" fontId="70" fillId="0" borderId="16"/>
    <xf numFmtId="192" fontId="90" fillId="7" borderId="21" applyBorder="0">
      <alignment horizontal="left" vertical="center" indent="2"/>
    </xf>
    <xf numFmtId="0" fontId="56" fillId="5" borderId="5" applyNumberFormat="0" applyFont="0" applyAlignment="0" applyProtection="0"/>
    <xf numFmtId="0" fontId="91" fillId="14" borderId="7" applyNumberFormat="0" applyAlignment="0" applyProtection="0"/>
    <xf numFmtId="0" fontId="58" fillId="0" borderId="18" applyNumberFormat="0" applyFill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2" fillId="0" borderId="0" applyNumberFormat="0" applyFill="0" applyBorder="0" applyAlignment="0" applyProtection="0"/>
    <xf numFmtId="0" fontId="66" fillId="50" borderId="0" applyNumberFormat="0" applyBorder="0" applyAlignment="0" applyProtection="0"/>
    <xf numFmtId="0" fontId="66" fillId="40" borderId="0" applyNumberFormat="0" applyBorder="0" applyAlignment="0" applyProtection="0"/>
    <xf numFmtId="0" fontId="66" fillId="50" borderId="0" applyNumberFormat="0" applyBorder="0" applyAlignment="0" applyProtection="0"/>
    <xf numFmtId="0" fontId="66" fillId="50" borderId="0" applyNumberFormat="0" applyBorder="0" applyAlignment="0" applyProtection="0"/>
    <xf numFmtId="0" fontId="66" fillId="51" borderId="0" applyNumberFormat="0" applyBorder="0" applyAlignment="0" applyProtection="0"/>
    <xf numFmtId="0" fontId="66" fillId="41" borderId="0" applyNumberFormat="0" applyBorder="0" applyAlignment="0" applyProtection="0"/>
    <xf numFmtId="0" fontId="66" fillId="51" borderId="0" applyNumberFormat="0" applyBorder="0" applyAlignment="0" applyProtection="0"/>
    <xf numFmtId="0" fontId="66" fillId="51" borderId="0" applyNumberFormat="0" applyBorder="0" applyAlignment="0" applyProtection="0"/>
    <xf numFmtId="0" fontId="66" fillId="52" borderId="0" applyNumberFormat="0" applyBorder="0" applyAlignment="0" applyProtection="0"/>
    <xf numFmtId="0" fontId="66" fillId="4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53" borderId="0" applyNumberFormat="0" applyBorder="0" applyAlignment="0" applyProtection="0"/>
    <xf numFmtId="0" fontId="66" fillId="4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85" fillId="26" borderId="6" applyNumberFormat="0" applyAlignment="0" applyProtection="0"/>
    <xf numFmtId="0" fontId="85" fillId="6" borderId="6" applyNumberFormat="0" applyAlignment="0" applyProtection="0"/>
    <xf numFmtId="0" fontId="85" fillId="26" borderId="6" applyNumberFormat="0" applyAlignment="0" applyProtection="0"/>
    <xf numFmtId="0" fontId="85" fillId="26" borderId="6" applyNumberFormat="0" applyAlignment="0" applyProtection="0"/>
    <xf numFmtId="0" fontId="91" fillId="54" borderId="7" applyNumberFormat="0" applyAlignment="0" applyProtection="0"/>
    <xf numFmtId="0" fontId="91" fillId="14" borderId="7" applyNumberFormat="0" applyAlignment="0" applyProtection="0"/>
    <xf numFmtId="0" fontId="91" fillId="54" borderId="7" applyNumberFormat="0" applyAlignment="0" applyProtection="0"/>
    <xf numFmtId="0" fontId="91" fillId="54" borderId="7" applyNumberFormat="0" applyAlignment="0" applyProtection="0"/>
    <xf numFmtId="0" fontId="75" fillId="54" borderId="6" applyNumberFormat="0" applyAlignment="0" applyProtection="0"/>
    <xf numFmtId="0" fontId="75" fillId="14" borderId="6" applyNumberFormat="0" applyAlignment="0" applyProtection="0"/>
    <xf numFmtId="0" fontId="75" fillId="54" borderId="6" applyNumberFormat="0" applyAlignment="0" applyProtection="0"/>
    <xf numFmtId="0" fontId="75" fillId="54" borderId="6" applyNumberFormat="0" applyAlignment="0" applyProtection="0"/>
    <xf numFmtId="197" fontId="56" fillId="0" borderId="0" applyFont="0" applyFill="0" applyBorder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56" fillId="0" borderId="0"/>
    <xf numFmtId="0" fontId="68" fillId="0" borderId="0"/>
    <xf numFmtId="0" fontId="56" fillId="0" borderId="0"/>
    <xf numFmtId="0" fontId="25" fillId="0" borderId="0"/>
    <xf numFmtId="0" fontId="6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42" fillId="46" borderId="5" applyNumberFormat="0" applyAlignment="0" applyProtection="0"/>
    <xf numFmtId="0" fontId="42" fillId="5" borderId="5" applyNumberFormat="0" applyFont="0" applyAlignment="0" applyProtection="0"/>
    <xf numFmtId="0" fontId="42" fillId="46" borderId="5" applyNumberFormat="0" applyAlignment="0" applyProtection="0"/>
    <xf numFmtId="0" fontId="42" fillId="46" borderId="5" applyNumberFormat="0" applyAlignment="0" applyProtection="0"/>
    <xf numFmtId="9" fontId="56" fillId="0" borderId="0" applyBorder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202" fontId="56" fillId="0" borderId="0" applyFont="0" applyFill="0" applyBorder="0" applyAlignment="0" applyProtection="0"/>
    <xf numFmtId="203" fontId="56" fillId="0" borderId="0" applyBorder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0" fontId="1" fillId="0" borderId="0"/>
    <xf numFmtId="43" fontId="10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7" fillId="0" borderId="0" applyFont="0" applyFill="0" applyBorder="0" applyAlignment="0" applyProtection="0"/>
    <xf numFmtId="0" fontId="1" fillId="0" borderId="0"/>
    <xf numFmtId="0" fontId="1" fillId="0" borderId="0"/>
    <xf numFmtId="0" fontId="58" fillId="0" borderId="18" applyNumberFormat="0" applyFill="0" applyAlignment="0" applyProtection="0"/>
    <xf numFmtId="0" fontId="75" fillId="54" borderId="6" applyNumberFormat="0" applyAlignment="0" applyProtection="0"/>
    <xf numFmtId="0" fontId="75" fillId="54" borderId="6" applyNumberFormat="0" applyAlignment="0" applyProtection="0"/>
    <xf numFmtId="0" fontId="75" fillId="14" borderId="6" applyNumberFormat="0" applyAlignment="0" applyProtection="0"/>
    <xf numFmtId="0" fontId="75" fillId="54" borderId="6" applyNumberFormat="0" applyAlignment="0" applyProtection="0"/>
    <xf numFmtId="0" fontId="91" fillId="54" borderId="7" applyNumberFormat="0" applyAlignment="0" applyProtection="0"/>
    <xf numFmtId="0" fontId="91" fillId="54" borderId="7" applyNumberFormat="0" applyAlignment="0" applyProtection="0"/>
    <xf numFmtId="0" fontId="91" fillId="14" borderId="7" applyNumberFormat="0" applyAlignment="0" applyProtection="0"/>
    <xf numFmtId="0" fontId="91" fillId="54" borderId="7" applyNumberFormat="0" applyAlignment="0" applyProtection="0"/>
    <xf numFmtId="0" fontId="85" fillId="26" borderId="6" applyNumberFormat="0" applyAlignment="0" applyProtection="0"/>
    <xf numFmtId="0" fontId="85" fillId="26" borderId="6" applyNumberFormat="0" applyAlignment="0" applyProtection="0"/>
    <xf numFmtId="0" fontId="85" fillId="6" borderId="6" applyNumberFormat="0" applyAlignment="0" applyProtection="0"/>
    <xf numFmtId="0" fontId="85" fillId="26" borderId="6" applyNumberFormat="0" applyAlignment="0" applyProtection="0"/>
    <xf numFmtId="0" fontId="58" fillId="0" borderId="18" applyNumberFormat="0" applyFill="0" applyAlignment="0" applyProtection="0"/>
    <xf numFmtId="0" fontId="91" fillId="14" borderId="7" applyNumberFormat="0" applyAlignment="0" applyProtection="0"/>
    <xf numFmtId="0" fontId="56" fillId="5" borderId="5" applyNumberFormat="0" applyFont="0" applyAlignment="0" applyProtection="0"/>
    <xf numFmtId="0" fontId="85" fillId="6" borderId="6" applyNumberFormat="0" applyAlignment="0" applyProtection="0"/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75" fillId="14" borderId="6" applyNumberFormat="0" applyAlignment="0" applyProtection="0"/>
    <xf numFmtId="0" fontId="57" fillId="0" borderId="11">
      <alignment horizontal="left" vertical="center"/>
    </xf>
    <xf numFmtId="192" fontId="90" fillId="7" borderId="17" applyBorder="0">
      <alignment horizontal="left" vertical="center" indent="2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192" fontId="90" fillId="7" borderId="17" applyBorder="0">
      <alignment horizontal="left" vertical="center" indent="2"/>
    </xf>
    <xf numFmtId="43" fontId="10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7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1" fillId="0" borderId="0"/>
    <xf numFmtId="43" fontId="10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7" fillId="0" borderId="0" applyFont="0" applyFill="0" applyBorder="0" applyAlignment="0" applyProtection="0"/>
    <xf numFmtId="0" fontId="1" fillId="0" borderId="0"/>
    <xf numFmtId="0" fontId="1" fillId="0" borderId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42" fillId="46" borderId="5" applyNumberFormat="0" applyAlignment="0" applyProtection="0"/>
    <xf numFmtId="0" fontId="42" fillId="5" borderId="5" applyNumberFormat="0" applyFont="0" applyAlignment="0" applyProtection="0"/>
    <xf numFmtId="0" fontId="42" fillId="46" borderId="5" applyNumberFormat="0" applyAlignment="0" applyProtection="0"/>
    <xf numFmtId="0" fontId="42" fillId="46" borderId="5" applyNumberFormat="0" applyAlignment="0" applyProtection="0"/>
  </cellStyleXfs>
  <cellXfs count="165">
    <xf numFmtId="0" fontId="0" fillId="0" borderId="0" xfId="0"/>
    <xf numFmtId="0" fontId="10" fillId="2" borderId="0" xfId="0" applyFont="1" applyFill="1" applyAlignment="1">
      <alignment vertical="center" wrapText="1"/>
    </xf>
    <xf numFmtId="0" fontId="6" fillId="3" borderId="0" xfId="0" applyFont="1" applyFill="1"/>
    <xf numFmtId="0" fontId="12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vertical="center" wrapText="1"/>
    </xf>
    <xf numFmtId="16" fontId="13" fillId="2" borderId="0" xfId="0" applyNumberFormat="1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vertical="center" wrapText="1"/>
    </xf>
    <xf numFmtId="0" fontId="15" fillId="2" borderId="1" xfId="0" applyFont="1" applyFill="1" applyBorder="1" applyAlignment="1">
      <alignment horizontal="center" vertical="center" wrapText="1"/>
    </xf>
    <xf numFmtId="14" fontId="15" fillId="2" borderId="1" xfId="0" applyNumberFormat="1" applyFont="1" applyFill="1" applyBorder="1" applyAlignment="1">
      <alignment horizontal="center" vertical="center" wrapText="1"/>
    </xf>
    <xf numFmtId="0" fontId="16" fillId="2" borderId="0" xfId="0" applyFont="1" applyFill="1" applyAlignment="1">
      <alignment vertical="center" wrapText="1"/>
    </xf>
    <xf numFmtId="14" fontId="16" fillId="2" borderId="0" xfId="0" applyNumberFormat="1" applyFont="1" applyFill="1" applyAlignment="1">
      <alignment vertical="center" wrapText="1"/>
    </xf>
    <xf numFmtId="165" fontId="16" fillId="2" borderId="0" xfId="0" applyNumberFormat="1" applyFont="1" applyFill="1" applyAlignment="1">
      <alignment horizontal="center" vertical="center" wrapText="1"/>
    </xf>
    <xf numFmtId="49" fontId="15" fillId="2" borderId="0" xfId="0" applyNumberFormat="1" applyFont="1" applyFill="1" applyAlignment="1">
      <alignment horizontal="center" vertical="center" wrapText="1"/>
    </xf>
    <xf numFmtId="168" fontId="16" fillId="2" borderId="0" xfId="0" applyNumberFormat="1" applyFont="1" applyFill="1" applyAlignment="1">
      <alignment horizontal="center" vertical="center" wrapText="1"/>
    </xf>
    <xf numFmtId="166" fontId="16" fillId="2" borderId="0" xfId="0" applyNumberFormat="1" applyFont="1" applyFill="1" applyAlignment="1">
      <alignment horizontal="center" vertical="center" wrapText="1"/>
    </xf>
    <xf numFmtId="167" fontId="15" fillId="2" borderId="0" xfId="0" applyNumberFormat="1" applyFont="1" applyFill="1" applyAlignment="1">
      <alignment horizontal="center" vertical="center" wrapText="1"/>
    </xf>
    <xf numFmtId="167" fontId="16" fillId="2" borderId="0" xfId="0" applyNumberFormat="1" applyFont="1" applyFill="1" applyAlignment="1">
      <alignment horizontal="center" vertical="center" wrapText="1"/>
    </xf>
    <xf numFmtId="164" fontId="16" fillId="2" borderId="0" xfId="1" applyNumberFormat="1" applyFont="1" applyFill="1" applyAlignment="1">
      <alignment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left" vertical="center" wrapText="1"/>
    </xf>
    <xf numFmtId="14" fontId="16" fillId="2" borderId="0" xfId="0" applyNumberFormat="1" applyFont="1" applyFill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70" fontId="15" fillId="2" borderId="0" xfId="0" applyNumberFormat="1" applyFont="1" applyFill="1" applyAlignment="1">
      <alignment horizontal="center" vertical="center" wrapText="1"/>
    </xf>
    <xf numFmtId="171" fontId="10" fillId="2" borderId="0" xfId="0" applyNumberFormat="1" applyFont="1" applyFill="1" applyAlignment="1">
      <alignment vertical="center" wrapText="1"/>
    </xf>
    <xf numFmtId="164" fontId="10" fillId="2" borderId="0" xfId="1" applyNumberFormat="1" applyFont="1" applyFill="1" applyAlignment="1">
      <alignment vertical="center" wrapText="1"/>
    </xf>
    <xf numFmtId="164" fontId="6" fillId="2" borderId="2" xfId="0" applyNumberFormat="1" applyFont="1" applyFill="1" applyBorder="1" applyAlignment="1">
      <alignment vertical="center" wrapText="1"/>
    </xf>
    <xf numFmtId="0" fontId="19" fillId="4" borderId="2" xfId="0" applyFont="1" applyFill="1" applyBorder="1" applyAlignment="1">
      <alignment horizontal="center" vertical="center" wrapText="1"/>
    </xf>
    <xf numFmtId="164" fontId="19" fillId="4" borderId="2" xfId="0" applyNumberFormat="1" applyFont="1" applyFill="1" applyBorder="1" applyAlignment="1">
      <alignment vertical="center" wrapText="1"/>
    </xf>
    <xf numFmtId="0" fontId="20" fillId="2" borderId="0" xfId="0" applyFont="1" applyFill="1" applyAlignment="1">
      <alignment vertical="center" wrapText="1"/>
    </xf>
    <xf numFmtId="166" fontId="10" fillId="2" borderId="0" xfId="0" applyNumberFormat="1" applyFont="1" applyFill="1" applyAlignment="1">
      <alignment vertical="center" wrapText="1"/>
    </xf>
    <xf numFmtId="169" fontId="6" fillId="2" borderId="2" xfId="0" applyNumberFormat="1" applyFont="1" applyFill="1" applyBorder="1" applyAlignment="1">
      <alignment vertical="center" wrapText="1"/>
    </xf>
    <xf numFmtId="169" fontId="19" fillId="4" borderId="2" xfId="0" applyNumberFormat="1" applyFont="1" applyFill="1" applyBorder="1" applyAlignment="1">
      <alignment vertical="center" wrapText="1"/>
    </xf>
    <xf numFmtId="173" fontId="6" fillId="2" borderId="2" xfId="0" applyNumberFormat="1" applyFont="1" applyFill="1" applyBorder="1" applyAlignment="1">
      <alignment vertical="center" wrapText="1"/>
    </xf>
    <xf numFmtId="173" fontId="19" fillId="4" borderId="2" xfId="0" applyNumberFormat="1" applyFont="1" applyFill="1" applyBorder="1" applyAlignment="1">
      <alignment vertical="center" wrapText="1"/>
    </xf>
    <xf numFmtId="172" fontId="6" fillId="2" borderId="2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43" fontId="10" fillId="2" borderId="0" xfId="2" applyFont="1" applyFill="1" applyAlignment="1">
      <alignment vertical="center" wrapText="1"/>
    </xf>
    <xf numFmtId="173" fontId="6" fillId="0" borderId="2" xfId="0" applyNumberFormat="1" applyFont="1" applyBorder="1" applyAlignment="1">
      <alignment vertical="center" wrapText="1"/>
    </xf>
    <xf numFmtId="169" fontId="6" fillId="0" borderId="2" xfId="0" applyNumberFormat="1" applyFont="1" applyBorder="1" applyAlignment="1">
      <alignment vertical="center" wrapText="1"/>
    </xf>
    <xf numFmtId="164" fontId="6" fillId="0" borderId="2" xfId="0" applyNumberFormat="1" applyFont="1" applyBorder="1" applyAlignment="1">
      <alignment vertical="center" wrapText="1"/>
    </xf>
    <xf numFmtId="169" fontId="10" fillId="2" borderId="0" xfId="0" applyNumberFormat="1" applyFont="1" applyFill="1" applyAlignment="1">
      <alignment vertical="center" wrapText="1"/>
    </xf>
    <xf numFmtId="174" fontId="0" fillId="0" borderId="0" xfId="0" applyNumberFormat="1"/>
    <xf numFmtId="0" fontId="21" fillId="2" borderId="0" xfId="0" applyFont="1" applyFill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0" fontId="22" fillId="2" borderId="0" xfId="0" applyFont="1" applyFill="1" applyAlignment="1">
      <alignment vertical="center" wrapText="1"/>
    </xf>
    <xf numFmtId="0" fontId="23" fillId="2" borderId="0" xfId="0" applyFont="1" applyFill="1" applyAlignment="1">
      <alignment vertical="center" wrapText="1"/>
    </xf>
    <xf numFmtId="175" fontId="16" fillId="2" borderId="0" xfId="0" applyNumberFormat="1" applyFont="1" applyFill="1" applyAlignment="1">
      <alignment horizontal="center" vertical="center" wrapText="1"/>
    </xf>
    <xf numFmtId="174" fontId="10" fillId="2" borderId="0" xfId="0" applyNumberFormat="1" applyFont="1" applyFill="1" applyAlignment="1">
      <alignment vertical="center" wrapText="1"/>
    </xf>
    <xf numFmtId="174" fontId="19" fillId="4" borderId="2" xfId="0" applyNumberFormat="1" applyFont="1" applyFill="1" applyBorder="1" applyAlignment="1">
      <alignment horizontal="center" vertical="center" wrapText="1"/>
    </xf>
    <xf numFmtId="14" fontId="6" fillId="2" borderId="2" xfId="0" applyNumberFormat="1" applyFont="1" applyFill="1" applyBorder="1" applyAlignment="1">
      <alignment horizontal="center" vertical="center" wrapText="1"/>
    </xf>
    <xf numFmtId="178" fontId="16" fillId="2" borderId="0" xfId="0" applyNumberFormat="1" applyFont="1" applyFill="1" applyAlignment="1">
      <alignment horizontal="center" vertical="center" wrapText="1"/>
    </xf>
    <xf numFmtId="0" fontId="31" fillId="2" borderId="0" xfId="0" applyFont="1" applyFill="1" applyAlignment="1">
      <alignment vertical="center" wrapText="1"/>
    </xf>
    <xf numFmtId="175" fontId="31" fillId="2" borderId="0" xfId="0" applyNumberFormat="1" applyFont="1" applyFill="1" applyAlignment="1">
      <alignment horizontal="center" vertical="center" wrapText="1"/>
    </xf>
    <xf numFmtId="170" fontId="32" fillId="2" borderId="0" xfId="0" applyNumberFormat="1" applyFont="1" applyFill="1" applyAlignment="1">
      <alignment horizontal="center" vertical="center" wrapText="1"/>
    </xf>
    <xf numFmtId="177" fontId="32" fillId="2" borderId="0" xfId="0" applyNumberFormat="1" applyFont="1" applyFill="1" applyAlignment="1">
      <alignment horizontal="center" vertical="center" wrapText="1"/>
    </xf>
    <xf numFmtId="177" fontId="6" fillId="2" borderId="2" xfId="0" applyNumberFormat="1" applyFont="1" applyFill="1" applyBorder="1" applyAlignment="1">
      <alignment vertical="center" wrapText="1"/>
    </xf>
    <xf numFmtId="177" fontId="19" fillId="4" borderId="2" xfId="0" applyNumberFormat="1" applyFont="1" applyFill="1" applyBorder="1" applyAlignment="1">
      <alignment vertical="center" wrapText="1"/>
    </xf>
    <xf numFmtId="179" fontId="15" fillId="2" borderId="0" xfId="0" applyNumberFormat="1" applyFont="1" applyFill="1" applyAlignment="1">
      <alignment horizontal="center" vertical="center" wrapText="1"/>
    </xf>
    <xf numFmtId="175" fontId="10" fillId="2" borderId="0" xfId="0" applyNumberFormat="1" applyFont="1" applyFill="1" applyAlignment="1">
      <alignment horizontal="center" vertical="center" wrapText="1"/>
    </xf>
    <xf numFmtId="177" fontId="33" fillId="2" borderId="0" xfId="0" applyNumberFormat="1" applyFont="1" applyFill="1" applyAlignment="1">
      <alignment horizontal="center" vertical="center" wrapText="1"/>
    </xf>
    <xf numFmtId="0" fontId="14" fillId="2" borderId="0" xfId="0" applyFont="1" applyFill="1" applyAlignment="1">
      <alignment vertical="center" wrapText="1"/>
    </xf>
    <xf numFmtId="14" fontId="6" fillId="0" borderId="2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vertical="center" wrapText="1"/>
    </xf>
    <xf numFmtId="3" fontId="35" fillId="0" borderId="0" xfId="0" applyNumberFormat="1" applyFont="1"/>
    <xf numFmtId="174" fontId="35" fillId="0" borderId="0" xfId="0" applyNumberFormat="1" applyFont="1"/>
    <xf numFmtId="4" fontId="35" fillId="0" borderId="0" xfId="0" applyNumberFormat="1" applyFont="1"/>
    <xf numFmtId="164" fontId="9" fillId="0" borderId="2" xfId="0" applyNumberFormat="1" applyFont="1" applyBorder="1" applyAlignment="1">
      <alignment vertical="center" wrapText="1"/>
    </xf>
    <xf numFmtId="179" fontId="16" fillId="2" borderId="0" xfId="0" applyNumberFormat="1" applyFont="1" applyFill="1" applyAlignment="1">
      <alignment horizontal="center" vertical="center" wrapText="1"/>
    </xf>
    <xf numFmtId="0" fontId="36" fillId="2" borderId="0" xfId="0" applyFont="1" applyFill="1" applyAlignment="1">
      <alignment vertical="center" wrapText="1"/>
    </xf>
    <xf numFmtId="0" fontId="33" fillId="2" borderId="0" xfId="0" applyFont="1" applyFill="1" applyAlignment="1">
      <alignment vertical="center" wrapText="1"/>
    </xf>
    <xf numFmtId="175" fontId="33" fillId="2" borderId="0" xfId="0" applyNumberFormat="1" applyFont="1" applyFill="1" applyAlignment="1">
      <alignment horizontal="center" vertical="center" wrapText="1"/>
    </xf>
    <xf numFmtId="170" fontId="33" fillId="2" borderId="0" xfId="0" applyNumberFormat="1" applyFont="1" applyFill="1" applyAlignment="1">
      <alignment horizontal="center" vertical="center" wrapText="1"/>
    </xf>
    <xf numFmtId="0" fontId="39" fillId="2" borderId="0" xfId="0" applyFont="1" applyFill="1" applyAlignment="1">
      <alignment horizontal="center" vertical="center" wrapText="1"/>
    </xf>
    <xf numFmtId="0" fontId="40" fillId="2" borderId="0" xfId="0" applyFont="1" applyFill="1" applyAlignment="1">
      <alignment vertical="center" wrapText="1"/>
    </xf>
    <xf numFmtId="0" fontId="26" fillId="0" borderId="0" xfId="0" applyFont="1" applyAlignment="1">
      <alignment vertical="top" wrapText="1"/>
    </xf>
    <xf numFmtId="0" fontId="26" fillId="0" borderId="0" xfId="0" applyFont="1" applyAlignment="1">
      <alignment horizontal="left" vertical="top" wrapText="1"/>
    </xf>
    <xf numFmtId="1" fontId="25" fillId="0" borderId="0" xfId="0" applyNumberFormat="1" applyFont="1" applyAlignment="1">
      <alignment vertical="top" wrapText="1"/>
    </xf>
    <xf numFmtId="0" fontId="25" fillId="0" borderId="0" xfId="0" applyFont="1" applyAlignment="1">
      <alignment vertical="top" wrapText="1"/>
    </xf>
    <xf numFmtId="0" fontId="34" fillId="0" borderId="0" xfId="0" applyFont="1" applyAlignment="1">
      <alignment vertical="top" wrapText="1"/>
    </xf>
    <xf numFmtId="0" fontId="25" fillId="0" borderId="0" xfId="0" applyFont="1" applyAlignment="1">
      <alignment horizontal="left" vertical="top" wrapText="1"/>
    </xf>
    <xf numFmtId="3" fontId="25" fillId="0" borderId="0" xfId="0" applyNumberFormat="1" applyFont="1" applyAlignment="1">
      <alignment vertical="top"/>
    </xf>
    <xf numFmtId="3" fontId="34" fillId="0" borderId="0" xfId="0" applyNumberFormat="1" applyFont="1" applyAlignment="1">
      <alignment vertical="top"/>
    </xf>
    <xf numFmtId="14" fontId="0" fillId="0" borderId="0" xfId="0" applyNumberFormat="1"/>
    <xf numFmtId="0" fontId="41" fillId="4" borderId="2" xfId="0" applyFont="1" applyFill="1" applyBorder="1" applyAlignment="1">
      <alignment horizontal="center" vertical="center" wrapText="1"/>
    </xf>
    <xf numFmtId="169" fontId="41" fillId="4" borderId="2" xfId="0" applyNumberFormat="1" applyFont="1" applyFill="1" applyBorder="1" applyAlignment="1">
      <alignment vertical="center" wrapText="1"/>
    </xf>
    <xf numFmtId="170" fontId="41" fillId="4" borderId="2" xfId="0" applyNumberFormat="1" applyFont="1" applyFill="1" applyBorder="1" applyAlignment="1">
      <alignment vertical="center" wrapText="1"/>
    </xf>
    <xf numFmtId="180" fontId="6" fillId="2" borderId="2" xfId="0" applyNumberFormat="1" applyFont="1" applyFill="1" applyBorder="1" applyAlignment="1">
      <alignment vertical="center" wrapText="1"/>
    </xf>
    <xf numFmtId="180" fontId="41" fillId="4" borderId="2" xfId="0" applyNumberFormat="1" applyFont="1" applyFill="1" applyBorder="1" applyAlignment="1">
      <alignment vertical="center" wrapText="1"/>
    </xf>
    <xf numFmtId="14" fontId="43" fillId="2" borderId="1" xfId="0" applyNumberFormat="1" applyFont="1" applyFill="1" applyBorder="1" applyAlignment="1">
      <alignment horizontal="center" vertical="center" wrapText="1"/>
    </xf>
    <xf numFmtId="14" fontId="41" fillId="2" borderId="0" xfId="0" applyNumberFormat="1" applyFont="1" applyFill="1" applyAlignment="1">
      <alignment vertical="center" wrapText="1"/>
    </xf>
    <xf numFmtId="165" fontId="41" fillId="2" borderId="0" xfId="0" applyNumberFormat="1" applyFont="1" applyFill="1" applyAlignment="1">
      <alignment horizontal="center" vertical="center" wrapText="1"/>
    </xf>
    <xf numFmtId="49" fontId="43" fillId="2" borderId="0" xfId="0" applyNumberFormat="1" applyFont="1" applyFill="1" applyAlignment="1">
      <alignment horizontal="center" vertical="center" wrapText="1"/>
    </xf>
    <xf numFmtId="175" fontId="41" fillId="2" borderId="0" xfId="0" applyNumberFormat="1" applyFont="1" applyFill="1" applyAlignment="1">
      <alignment horizontal="center" vertical="center" wrapText="1"/>
    </xf>
    <xf numFmtId="166" fontId="41" fillId="2" borderId="0" xfId="0" applyNumberFormat="1" applyFont="1" applyFill="1" applyAlignment="1">
      <alignment horizontal="center" vertical="center" wrapText="1"/>
    </xf>
    <xf numFmtId="170" fontId="43" fillId="2" borderId="0" xfId="0" applyNumberFormat="1" applyFont="1" applyFill="1" applyAlignment="1">
      <alignment horizontal="center" vertical="center" wrapText="1"/>
    </xf>
    <xf numFmtId="178" fontId="41" fillId="2" borderId="0" xfId="0" applyNumberFormat="1" applyFont="1" applyFill="1" applyAlignment="1">
      <alignment horizontal="center" vertical="center" wrapText="1"/>
    </xf>
    <xf numFmtId="179" fontId="43" fillId="2" borderId="0" xfId="0" applyNumberFormat="1" applyFont="1" applyFill="1" applyAlignment="1">
      <alignment horizontal="center" vertical="center" wrapText="1"/>
    </xf>
    <xf numFmtId="167" fontId="41" fillId="2" borderId="0" xfId="0" applyNumberFormat="1" applyFont="1" applyFill="1" applyAlignment="1">
      <alignment horizontal="center" vertical="center" wrapText="1"/>
    </xf>
    <xf numFmtId="16" fontId="43" fillId="2" borderId="0" xfId="0" applyNumberFormat="1" applyFont="1" applyFill="1" applyAlignment="1">
      <alignment horizontal="center" vertical="center" wrapText="1"/>
    </xf>
    <xf numFmtId="177" fontId="15" fillId="2" borderId="0" xfId="0" applyNumberFormat="1" applyFont="1" applyFill="1" applyAlignment="1">
      <alignment horizontal="center" vertical="center" wrapText="1"/>
    </xf>
    <xf numFmtId="177" fontId="41" fillId="2" borderId="0" xfId="0" applyNumberFormat="1" applyFont="1" applyFill="1" applyAlignment="1">
      <alignment horizontal="center" vertical="center" wrapText="1"/>
    </xf>
    <xf numFmtId="177" fontId="43" fillId="2" borderId="0" xfId="0" applyNumberFormat="1" applyFont="1" applyFill="1" applyAlignment="1">
      <alignment horizontal="center" vertical="center" wrapText="1"/>
    </xf>
    <xf numFmtId="2" fontId="44" fillId="0" borderId="0" xfId="0" applyNumberFormat="1" applyFont="1" applyAlignment="1">
      <alignment horizontal="center" vertical="center" wrapText="1"/>
    </xf>
    <xf numFmtId="2" fontId="44" fillId="0" borderId="0" xfId="0" applyNumberFormat="1" applyFont="1" applyAlignment="1">
      <alignment horizontal="right" vertical="center" wrapText="1"/>
    </xf>
    <xf numFmtId="0" fontId="45" fillId="0" borderId="0" xfId="0" applyFont="1"/>
    <xf numFmtId="0" fontId="44" fillId="0" borderId="0" xfId="0" applyFont="1"/>
    <xf numFmtId="14" fontId="44" fillId="0" borderId="0" xfId="0" applyNumberFormat="1" applyFont="1"/>
    <xf numFmtId="174" fontId="44" fillId="0" borderId="0" xfId="0" applyNumberFormat="1" applyFont="1" applyAlignment="1">
      <alignment horizontal="right"/>
    </xf>
    <xf numFmtId="1" fontId="44" fillId="0" borderId="0" xfId="0" applyNumberFormat="1" applyFont="1" applyAlignment="1">
      <alignment horizontal="center" vertical="center" wrapText="1"/>
    </xf>
    <xf numFmtId="1" fontId="44" fillId="0" borderId="0" xfId="0" applyNumberFormat="1" applyFont="1"/>
    <xf numFmtId="3" fontId="44" fillId="0" borderId="0" xfId="0" applyNumberFormat="1" applyFont="1" applyAlignment="1">
      <alignment horizontal="center" vertical="center" wrapText="1"/>
    </xf>
    <xf numFmtId="3" fontId="44" fillId="0" borderId="0" xfId="0" applyNumberFormat="1" applyFont="1"/>
    <xf numFmtId="2" fontId="45" fillId="0" borderId="0" xfId="0" applyNumberFormat="1" applyFont="1" applyAlignment="1">
      <alignment horizontal="center" vertical="center" wrapText="1"/>
    </xf>
    <xf numFmtId="1" fontId="45" fillId="0" borderId="0" xfId="0" applyNumberFormat="1" applyFont="1" applyAlignment="1">
      <alignment horizontal="center" vertical="center" wrapText="1"/>
    </xf>
    <xf numFmtId="3" fontId="45" fillId="0" borderId="0" xfId="0" applyNumberFormat="1" applyFont="1" applyAlignment="1">
      <alignment horizontal="center" vertical="center" wrapText="1"/>
    </xf>
    <xf numFmtId="0" fontId="46" fillId="0" borderId="0" xfId="0" applyFont="1"/>
    <xf numFmtId="4" fontId="45" fillId="0" borderId="0" xfId="0" applyNumberFormat="1" applyFont="1" applyAlignment="1">
      <alignment horizontal="right" vertical="center" wrapText="1"/>
    </xf>
    <xf numFmtId="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/>
    </xf>
    <xf numFmtId="4" fontId="0" fillId="0" borderId="0" xfId="0" applyNumberFormat="1"/>
    <xf numFmtId="179" fontId="41" fillId="2" borderId="0" xfId="0" applyNumberFormat="1" applyFont="1" applyFill="1" applyAlignment="1">
      <alignment horizontal="center" vertical="center" wrapText="1"/>
    </xf>
    <xf numFmtId="14" fontId="44" fillId="0" borderId="1" xfId="0" applyNumberFormat="1" applyFont="1" applyBorder="1"/>
    <xf numFmtId="166" fontId="43" fillId="2" borderId="0" xfId="0" applyNumberFormat="1" applyFont="1" applyFill="1" applyAlignment="1">
      <alignment horizontal="center" vertical="center" wrapText="1"/>
    </xf>
    <xf numFmtId="0" fontId="47" fillId="0" borderId="0" xfId="0" applyFont="1"/>
    <xf numFmtId="0" fontId="48" fillId="0" borderId="0" xfId="0" applyFont="1"/>
    <xf numFmtId="164" fontId="50" fillId="2" borderId="2" xfId="0" applyNumberFormat="1" applyFont="1" applyFill="1" applyBorder="1" applyAlignment="1">
      <alignment vertical="center" wrapText="1"/>
    </xf>
    <xf numFmtId="0" fontId="6" fillId="2" borderId="0" xfId="0" applyFont="1" applyFill="1" applyAlignment="1">
      <alignment horizontal="center" vertical="center" wrapText="1"/>
    </xf>
    <xf numFmtId="1" fontId="51" fillId="0" borderId="0" xfId="0" applyNumberFormat="1" applyFont="1"/>
    <xf numFmtId="0" fontId="0" fillId="0" borderId="0" xfId="0" applyAlignment="1">
      <alignment horizontal="center" vertical="center"/>
    </xf>
    <xf numFmtId="0" fontId="52" fillId="0" borderId="0" xfId="0" applyFont="1"/>
    <xf numFmtId="0" fontId="52" fillId="2" borderId="0" xfId="0" applyFont="1" applyFill="1"/>
    <xf numFmtId="171" fontId="6" fillId="2" borderId="2" xfId="0" applyNumberFormat="1" applyFont="1" applyFill="1" applyBorder="1" applyAlignment="1">
      <alignment vertical="center" wrapText="1"/>
    </xf>
    <xf numFmtId="174" fontId="53" fillId="0" borderId="0" xfId="0" applyNumberFormat="1" applyFont="1"/>
    <xf numFmtId="171" fontId="44" fillId="0" borderId="0" xfId="0" applyNumberFormat="1" applyFont="1"/>
    <xf numFmtId="0" fontId="54" fillId="2" borderId="0" xfId="0" applyFont="1" applyFill="1" applyAlignment="1">
      <alignment vertical="center" wrapText="1"/>
    </xf>
    <xf numFmtId="0" fontId="55" fillId="2" borderId="0" xfId="0" applyFont="1" applyFill="1" applyAlignment="1">
      <alignment vertical="center" wrapText="1"/>
    </xf>
    <xf numFmtId="182" fontId="16" fillId="2" borderId="0" xfId="0" applyNumberFormat="1" applyFont="1" applyFill="1" applyAlignment="1">
      <alignment horizontal="center" vertical="center" wrapText="1"/>
    </xf>
    <xf numFmtId="207" fontId="33" fillId="2" borderId="0" xfId="0" applyNumberFormat="1" applyFont="1" applyFill="1" applyAlignment="1">
      <alignment horizontal="center" vertical="center" wrapText="1"/>
    </xf>
    <xf numFmtId="207" fontId="16" fillId="2" borderId="0" xfId="0" applyNumberFormat="1" applyFont="1" applyFill="1" applyAlignment="1">
      <alignment horizontal="center" vertical="center" wrapText="1"/>
    </xf>
    <xf numFmtId="0" fontId="103" fillId="0" borderId="0" xfId="0" applyFont="1"/>
    <xf numFmtId="3" fontId="0" fillId="0" borderId="0" xfId="0" applyNumberFormat="1"/>
    <xf numFmtId="174" fontId="0" fillId="0" borderId="0" xfId="2" applyNumberFormat="1" applyFont="1"/>
    <xf numFmtId="0" fontId="49" fillId="2" borderId="1" xfId="0" applyFont="1" applyFill="1" applyBorder="1" applyAlignment="1">
      <alignment horizontal="center" vertical="center" wrapText="1"/>
    </xf>
    <xf numFmtId="171" fontId="44" fillId="58" borderId="0" xfId="0" applyNumberFormat="1" applyFont="1" applyFill="1"/>
    <xf numFmtId="14" fontId="43" fillId="2" borderId="0" xfId="0" applyNumberFormat="1" applyFont="1" applyFill="1" applyAlignment="1">
      <alignment horizontal="center" vertical="center" wrapText="1"/>
    </xf>
    <xf numFmtId="0" fontId="104" fillId="2" borderId="0" xfId="0" applyFont="1" applyFill="1" applyAlignment="1">
      <alignment horizontal="center" vertical="center" wrapText="1"/>
    </xf>
    <xf numFmtId="0" fontId="105" fillId="2" borderId="0" xfId="0" applyFont="1" applyFill="1" applyAlignment="1">
      <alignment horizontal="center" vertical="center" wrapText="1"/>
    </xf>
    <xf numFmtId="164" fontId="6" fillId="2" borderId="2" xfId="0" applyNumberFormat="1" applyFont="1" applyFill="1" applyBorder="1" applyAlignment="1">
      <alignment horizontal="center" vertical="center" wrapText="1"/>
    </xf>
    <xf numFmtId="9" fontId="6" fillId="2" borderId="2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vertical="center" wrapText="1"/>
    </xf>
    <xf numFmtId="164" fontId="41" fillId="4" borderId="2" xfId="0" applyNumberFormat="1" applyFont="1" applyFill="1" applyBorder="1" applyAlignment="1">
      <alignment horizontal="center" vertical="center" wrapText="1"/>
    </xf>
    <xf numFmtId="1" fontId="41" fillId="4" borderId="2" xfId="0" applyNumberFormat="1" applyFont="1" applyFill="1" applyBorder="1" applyAlignment="1">
      <alignment horizontal="center" vertical="center" wrapText="1"/>
    </xf>
    <xf numFmtId="1" fontId="6" fillId="2" borderId="2" xfId="0" applyNumberFormat="1" applyFont="1" applyFill="1" applyBorder="1" applyAlignment="1">
      <alignment vertical="center" wrapText="1"/>
    </xf>
    <xf numFmtId="177" fontId="50" fillId="2" borderId="2" xfId="0" applyNumberFormat="1" applyFont="1" applyFill="1" applyBorder="1" applyAlignment="1">
      <alignment vertical="center" wrapText="1"/>
    </xf>
    <xf numFmtId="10" fontId="6" fillId="2" borderId="2" xfId="0" applyNumberFormat="1" applyFont="1" applyFill="1" applyBorder="1" applyAlignment="1">
      <alignment horizontal="center" vertical="center" wrapText="1"/>
    </xf>
    <xf numFmtId="10" fontId="41" fillId="4" borderId="2" xfId="0" applyNumberFormat="1" applyFont="1" applyFill="1" applyBorder="1" applyAlignment="1">
      <alignment horizontal="center" vertical="center" wrapText="1"/>
    </xf>
    <xf numFmtId="3" fontId="10" fillId="2" borderId="0" xfId="0" applyNumberFormat="1" applyFont="1" applyFill="1" applyAlignment="1">
      <alignment vertical="center" wrapText="1"/>
    </xf>
    <xf numFmtId="0" fontId="11" fillId="3" borderId="4" xfId="0" applyFont="1" applyFill="1" applyBorder="1" applyAlignment="1">
      <alignment horizontal="center"/>
    </xf>
    <xf numFmtId="0" fontId="22" fillId="2" borderId="0" xfId="0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36" fillId="2" borderId="0" xfId="0" applyFont="1" applyFill="1" applyAlignment="1">
      <alignment horizontal="left" vertical="center" wrapText="1"/>
    </xf>
    <xf numFmtId="165" fontId="19" fillId="2" borderId="0" xfId="0" applyNumberFormat="1" applyFont="1" applyFill="1" applyAlignment="1">
      <alignment horizontal="center" vertical="center" wrapText="1"/>
    </xf>
  </cellXfs>
  <cellStyles count="2860">
    <cellStyle name="_FFF" xfId="37" xr:uid="{720C0B41-873E-42E4-BB4E-F8A31E5BBFCC}"/>
    <cellStyle name="_FFF 1" xfId="38" xr:uid="{3CFBB8EC-CED3-41E2-9549-7964F0C8B8CC}"/>
    <cellStyle name="_FFF 1_Копия Растениеводство форма(Акционеры)" xfId="39" xr:uid="{BD1F7621-E3BD-49D8-BC0D-CC97D7AF25A8}"/>
    <cellStyle name="_FFF 1_М( ЗАР)" xfId="40" xr:uid="{A3CCBEED-B31C-4E3B-A572-F7ED623831C6}"/>
    <cellStyle name="_FFF 1_Модель АгроГард на 5 лет" xfId="41" xr:uid="{050481ED-B084-4B97-8734-002B4675AD37}"/>
    <cellStyle name="_FFF 1_раст.-факт" xfId="42" xr:uid="{2C3FFB1B-7661-4985-8EF2-EDFD700E92F2}"/>
    <cellStyle name="_FFF 1_Растениеводство форма( АГМ)" xfId="43" xr:uid="{27CB948C-950F-49F8-A85F-7A448461CBB3}"/>
    <cellStyle name="_FFF 1_Свод по Агрохоолдингу  (в т.ч КБН  )" xfId="44" xr:uid="{D7EA7FFC-466E-4D27-89EC-218E863A2AC1}"/>
    <cellStyle name="_FFF 1_Форма по растениеводству (Акционеры) ИЛЧ" xfId="45" xr:uid="{F827D511-A306-4C7C-9A75-02FE3AAF6C4B}"/>
    <cellStyle name="_FFF 2" xfId="46" xr:uid="{5B5CD97C-45D0-4505-94F2-35FBD6D4DE9F}"/>
    <cellStyle name="_FFF 2_Копия Растениеводство форма(Акционеры)" xfId="47" xr:uid="{CA959594-5FCA-42A0-A576-DE0103A26524}"/>
    <cellStyle name="_FFF 2_М( ЗАР)" xfId="48" xr:uid="{C393897C-A9F4-407B-844E-4A2FCB0AB7E6}"/>
    <cellStyle name="_FFF 2_Модель АгроГард на 5 лет" xfId="49" xr:uid="{C758B17D-E4AE-475B-833E-B22EAC924EF2}"/>
    <cellStyle name="_FFF 2_раст.-факт" xfId="50" xr:uid="{804F49BC-FA7C-40B2-AF95-50BE570DCD73}"/>
    <cellStyle name="_FFF 2_Растениеводство форма( АГМ)" xfId="51" xr:uid="{90046627-77CD-41F7-806D-48DB44341288}"/>
    <cellStyle name="_FFF 2_Свод по Агрохоолдингу  (в т.ч КБН  )" xfId="52" xr:uid="{40B328CF-82A1-4F83-83E9-84250C93160C}"/>
    <cellStyle name="_FFF 2_Форма по растениеводству (Акционеры) ИЛЧ" xfId="53" xr:uid="{B7C3E172-DFDA-4C80-ADD9-F6055A6C1FC3}"/>
    <cellStyle name="_FFF 3" xfId="54" xr:uid="{EA97C9AB-17F7-451E-86F0-C8F81F2B6732}"/>
    <cellStyle name="_FFF 3_Копия Растениеводство форма(Акционеры)" xfId="55" xr:uid="{A4A5BC4B-786D-4290-AEFC-D574DB88BBEE}"/>
    <cellStyle name="_FFF 3_М( ЗАР)" xfId="56" xr:uid="{CEF51626-7B23-4521-AC3E-24E4812D3C85}"/>
    <cellStyle name="_FFF 3_Модель АгроГард на 5 лет" xfId="57" xr:uid="{D889E0AF-0F2A-41B5-96DA-6979529F8A79}"/>
    <cellStyle name="_FFF 3_раст.-факт" xfId="58" xr:uid="{C3513A9D-305B-4BFD-ABEC-CF9350A6EE16}"/>
    <cellStyle name="_FFF 3_Растениеводство форма( АГМ)" xfId="59" xr:uid="{764A5B79-3ACA-4132-B737-5301D7D0DF6B}"/>
    <cellStyle name="_FFF 3_Свод по Агрохоолдингу  (в т.ч КБН  )" xfId="60" xr:uid="{18902636-3A63-4B9E-BB69-FD6532B2A7DB}"/>
    <cellStyle name="_FFF 3_Форма по растениеводству (Акционеры) ИЛЧ" xfId="61" xr:uid="{245C20F5-B3E7-484A-A0B4-C6C03B15C0CC}"/>
    <cellStyle name="_FFF_New Form10_2" xfId="62" xr:uid="{C779DB5E-4284-4980-BCD1-2ACA8ECA821D}"/>
    <cellStyle name="_FFF_New Form10_2 1" xfId="63" xr:uid="{E22C2401-9A5A-41F9-A534-0E59C548AC63}"/>
    <cellStyle name="_FFF_New Form10_2 1_Копия Растениеводство форма(Акционеры)" xfId="64" xr:uid="{0888A584-8234-4DDB-89F6-A923B16BF74D}"/>
    <cellStyle name="_FFF_New Form10_2 1_М( ЗАР)" xfId="65" xr:uid="{2727D2FF-2209-4D6C-A89E-1C45BD1F37F7}"/>
    <cellStyle name="_FFF_New Form10_2 1_Модель АгроГард на 5 лет" xfId="66" xr:uid="{4CE22077-309B-4372-BEC5-08B941F54F30}"/>
    <cellStyle name="_FFF_New Form10_2 1_раст.-факт" xfId="67" xr:uid="{623BF75C-405B-42F4-B9B4-06F8BF1302FB}"/>
    <cellStyle name="_FFF_New Form10_2 1_Растениеводство форма( АГМ)" xfId="68" xr:uid="{D7AC57A2-E70B-462B-B727-7223ECF4AD3C}"/>
    <cellStyle name="_FFF_New Form10_2 1_Свод по Агрохоолдингу  (в т.ч КБН  )" xfId="69" xr:uid="{3C1BEE75-6073-4382-8D36-0730BEDCA484}"/>
    <cellStyle name="_FFF_New Form10_2 1_Форма по растениеводству (Акционеры) ИЛЧ" xfId="70" xr:uid="{DEF8CC1A-1B1F-4090-9440-72E842168DD7}"/>
    <cellStyle name="_FFF_New Form10_2 2" xfId="71" xr:uid="{C7CA41FD-833C-48A6-ADDC-D235D45C1E16}"/>
    <cellStyle name="_FFF_New Form10_2 2_Копия Растениеводство форма(Акционеры)" xfId="72" xr:uid="{D58E0423-46BE-4C08-B2ED-1BBCE5860924}"/>
    <cellStyle name="_FFF_New Form10_2 2_М( ЗАР)" xfId="73" xr:uid="{30AEA746-4113-4074-ACD4-FA00CAFFEFA5}"/>
    <cellStyle name="_FFF_New Form10_2 2_Модель АгроГард на 5 лет" xfId="74" xr:uid="{F197F44B-536F-4DBE-A6A0-2D5CACEBBC86}"/>
    <cellStyle name="_FFF_New Form10_2 2_раст.-факт" xfId="75" xr:uid="{98B48AC9-6DEB-452F-8122-527080B7B2BF}"/>
    <cellStyle name="_FFF_New Form10_2 2_Растениеводство форма( АГМ)" xfId="76" xr:uid="{DB764CA3-ED53-4906-AB72-B86DF225EBD8}"/>
    <cellStyle name="_FFF_New Form10_2 2_Свод по Агрохоолдингу  (в т.ч КБН  )" xfId="77" xr:uid="{8D81F367-588B-4EB3-B474-0C19D40BE6AD}"/>
    <cellStyle name="_FFF_New Form10_2 2_Форма по растениеводству (Акционеры) ИЛЧ" xfId="78" xr:uid="{F8CBE205-0555-4A79-9A64-269EE1FFB3C7}"/>
    <cellStyle name="_FFF_New Form10_2 3" xfId="79" xr:uid="{C314304E-85B9-4AB6-9CEB-4FD9CF617A7F}"/>
    <cellStyle name="_FFF_New Form10_2 3_Копия Растениеводство форма(Акционеры)" xfId="80" xr:uid="{6844719B-0061-477C-9808-0EF45F50AB3E}"/>
    <cellStyle name="_FFF_New Form10_2 3_М( ЗАР)" xfId="81" xr:uid="{B1824C4B-FBE4-4053-BAB8-04A8BD0E3EB2}"/>
    <cellStyle name="_FFF_New Form10_2 3_Модель АгроГард на 5 лет" xfId="82" xr:uid="{28A49839-EDFE-4F2B-8E3E-97EE771B81F2}"/>
    <cellStyle name="_FFF_New Form10_2 3_раст.-факт" xfId="83" xr:uid="{C06E00AD-4241-4EA0-8296-E9775AEE8105}"/>
    <cellStyle name="_FFF_New Form10_2 3_Растениеводство форма( АГМ)" xfId="84" xr:uid="{243B61E9-BB67-4A70-AD27-1428BE05777E}"/>
    <cellStyle name="_FFF_New Form10_2 3_Свод по Агрохоолдингу  (в т.ч КБН  )" xfId="85" xr:uid="{5ECE7550-FAC0-4DF9-8359-7396D469F83D}"/>
    <cellStyle name="_FFF_New Form10_2 3_Форма по растениеводству (Акционеры) ИЛЧ" xfId="86" xr:uid="{04D18D48-9EBE-4203-8128-A5AC13EFC84A}"/>
    <cellStyle name="_FFF_New Form10_2_АГМ" xfId="87" xr:uid="{CDAF36DB-9CC9-46E6-AE16-7B445AD9691C}"/>
    <cellStyle name="_FFF_New Form10_2_Копия Растениеводство форма(Акционеры)" xfId="88" xr:uid="{E6A549EA-9361-41E4-8600-16243201C2A3}"/>
    <cellStyle name="_FFF_New Form10_2_М( ЗАР)" xfId="89" xr:uid="{98F97E41-8EA0-40F0-AAE3-779987123245}"/>
    <cellStyle name="_FFF_New Form10_2_Модель АгроГард на 5 лет" xfId="90" xr:uid="{E7B077D2-03B3-4638-B30F-997D1E5725D2}"/>
    <cellStyle name="_FFF_New Form10_2_НИК-09" xfId="91" xr:uid="{6EE0BD31-0FB6-432D-9BC1-2C5C11F285FA}"/>
    <cellStyle name="_FFF_New Form10_2_раст.-факт" xfId="92" xr:uid="{70208F35-B058-45A0-AF96-C5ABA27966EE}"/>
    <cellStyle name="_FFF_New Form10_2_Растениеводство форма( АГМ)" xfId="93" xr:uid="{DD8E8E3C-7EE0-4665-A984-437D23AD2938}"/>
    <cellStyle name="_FFF_New Form10_2_Свод по Агрохоолдингу  (в т.ч КБН  )" xfId="94" xr:uid="{0CC6796E-8578-4F32-8CA9-1B9168EFB658}"/>
    <cellStyle name="_FFF_New Form10_2_ТК-2011 АГМ+транспорт" xfId="95" xr:uid="{61917CDA-1331-467A-8844-3CD42EEA99AE}"/>
    <cellStyle name="_FFF_New Form10_2_Форма по растениеводству (Акционеры) ИЛЧ" xfId="96" xr:uid="{D4F643E9-EBE6-43D8-A3DA-AD1BBBFCF089}"/>
    <cellStyle name="_FFF_Nsi" xfId="97" xr:uid="{C7611B19-8653-4DCB-989B-F1D32F3B8689}"/>
    <cellStyle name="_FFF_Nsi 1" xfId="98" xr:uid="{57564BFD-F777-4E9E-AF98-E650089A0EB1}"/>
    <cellStyle name="_FFF_Nsi 1_Копия Растениеводство форма(Акционеры)" xfId="99" xr:uid="{02121711-6766-47B3-A4E8-FD2592959ECE}"/>
    <cellStyle name="_FFF_Nsi 1_М( ЗАР)" xfId="100" xr:uid="{8E3F3663-EBD4-48F8-B4F6-698428A03D65}"/>
    <cellStyle name="_FFF_Nsi 1_Модель АгроГард на 5 лет" xfId="101" xr:uid="{2A49004B-3465-48AB-820C-1F3124000D2E}"/>
    <cellStyle name="_FFF_Nsi 1_раст.-факт" xfId="102" xr:uid="{5979E7CA-B92F-40A5-A0E6-0FAB968477B1}"/>
    <cellStyle name="_FFF_Nsi 1_Растениеводство форма( АГМ)" xfId="103" xr:uid="{48B95D43-D637-4900-A8DA-56D6540D008F}"/>
    <cellStyle name="_FFF_Nsi 1_Свод по Агрохоолдингу  (в т.ч КБН  )" xfId="104" xr:uid="{6FEE64A9-DD75-4915-99BF-AC99183D5F36}"/>
    <cellStyle name="_FFF_Nsi 1_Форма по растениеводству (Акционеры) ИЛЧ" xfId="105" xr:uid="{8CE749D6-4D20-4248-95D6-4013FE0C25A4}"/>
    <cellStyle name="_FFF_Nsi 2" xfId="106" xr:uid="{567DCCF5-F4F8-4F6C-9B1C-6D60E2CC2066}"/>
    <cellStyle name="_FFF_Nsi 2_Копия Растениеводство форма(Акционеры)" xfId="107" xr:uid="{EA595B31-D3AB-4262-905F-099A4876C7D0}"/>
    <cellStyle name="_FFF_Nsi 2_М( ЗАР)" xfId="108" xr:uid="{2074911E-3730-4957-B4A4-DFB6CFE15F65}"/>
    <cellStyle name="_FFF_Nsi 2_Модель АгроГард на 5 лет" xfId="109" xr:uid="{79BAD079-5543-4C03-842F-90ED784D5D29}"/>
    <cellStyle name="_FFF_Nsi 2_раст.-факт" xfId="110" xr:uid="{399F26DC-D3E8-4995-ACB8-833C5A3BFE3E}"/>
    <cellStyle name="_FFF_Nsi 2_Растениеводство форма( АГМ)" xfId="111" xr:uid="{09027979-2063-4185-AF05-7BF06211EEFC}"/>
    <cellStyle name="_FFF_Nsi 2_Свод по Агрохоолдингу  (в т.ч КБН  )" xfId="112" xr:uid="{5D1E8E97-CD31-4362-9331-377A8E39BE60}"/>
    <cellStyle name="_FFF_Nsi 2_Форма по растениеводству (Акционеры) ИЛЧ" xfId="113" xr:uid="{F946DBE3-E5CF-4FEC-BA56-38AA0B55E520}"/>
    <cellStyle name="_FFF_Nsi 3" xfId="114" xr:uid="{A57A4383-BE68-4F2B-AD37-455B597F208E}"/>
    <cellStyle name="_FFF_Nsi 3_Копия Растениеводство форма(Акционеры)" xfId="115" xr:uid="{8CAE9676-4F9A-4E64-A58F-8F081B70BE52}"/>
    <cellStyle name="_FFF_Nsi 3_М( ЗАР)" xfId="116" xr:uid="{C204B702-490F-4DB4-BC93-4DF0DEC64D40}"/>
    <cellStyle name="_FFF_Nsi 3_Модель АгроГард на 5 лет" xfId="117" xr:uid="{10D9CF92-F7A2-4B1F-9BA5-E2550DB73D55}"/>
    <cellStyle name="_FFF_Nsi 3_раст.-факт" xfId="118" xr:uid="{5F5DED95-59D8-4009-96E7-BE1C078C2E97}"/>
    <cellStyle name="_FFF_Nsi 3_Растениеводство форма( АГМ)" xfId="119" xr:uid="{E344695A-9369-46C0-AD37-820BCDA74E3F}"/>
    <cellStyle name="_FFF_Nsi 3_Свод по Агрохоолдингу  (в т.ч КБН  )" xfId="120" xr:uid="{33B45BA3-D5BD-412E-949F-ECE3E2AE1FB0}"/>
    <cellStyle name="_FFF_Nsi 3_Форма по растениеводству (Акционеры) ИЛЧ" xfId="121" xr:uid="{9DCB3BBA-636F-4190-899F-13E858A118C9}"/>
    <cellStyle name="_FFF_Nsi_1" xfId="122" xr:uid="{D4AFD423-D2A9-4F6F-81C0-50817E363567}"/>
    <cellStyle name="_FFF_Nsi_1 1" xfId="123" xr:uid="{D69CE338-13C5-4A87-95AE-19B2255BBAFD}"/>
    <cellStyle name="_FFF_Nsi_1 1_Копия Растениеводство форма(Акционеры)" xfId="124" xr:uid="{D84ACE42-49E2-4EBE-92D6-87C81862711B}"/>
    <cellStyle name="_FFF_Nsi_1 1_М( ЗАР)" xfId="125" xr:uid="{93B51E24-74B1-4603-A7B0-B70287806B53}"/>
    <cellStyle name="_FFF_Nsi_1 1_Модель АгроГард на 5 лет" xfId="126" xr:uid="{33798938-FE44-414B-970D-68346CC9567F}"/>
    <cellStyle name="_FFF_Nsi_1 1_раст.-факт" xfId="127" xr:uid="{6FB2FFA0-7D26-4D7C-BBDF-EF3D043A6D36}"/>
    <cellStyle name="_FFF_Nsi_1 1_Растениеводство форма( АГМ)" xfId="128" xr:uid="{FEC93ECD-D4B6-4F7A-84B8-AAF135C41E82}"/>
    <cellStyle name="_FFF_Nsi_1 1_Свод по Агрохоолдингу  (в т.ч КБН  )" xfId="129" xr:uid="{79B2F3B0-22E7-4C84-BF1F-DCB78A56284B}"/>
    <cellStyle name="_FFF_Nsi_1 1_Форма по растениеводству (Акционеры) ИЛЧ" xfId="130" xr:uid="{1FF24176-1BCD-46AC-B449-A97B0D6F3B86}"/>
    <cellStyle name="_FFF_Nsi_1 2" xfId="131" xr:uid="{51045139-41F8-46A7-9076-4C6448D4F6E1}"/>
    <cellStyle name="_FFF_Nsi_1 2_Копия Растениеводство форма(Акционеры)" xfId="132" xr:uid="{DE359AF0-ECE6-4834-9CF7-9A84F9DB9FCB}"/>
    <cellStyle name="_FFF_Nsi_1 2_М( ЗАР)" xfId="133" xr:uid="{B6A7E966-7D5E-4D94-8D3B-90B727BF7788}"/>
    <cellStyle name="_FFF_Nsi_1 2_Модель АгроГард на 5 лет" xfId="134" xr:uid="{C634CB1F-6A55-4022-973D-A31DC82174E2}"/>
    <cellStyle name="_FFF_Nsi_1 2_раст.-факт" xfId="135" xr:uid="{E236FBC2-541D-4A02-A59E-938040D0F7D3}"/>
    <cellStyle name="_FFF_Nsi_1 2_Растениеводство форма( АГМ)" xfId="136" xr:uid="{CC7E641D-DED5-456E-89E5-F25853AC1DD6}"/>
    <cellStyle name="_FFF_Nsi_1 2_Свод по Агрохоолдингу  (в т.ч КБН  )" xfId="137" xr:uid="{AB1F3A64-8D99-496F-AD74-FBCD4DBD7581}"/>
    <cellStyle name="_FFF_Nsi_1 2_Форма по растениеводству (Акционеры) ИЛЧ" xfId="138" xr:uid="{2F91E31B-7574-4C06-8DB3-13E9142F153F}"/>
    <cellStyle name="_FFF_Nsi_1 3" xfId="139" xr:uid="{2A61D37F-5A45-47E0-8C44-442470A49A03}"/>
    <cellStyle name="_FFF_Nsi_1 3_Копия Растениеводство форма(Акционеры)" xfId="140" xr:uid="{E28127F0-D3CA-451F-8820-7A60CAB02CDF}"/>
    <cellStyle name="_FFF_Nsi_1 3_М( ЗАР)" xfId="141" xr:uid="{A6265512-0917-49BD-95FE-15ADDEEFC880}"/>
    <cellStyle name="_FFF_Nsi_1 3_Модель АгроГард на 5 лет" xfId="142" xr:uid="{0EDC737B-6CE6-4D11-9601-76F22BB5E130}"/>
    <cellStyle name="_FFF_Nsi_1 3_раст.-факт" xfId="143" xr:uid="{790BADFA-838A-45CC-947E-944DF9706179}"/>
    <cellStyle name="_FFF_Nsi_1 3_Растениеводство форма( АГМ)" xfId="144" xr:uid="{86C78C10-C369-4AC0-B854-F7EA229DA442}"/>
    <cellStyle name="_FFF_Nsi_1 3_Свод по Агрохоолдингу  (в т.ч КБН  )" xfId="145" xr:uid="{DB5CCD50-A892-4710-B83A-0BC80DF33CAB}"/>
    <cellStyle name="_FFF_Nsi_1 3_Форма по растениеводству (Акционеры) ИЛЧ" xfId="146" xr:uid="{C9FAAF45-3024-487C-B48B-7CDE3D89A116}"/>
    <cellStyle name="_FFF_Nsi_1_АГМ" xfId="147" xr:uid="{4D58EE8F-EB25-43B5-83F5-A71DABBA01FD}"/>
    <cellStyle name="_FFF_Nsi_1_Копия Растениеводство форма(Акционеры)" xfId="148" xr:uid="{070AAAD5-7E2A-43EA-92EB-14CA9BE2D141}"/>
    <cellStyle name="_FFF_Nsi_1_М( ЗАР)" xfId="149" xr:uid="{AAA8F453-E914-49BC-84B0-5C45E165E8D6}"/>
    <cellStyle name="_FFF_Nsi_1_Модель АгроГард на 5 лет" xfId="150" xr:uid="{85F2F0CA-F1DF-4D3E-B26D-5847B9C5AAD5}"/>
    <cellStyle name="_FFF_Nsi_1_НИК-09" xfId="151" xr:uid="{1A0F3D9D-B982-4FF7-B377-DA95F70FF208}"/>
    <cellStyle name="_FFF_Nsi_1_раст.-факт" xfId="152" xr:uid="{37ADBA1D-B346-49BE-A014-7ADA5CC8E783}"/>
    <cellStyle name="_FFF_Nsi_1_Растениеводство форма( АГМ)" xfId="153" xr:uid="{50262192-4AB9-49A3-BF7D-E2428004FCCD}"/>
    <cellStyle name="_FFF_Nsi_1_Свод по Агрохоолдингу  (в т.ч КБН  )" xfId="154" xr:uid="{0EBFF178-4E6A-4BF0-9FA7-5344E2306348}"/>
    <cellStyle name="_FFF_Nsi_1_ТК-2011 АГМ+транспорт" xfId="155" xr:uid="{83B03DC8-1AB6-4837-8C29-A67EA21E33F8}"/>
    <cellStyle name="_FFF_Nsi_1_Форма по растениеводству (Акционеры) ИЛЧ" xfId="156" xr:uid="{B9BFFAAA-2536-40A3-AE52-653827EA6089}"/>
    <cellStyle name="_FFF_Nsi_139" xfId="157" xr:uid="{2294DE95-EE8D-412D-96FE-6368A12610C3}"/>
    <cellStyle name="_FFF_Nsi_139 1" xfId="158" xr:uid="{57919340-9E3F-45ED-995B-CE3846DAE9D7}"/>
    <cellStyle name="_FFF_Nsi_139 1_Копия Растениеводство форма(Акционеры)" xfId="159" xr:uid="{DFC4A9CF-FC07-4C03-B54F-486E6811E7A2}"/>
    <cellStyle name="_FFF_Nsi_139 1_М( ЗАР)" xfId="160" xr:uid="{3A8E5867-2E62-4CF3-A125-CC71170000A1}"/>
    <cellStyle name="_FFF_Nsi_139 1_Модель АгроГард на 5 лет" xfId="161" xr:uid="{DB508BFF-B58F-4581-B2B5-120A82554633}"/>
    <cellStyle name="_FFF_Nsi_139 1_раст.-факт" xfId="162" xr:uid="{CB6417A5-CCC6-45B1-A0FA-261982DC0E92}"/>
    <cellStyle name="_FFF_Nsi_139 1_Растениеводство форма( АГМ)" xfId="163" xr:uid="{CBB8A403-0E7E-4794-94CC-935F65B27443}"/>
    <cellStyle name="_FFF_Nsi_139 1_Свод по Агрохоолдингу  (в т.ч КБН  )" xfId="164" xr:uid="{09562AD1-895D-4D99-B878-D8B819B9C5F9}"/>
    <cellStyle name="_FFF_Nsi_139 1_Форма по растениеводству (Акционеры) ИЛЧ" xfId="165" xr:uid="{3D453D70-E6CA-4D8F-AD27-41D4561A149D}"/>
    <cellStyle name="_FFF_Nsi_139 2" xfId="166" xr:uid="{FF2CC145-4C70-49E6-BA1B-0B4799FA8FB5}"/>
    <cellStyle name="_FFF_Nsi_139 2_Копия Растениеводство форма(Акционеры)" xfId="167" xr:uid="{38A937E6-4A70-448C-9B38-9270EEE21FAB}"/>
    <cellStyle name="_FFF_Nsi_139 2_М( ЗАР)" xfId="168" xr:uid="{93702F75-07F5-4F9D-BBDC-09E085F88317}"/>
    <cellStyle name="_FFF_Nsi_139 2_Модель АгроГард на 5 лет" xfId="169" xr:uid="{9D60DFB3-F832-4B95-B803-1C579736D25F}"/>
    <cellStyle name="_FFF_Nsi_139 2_раст.-факт" xfId="170" xr:uid="{7DB88A34-FF62-4069-BF26-FBD27881BBF8}"/>
    <cellStyle name="_FFF_Nsi_139 2_Растениеводство форма( АГМ)" xfId="171" xr:uid="{F80DCC48-7872-4F67-AABE-20A0E4DDB6F3}"/>
    <cellStyle name="_FFF_Nsi_139 2_Свод по Агрохоолдингу  (в т.ч КБН  )" xfId="172" xr:uid="{3046F671-5A1F-476A-85A1-C166C202A163}"/>
    <cellStyle name="_FFF_Nsi_139 2_Форма по растениеводству (Акционеры) ИЛЧ" xfId="173" xr:uid="{AE415911-978D-4722-8DDD-00762659343F}"/>
    <cellStyle name="_FFF_Nsi_139 3" xfId="174" xr:uid="{378E20FF-D80E-421D-9329-58047DDAF910}"/>
    <cellStyle name="_FFF_Nsi_139 3_Копия Растениеводство форма(Акционеры)" xfId="175" xr:uid="{1072F504-C4DD-4A23-8BBE-92974D03ACAB}"/>
    <cellStyle name="_FFF_Nsi_139 3_М( ЗАР)" xfId="176" xr:uid="{AD586A59-6359-4135-84B3-D6B698DACBEE}"/>
    <cellStyle name="_FFF_Nsi_139 3_Модель АгроГард на 5 лет" xfId="177" xr:uid="{EA5D9A49-60BB-412E-93D2-1898B839ED33}"/>
    <cellStyle name="_FFF_Nsi_139 3_раст.-факт" xfId="178" xr:uid="{5E6F7F73-4B7E-4FA5-8ED2-4406F73E8C08}"/>
    <cellStyle name="_FFF_Nsi_139 3_Растениеводство форма( АГМ)" xfId="179" xr:uid="{FD7CD98E-A557-4581-B3C5-E21C54047AF8}"/>
    <cellStyle name="_FFF_Nsi_139 3_Свод по Агрохоолдингу  (в т.ч КБН  )" xfId="180" xr:uid="{230CA67C-3FB0-41D2-B4CE-272F7BF55A4A}"/>
    <cellStyle name="_FFF_Nsi_139 3_Форма по растениеводству (Акционеры) ИЛЧ" xfId="181" xr:uid="{6DD53F79-DD68-4239-AF7E-BE4BC78B2207}"/>
    <cellStyle name="_FFF_Nsi_139_АГМ" xfId="182" xr:uid="{9515A56C-6F6A-466C-8BE3-62462A59F76C}"/>
    <cellStyle name="_FFF_Nsi_139_Копия Растениеводство форма(Акционеры)" xfId="183" xr:uid="{DEEE8301-C2C5-441B-B774-1263578DC5AA}"/>
    <cellStyle name="_FFF_Nsi_139_М( ЗАР)" xfId="184" xr:uid="{32CE23D7-F113-4342-AA86-314785587B52}"/>
    <cellStyle name="_FFF_Nsi_139_Модель АгроГард на 5 лет" xfId="185" xr:uid="{65BF50BC-2734-4273-8BB4-DB023B193B58}"/>
    <cellStyle name="_FFF_Nsi_139_НИК-09" xfId="186" xr:uid="{C0E3FDA6-D7F5-4C5F-9064-2897561CA244}"/>
    <cellStyle name="_FFF_Nsi_139_раст.-факт" xfId="187" xr:uid="{470B17C8-601B-4114-BB93-CA552DA22C32}"/>
    <cellStyle name="_FFF_Nsi_139_Растениеводство форма( АГМ)" xfId="188" xr:uid="{2544C3CF-2757-4FF4-A8BE-3364DE2568C8}"/>
    <cellStyle name="_FFF_Nsi_139_Свод по Агрохоолдингу  (в т.ч КБН  )" xfId="189" xr:uid="{59F8E262-4C7C-4912-B5C3-38810825024E}"/>
    <cellStyle name="_FFF_Nsi_139_ТК-2011 АГМ+транспорт" xfId="190" xr:uid="{0A98FEB6-9843-4052-86BF-6C3B2321B9E2}"/>
    <cellStyle name="_FFF_Nsi_139_Форма по растениеводству (Акционеры) ИЛЧ" xfId="191" xr:uid="{1D054222-8E5C-4D92-809B-2B93011EADF2}"/>
    <cellStyle name="_FFF_Nsi_140" xfId="192" xr:uid="{57F03A3F-004E-40F9-B049-65D575AD5563}"/>
    <cellStyle name="_FFF_Nsi_140 1" xfId="193" xr:uid="{2DB0F280-068B-49E6-ABA7-2786AFD99F5A}"/>
    <cellStyle name="_FFF_Nsi_140 1_Копия Растениеводство форма(Акционеры)" xfId="194" xr:uid="{6E341D2A-836E-42DE-AE43-00842BF68DDC}"/>
    <cellStyle name="_FFF_Nsi_140 1_М( ЗАР)" xfId="195" xr:uid="{0C052CBB-66D1-4C7B-9EB8-4219F1869C6B}"/>
    <cellStyle name="_FFF_Nsi_140 1_Модель АгроГард на 5 лет" xfId="196" xr:uid="{0EBE2D02-37B6-49AF-B1A0-D155A605B544}"/>
    <cellStyle name="_FFF_Nsi_140 1_раст.-факт" xfId="197" xr:uid="{A1CCA243-0B3D-45AF-9AE2-269B5EC5F668}"/>
    <cellStyle name="_FFF_Nsi_140 1_Растениеводство форма( АГМ)" xfId="198" xr:uid="{397C6EA5-0289-4D5F-9C0C-B9673142E2FB}"/>
    <cellStyle name="_FFF_Nsi_140 1_Свод по Агрохоолдингу  (в т.ч КБН  )" xfId="199" xr:uid="{7B2DAB2B-CD77-4D64-883D-7AD67045069C}"/>
    <cellStyle name="_FFF_Nsi_140 1_Форма по растениеводству (Акционеры) ИЛЧ" xfId="200" xr:uid="{F55AC5A2-5EE9-48D8-B171-F4E84FE8416D}"/>
    <cellStyle name="_FFF_Nsi_140 2" xfId="201" xr:uid="{1D006BE3-7D4D-42D2-9101-3AFDC20AFE5E}"/>
    <cellStyle name="_FFF_Nsi_140 2_Копия Растениеводство форма(Акционеры)" xfId="202" xr:uid="{8E1022F2-4B75-4A5E-8ECE-EF66A34DC9B9}"/>
    <cellStyle name="_FFF_Nsi_140 2_М( ЗАР)" xfId="203" xr:uid="{00F9604A-532D-4805-A067-74ADBB80A674}"/>
    <cellStyle name="_FFF_Nsi_140 2_Модель АгроГард на 5 лет" xfId="204" xr:uid="{F21FBCA6-8570-4FD6-B16E-E850A065DC0C}"/>
    <cellStyle name="_FFF_Nsi_140 2_раст.-факт" xfId="205" xr:uid="{7E5C75FC-D2F7-4EB9-9F02-540DB64B62DF}"/>
    <cellStyle name="_FFF_Nsi_140 2_Растениеводство форма( АГМ)" xfId="206" xr:uid="{78F6865C-5548-4B44-B023-92F7A473E19D}"/>
    <cellStyle name="_FFF_Nsi_140 2_Свод по Агрохоолдингу  (в т.ч КБН  )" xfId="207" xr:uid="{4DCC4B4D-FF48-43A0-8546-077C99013066}"/>
    <cellStyle name="_FFF_Nsi_140 2_Форма по растениеводству (Акционеры) ИЛЧ" xfId="208" xr:uid="{5AD68D8B-3536-48BE-A95F-84A46BE41A72}"/>
    <cellStyle name="_FFF_Nsi_140 3" xfId="209" xr:uid="{B027EBD5-8FFC-4128-94D4-00B788B125DB}"/>
    <cellStyle name="_FFF_Nsi_140 3_Копия Растениеводство форма(Акционеры)" xfId="210" xr:uid="{18E8C1FA-5CCB-4AD3-8E02-10CEA89DE372}"/>
    <cellStyle name="_FFF_Nsi_140 3_М( ЗАР)" xfId="211" xr:uid="{01846B1F-544B-4034-BD20-87E3F7083676}"/>
    <cellStyle name="_FFF_Nsi_140 3_Модель АгроГард на 5 лет" xfId="212" xr:uid="{29230E8F-0F19-4F37-A784-622225C1E6FE}"/>
    <cellStyle name="_FFF_Nsi_140 3_раст.-факт" xfId="213" xr:uid="{F4737A87-165E-4927-96EB-D27010C26890}"/>
    <cellStyle name="_FFF_Nsi_140 3_Растениеводство форма( АГМ)" xfId="214" xr:uid="{580CD216-D12B-4BD6-89D7-F2FAB3AFA140}"/>
    <cellStyle name="_FFF_Nsi_140 3_Свод по Агрохоолдингу  (в т.ч КБН  )" xfId="215" xr:uid="{64796EC7-CE9D-4BCC-A837-5408AC2D6F6F}"/>
    <cellStyle name="_FFF_Nsi_140 3_Форма по растениеводству (Акционеры) ИЛЧ" xfId="216" xr:uid="{9007D1AD-6A93-404B-9E3D-A4BCD2FEADE2}"/>
    <cellStyle name="_FFF_Nsi_140(Зах)" xfId="217" xr:uid="{122AAB0E-066C-433C-B6B6-F840431D122A}"/>
    <cellStyle name="_FFF_Nsi_140(Зах) 1" xfId="218" xr:uid="{A60D3CFB-287F-40F5-BDDB-9B7C18F505D3}"/>
    <cellStyle name="_FFF_Nsi_140(Зах) 1_Копия Растениеводство форма(Акционеры)" xfId="219" xr:uid="{269C65F1-9C7E-4FD8-B1EF-190A84E214F7}"/>
    <cellStyle name="_FFF_Nsi_140(Зах) 1_М( ЗАР)" xfId="220" xr:uid="{21239D86-EFD5-4ECA-B282-7D7EF9978AB1}"/>
    <cellStyle name="_FFF_Nsi_140(Зах) 1_Модель АгроГард на 5 лет" xfId="221" xr:uid="{AA077E23-FB6F-4BC2-94BC-36A36C73C383}"/>
    <cellStyle name="_FFF_Nsi_140(Зах) 1_раст.-факт" xfId="222" xr:uid="{58248D54-B11B-48A1-A859-4290C0E402BF}"/>
    <cellStyle name="_FFF_Nsi_140(Зах) 1_Растениеводство форма( АГМ)" xfId="223" xr:uid="{2F7E9B37-F3CD-4077-B6E0-508A7965AF11}"/>
    <cellStyle name="_FFF_Nsi_140(Зах) 1_Свод по Агрохоолдингу  (в т.ч КБН  )" xfId="224" xr:uid="{8E9BE135-C5AA-40EA-858E-08196E59DBA0}"/>
    <cellStyle name="_FFF_Nsi_140(Зах) 1_Форма по растениеводству (Акционеры) ИЛЧ" xfId="225" xr:uid="{52933C91-CEA7-4FA9-95C3-69949FC7057A}"/>
    <cellStyle name="_FFF_Nsi_140(Зах) 2" xfId="226" xr:uid="{616A029C-36F2-41F2-A525-9D32DED6FCE4}"/>
    <cellStyle name="_FFF_Nsi_140(Зах) 2_Копия Растениеводство форма(Акционеры)" xfId="227" xr:uid="{88F97619-40BF-4221-9F62-9E03DA235F3F}"/>
    <cellStyle name="_FFF_Nsi_140(Зах) 2_М( ЗАР)" xfId="228" xr:uid="{1874809E-7D24-4327-AA8A-0225EC2AE55F}"/>
    <cellStyle name="_FFF_Nsi_140(Зах) 2_Модель АгроГард на 5 лет" xfId="229" xr:uid="{0A653F3C-81B7-4708-9336-FFDAAEA0F72E}"/>
    <cellStyle name="_FFF_Nsi_140(Зах) 2_раст.-факт" xfId="230" xr:uid="{17DCC5B8-D480-4C18-8664-85D612A7B901}"/>
    <cellStyle name="_FFF_Nsi_140(Зах) 2_Растениеводство форма( АГМ)" xfId="231" xr:uid="{B88B5665-B6CE-4719-BE29-2BD690B4D373}"/>
    <cellStyle name="_FFF_Nsi_140(Зах) 2_Свод по Агрохоолдингу  (в т.ч КБН  )" xfId="232" xr:uid="{4A83744C-BF82-4524-8102-0FBC252FD24E}"/>
    <cellStyle name="_FFF_Nsi_140(Зах) 2_Форма по растениеводству (Акционеры) ИЛЧ" xfId="233" xr:uid="{D5DC1B86-BEB4-4A3F-A373-AAC3F28087F9}"/>
    <cellStyle name="_FFF_Nsi_140(Зах) 3" xfId="234" xr:uid="{E87C6C09-0697-4800-9FA4-D5FAA91B53F3}"/>
    <cellStyle name="_FFF_Nsi_140(Зах) 3_Копия Растениеводство форма(Акционеры)" xfId="235" xr:uid="{E8F15691-A74F-452A-811F-DBE6B4E93A2D}"/>
    <cellStyle name="_FFF_Nsi_140(Зах) 3_М( ЗАР)" xfId="236" xr:uid="{6331FDBB-2273-4B23-9038-83C000D9F1C9}"/>
    <cellStyle name="_FFF_Nsi_140(Зах) 3_Модель АгроГард на 5 лет" xfId="237" xr:uid="{9994B06F-C2C0-44FE-BF5A-1456F5ED295B}"/>
    <cellStyle name="_FFF_Nsi_140(Зах) 3_раст.-факт" xfId="238" xr:uid="{A21A2963-3588-4B7A-A4F7-C745711DA9BA}"/>
    <cellStyle name="_FFF_Nsi_140(Зах) 3_Растениеводство форма( АГМ)" xfId="239" xr:uid="{F51B118F-972F-4ABF-AC06-FEC3FF26F5C8}"/>
    <cellStyle name="_FFF_Nsi_140(Зах) 3_Свод по Агрохоолдингу  (в т.ч КБН  )" xfId="240" xr:uid="{BEAF24D0-95E6-427C-9220-15AA79C13AC5}"/>
    <cellStyle name="_FFF_Nsi_140(Зах) 3_Форма по растениеводству (Акционеры) ИЛЧ" xfId="241" xr:uid="{A92A2A6C-2EFC-4594-861F-3F0D9A12EFA0}"/>
    <cellStyle name="_FFF_Nsi_140(Зах)_АГМ" xfId="242" xr:uid="{2026F38D-39ED-400D-A525-311A4188854F}"/>
    <cellStyle name="_FFF_Nsi_140(Зах)_Копия Растениеводство форма(Акционеры)" xfId="243" xr:uid="{3EDBD7BC-D34C-4B54-9054-26E29669A2AE}"/>
    <cellStyle name="_FFF_Nsi_140(Зах)_М( ЗАР)" xfId="244" xr:uid="{01CA94D9-981D-4720-B6A5-597268F24561}"/>
    <cellStyle name="_FFF_Nsi_140(Зах)_Модель АгроГард на 5 лет" xfId="245" xr:uid="{06D21E3E-AAFF-41FF-B1F5-6D013D78E77E}"/>
    <cellStyle name="_FFF_Nsi_140(Зах)_НИК-09" xfId="246" xr:uid="{18F0D4A9-6F9E-4AD1-8C2E-FB13998B27CF}"/>
    <cellStyle name="_FFF_Nsi_140(Зах)_раст.-факт" xfId="247" xr:uid="{815194E0-3272-4211-8963-4E35A760D665}"/>
    <cellStyle name="_FFF_Nsi_140(Зах)_Растениеводство форма( АГМ)" xfId="248" xr:uid="{08C4E53F-B712-4427-90B0-AFD35B5ADC4A}"/>
    <cellStyle name="_FFF_Nsi_140(Зах)_Свод по Агрохоолдингу  (в т.ч КБН  )" xfId="249" xr:uid="{B81A98E0-C900-4508-9466-36DA8B4D795A}"/>
    <cellStyle name="_FFF_Nsi_140(Зах)_ТК-2011 АГМ+транспорт" xfId="250" xr:uid="{57B368CA-2BDB-403F-941A-F97B26817606}"/>
    <cellStyle name="_FFF_Nsi_140(Зах)_Форма по растениеводству (Акционеры) ИЛЧ" xfId="251" xr:uid="{BA1811FA-1462-40BC-B1D2-CDEA7EB3B57E}"/>
    <cellStyle name="_FFF_Nsi_140_mod" xfId="252" xr:uid="{9C98B568-390E-4ED5-BE1D-BD1FAC1E58B8}"/>
    <cellStyle name="_FFF_Nsi_140_mod 1" xfId="253" xr:uid="{74592851-DA5E-4911-A1D2-65DD4F08EF8A}"/>
    <cellStyle name="_FFF_Nsi_140_mod 1_Копия Растениеводство форма(Акционеры)" xfId="254" xr:uid="{1B471664-E52E-4C6A-9F5C-CFB439A87007}"/>
    <cellStyle name="_FFF_Nsi_140_mod 1_М( ЗАР)" xfId="255" xr:uid="{99CF4BFD-06E5-4787-B44E-FDAE371B4B7D}"/>
    <cellStyle name="_FFF_Nsi_140_mod 1_Модель АгроГард на 5 лет" xfId="256" xr:uid="{ED55B3CC-EC89-4CD6-94FB-28C503688E5C}"/>
    <cellStyle name="_FFF_Nsi_140_mod 1_раст.-факт" xfId="257" xr:uid="{92FD2D0A-7B7A-4224-B82F-2B575139EF2C}"/>
    <cellStyle name="_FFF_Nsi_140_mod 1_Растениеводство форма( АГМ)" xfId="258" xr:uid="{DE140E22-60E0-42F4-A297-191D082A4187}"/>
    <cellStyle name="_FFF_Nsi_140_mod 1_Свод по Агрохоолдингу  (в т.ч КБН  )" xfId="259" xr:uid="{574044B6-BE69-407E-A23E-ACEB6AABBA03}"/>
    <cellStyle name="_FFF_Nsi_140_mod 1_Форма по растениеводству (Акционеры) ИЛЧ" xfId="260" xr:uid="{1CEFEC36-DB8D-47B0-9B40-0BB0BDDACDA3}"/>
    <cellStyle name="_FFF_Nsi_140_mod 2" xfId="261" xr:uid="{0596BEAD-5555-4366-AC10-461BDFC5036D}"/>
    <cellStyle name="_FFF_Nsi_140_mod 2_Копия Растениеводство форма(Акционеры)" xfId="262" xr:uid="{EAEFFE79-2EF2-4E27-BF05-610DE95990C9}"/>
    <cellStyle name="_FFF_Nsi_140_mod 2_М( ЗАР)" xfId="263" xr:uid="{E52F6956-2624-4DF5-AE29-B9AD60B175EA}"/>
    <cellStyle name="_FFF_Nsi_140_mod 2_Модель АгроГард на 5 лет" xfId="264" xr:uid="{110214DD-FB8E-4EB1-B259-94A34FC9F32B}"/>
    <cellStyle name="_FFF_Nsi_140_mod 2_раст.-факт" xfId="265" xr:uid="{572C0FBD-0823-4234-A696-AD1DD7122FFE}"/>
    <cellStyle name="_FFF_Nsi_140_mod 2_Растениеводство форма( АГМ)" xfId="266" xr:uid="{9FEBCC2F-F2FC-44E4-AB78-01F183F80E16}"/>
    <cellStyle name="_FFF_Nsi_140_mod 2_Свод по Агрохоолдингу  (в т.ч КБН  )" xfId="267" xr:uid="{8B7880EE-1546-4757-9BCA-3B9D4329FAEB}"/>
    <cellStyle name="_FFF_Nsi_140_mod 2_Форма по растениеводству (Акционеры) ИЛЧ" xfId="268" xr:uid="{76CAA3CD-27EB-4528-8644-8C90AC2696E1}"/>
    <cellStyle name="_FFF_Nsi_140_mod 3" xfId="269" xr:uid="{47BE89F5-C7DE-4B4D-9A7E-ADADCB8B8FF2}"/>
    <cellStyle name="_FFF_Nsi_140_mod 3_Копия Растениеводство форма(Акционеры)" xfId="270" xr:uid="{25AC81F0-3D73-45A6-8FAF-A4EA5D5A06C8}"/>
    <cellStyle name="_FFF_Nsi_140_mod 3_М( ЗАР)" xfId="271" xr:uid="{1FCDF27A-2C04-4307-80EA-D3A41CFD390D}"/>
    <cellStyle name="_FFF_Nsi_140_mod 3_Модель АгроГард на 5 лет" xfId="272" xr:uid="{4B135D60-67BE-4700-8E24-12A186EC0B45}"/>
    <cellStyle name="_FFF_Nsi_140_mod 3_раст.-факт" xfId="273" xr:uid="{F42DC418-413E-4285-B11D-FA83F223CB4E}"/>
    <cellStyle name="_FFF_Nsi_140_mod 3_Растениеводство форма( АГМ)" xfId="274" xr:uid="{7CB52541-3232-4DA9-86F5-DB02F7FBF388}"/>
    <cellStyle name="_FFF_Nsi_140_mod 3_Свод по Агрохоолдингу  (в т.ч КБН  )" xfId="275" xr:uid="{50FACDEE-73C4-47F3-BD6C-B75DB7F130FB}"/>
    <cellStyle name="_FFF_Nsi_140_mod 3_Форма по растениеводству (Акционеры) ИЛЧ" xfId="276" xr:uid="{7FC17723-A3CC-4197-9D34-A7C7E52A7029}"/>
    <cellStyle name="_FFF_Nsi_140_mod_АГМ" xfId="277" xr:uid="{6585E96B-B44A-49DD-965A-21D88FC7857D}"/>
    <cellStyle name="_FFF_Nsi_140_mod_Копия Растениеводство форма(Акционеры)" xfId="278" xr:uid="{00666F8B-8340-40FB-8EED-654FADC4626F}"/>
    <cellStyle name="_FFF_Nsi_140_mod_М( ЗАР)" xfId="279" xr:uid="{F54C1A17-5FCB-4DD1-A2A0-2CBABB9CCD08}"/>
    <cellStyle name="_FFF_Nsi_140_mod_Модель АгроГард на 5 лет" xfId="280" xr:uid="{A13F17B7-66A0-4F18-A35A-C07EF24D6F13}"/>
    <cellStyle name="_FFF_Nsi_140_mod_НИК-09" xfId="281" xr:uid="{2421058B-0B0E-4C40-ACA4-888FD446DD7D}"/>
    <cellStyle name="_FFF_Nsi_140_mod_раст.-факт" xfId="282" xr:uid="{E89031E2-E07E-442C-B2DC-12B14E8FB900}"/>
    <cellStyle name="_FFF_Nsi_140_mod_Растениеводство форма( АГМ)" xfId="283" xr:uid="{0774C21E-B372-43A3-85E7-6662190209DF}"/>
    <cellStyle name="_FFF_Nsi_140_mod_Свод по Агрохоолдингу  (в т.ч КБН  )" xfId="284" xr:uid="{88BFDBAE-BD76-441A-98F9-B8D0652B59AF}"/>
    <cellStyle name="_FFF_Nsi_140_mod_ТК-2011 АГМ+транспорт" xfId="285" xr:uid="{F718538A-9517-4E29-ACEA-584B02CD92A3}"/>
    <cellStyle name="_FFF_Nsi_140_mod_Форма по растениеводству (Акционеры) ИЛЧ" xfId="286" xr:uid="{BF538331-B4AC-46D6-BE94-801CB4538CF1}"/>
    <cellStyle name="_FFF_Nsi_140_АГМ" xfId="287" xr:uid="{1955AB8E-4FAE-431F-AC4B-C93EE4028063}"/>
    <cellStyle name="_FFF_Nsi_140_Копия Растениеводство форма(Акционеры)" xfId="288" xr:uid="{1ED790EB-2FEC-4071-9622-417A4F4E59B0}"/>
    <cellStyle name="_FFF_Nsi_140_М( ЗАР)" xfId="289" xr:uid="{03835473-CC45-4801-BD22-B44642A18077}"/>
    <cellStyle name="_FFF_Nsi_140_Модель АгроГард на 5 лет" xfId="290" xr:uid="{8FEF4B85-D339-4E91-A8DB-BB739403A7DA}"/>
    <cellStyle name="_FFF_Nsi_140_НИК-09" xfId="291" xr:uid="{8B6F92EE-E12E-48C0-B110-65DD08A169C0}"/>
    <cellStyle name="_FFF_Nsi_140_раст.-факт" xfId="292" xr:uid="{AD0D4049-7FDB-43B4-87F1-5D528B65774A}"/>
    <cellStyle name="_FFF_Nsi_140_Растениеводство форма( АГМ)" xfId="293" xr:uid="{852FAFF2-2AAE-4EFE-AB45-4DD2AFE3525C}"/>
    <cellStyle name="_FFF_Nsi_140_Свод по Агрохоолдингу  (в т.ч КБН  )" xfId="294" xr:uid="{278478E1-2DD2-4587-B550-B63022EB5852}"/>
    <cellStyle name="_FFF_Nsi_140_ТК-2011 АГМ+транспорт" xfId="295" xr:uid="{7889B6D0-FBBD-4E37-AA8D-AE06D671136E}"/>
    <cellStyle name="_FFF_Nsi_140_Форма по растениеводству (Акционеры) ИЛЧ" xfId="296" xr:uid="{5B742622-BBD2-4A9E-81F4-5FF24851B07F}"/>
    <cellStyle name="_FFF_Nsi_АГМ" xfId="297" xr:uid="{7C760242-183C-45F8-A753-97FFA9DFE2DB}"/>
    <cellStyle name="_FFF_Nsi_Копия Растениеводство форма(Акционеры)" xfId="298" xr:uid="{D628DE00-400C-4D50-AB62-3056552B4939}"/>
    <cellStyle name="_FFF_Nsi_М( ЗАР)" xfId="299" xr:uid="{EC42AAE2-4B8A-4EF6-942F-BACE533A34AC}"/>
    <cellStyle name="_FFF_Nsi_Модель АгроГард на 5 лет" xfId="300" xr:uid="{78BFD676-A6A5-42BE-9EAC-082D06969BE2}"/>
    <cellStyle name="_FFF_Nsi_НИК-09" xfId="301" xr:uid="{8A367955-5866-4E77-8E15-C0D26E28627A}"/>
    <cellStyle name="_FFF_Nsi_раст.-факт" xfId="302" xr:uid="{3A792844-A6F2-466E-A3F2-3E95D04E3406}"/>
    <cellStyle name="_FFF_Nsi_Растениеводство форма( АГМ)" xfId="303" xr:uid="{AB0EECF7-D04C-4415-8F56-EA888C38AC33}"/>
    <cellStyle name="_FFF_Nsi_Свод по Агрохоолдингу  (в т.ч КБН  )" xfId="304" xr:uid="{E786EE05-6C83-4A7E-9ABB-CAF190B82F2E}"/>
    <cellStyle name="_FFF_Nsi_ТК-2011 АГМ+транспорт" xfId="305" xr:uid="{1D6ECBEE-E863-4E70-8CE9-2489FA0E336C}"/>
    <cellStyle name="_FFF_Nsi_Форма по растениеводству (Акционеры) ИЛЧ" xfId="306" xr:uid="{34990F8D-EF93-4395-888F-82986766736F}"/>
    <cellStyle name="_FFF_Summary" xfId="307" xr:uid="{82CC5771-EDD0-4800-B62F-258C768E057C}"/>
    <cellStyle name="_FFF_Summary 1" xfId="308" xr:uid="{3555EC5B-9DBA-4A9F-B076-B2A8FE4BF817}"/>
    <cellStyle name="_FFF_Summary 1_Копия Растениеводство форма(Акционеры)" xfId="309" xr:uid="{867FF30B-90BD-49B6-82CE-4636EEE0E0C7}"/>
    <cellStyle name="_FFF_Summary 1_М( ЗАР)" xfId="310" xr:uid="{73E9E23E-683A-4E1C-B72E-8F6F0C72BD09}"/>
    <cellStyle name="_FFF_Summary 1_Модель АгроГард на 5 лет" xfId="311" xr:uid="{F3C4B5D8-38DA-4281-87C2-D9ADC2DFE954}"/>
    <cellStyle name="_FFF_Summary 1_раст.-факт" xfId="312" xr:uid="{9BF14603-E01B-4D61-96D2-53B1C1B38220}"/>
    <cellStyle name="_FFF_Summary 1_Растениеводство форма( АГМ)" xfId="313" xr:uid="{188B0600-AC7E-4253-A674-BC01FA4F558D}"/>
    <cellStyle name="_FFF_Summary 1_Свод по Агрохоолдингу  (в т.ч КБН  )" xfId="314" xr:uid="{86599312-CC34-410F-9DA6-93088EE633AE}"/>
    <cellStyle name="_FFF_Summary 1_Форма по растениеводству (Акционеры) ИЛЧ" xfId="315" xr:uid="{F02C0CF3-D080-4C10-9B71-AE837870DFB9}"/>
    <cellStyle name="_FFF_Summary 2" xfId="316" xr:uid="{5C254746-C836-4474-B37D-F00714887D37}"/>
    <cellStyle name="_FFF_Summary 2_Копия Растениеводство форма(Акционеры)" xfId="317" xr:uid="{AF6A3390-E516-4A9E-B2AA-94AA031F6D79}"/>
    <cellStyle name="_FFF_Summary 2_М( ЗАР)" xfId="318" xr:uid="{F9ED2410-572B-4EFE-83B1-8244DE2537B6}"/>
    <cellStyle name="_FFF_Summary 2_Модель АгроГард на 5 лет" xfId="319" xr:uid="{B04848BE-6042-431B-8EA7-E46C27E74F4C}"/>
    <cellStyle name="_FFF_Summary 2_раст.-факт" xfId="320" xr:uid="{ADC1DC4C-57ED-424C-A2F0-CB249587F59B}"/>
    <cellStyle name="_FFF_Summary 2_Растениеводство форма( АГМ)" xfId="321" xr:uid="{FD3B0D4B-CD2B-4F36-AD4C-CD835FEE080E}"/>
    <cellStyle name="_FFF_Summary 2_Свод по Агрохоолдингу  (в т.ч КБН  )" xfId="322" xr:uid="{F33FBF09-2EE9-487C-9D8E-CF170B9D7360}"/>
    <cellStyle name="_FFF_Summary 2_Форма по растениеводству (Акционеры) ИЛЧ" xfId="323" xr:uid="{79BEA8A1-EB7D-4F4F-832D-42F93F9E0C97}"/>
    <cellStyle name="_FFF_Summary 3" xfId="324" xr:uid="{8D1F4C4D-A6DC-4609-9252-50C401CFA587}"/>
    <cellStyle name="_FFF_Summary 3_Копия Растениеводство форма(Акционеры)" xfId="325" xr:uid="{66DFD4B5-EB32-4D58-B4AA-EA767857EFB9}"/>
    <cellStyle name="_FFF_Summary 3_М( ЗАР)" xfId="326" xr:uid="{8062EC7A-9E80-43FB-B560-8C02F180B9CA}"/>
    <cellStyle name="_FFF_Summary 3_Модель АгроГард на 5 лет" xfId="327" xr:uid="{78ABB3CD-10B0-4F9D-B9E1-370EC17DFF5D}"/>
    <cellStyle name="_FFF_Summary 3_раст.-факт" xfId="328" xr:uid="{D2ADA632-7CFB-4691-B977-9DEB13D26E9B}"/>
    <cellStyle name="_FFF_Summary 3_Растениеводство форма( АГМ)" xfId="329" xr:uid="{86B93CE7-E444-4107-AD6F-D6698E17D388}"/>
    <cellStyle name="_FFF_Summary 3_Свод по Агрохоолдингу  (в т.ч КБН  )" xfId="330" xr:uid="{CC89FBF4-3544-470E-9317-A32F463C0FDF}"/>
    <cellStyle name="_FFF_Summary 3_Форма по растениеводству (Акционеры) ИЛЧ" xfId="331" xr:uid="{D953B74A-EC9C-46DB-A05F-CC2435ED7B37}"/>
    <cellStyle name="_FFF_Summary_АГМ" xfId="332" xr:uid="{DBF1AC82-3FCC-402F-B985-2478913C5EDE}"/>
    <cellStyle name="_FFF_Summary_Копия Растениеводство форма(Акционеры)" xfId="333" xr:uid="{E2361525-1A08-4FF1-9C21-F87B1B3D8C94}"/>
    <cellStyle name="_FFF_Summary_М( ЗАР)" xfId="334" xr:uid="{4888C8C8-947B-4497-820D-26C146A3EEC6}"/>
    <cellStyle name="_FFF_Summary_Модель АгроГард на 5 лет" xfId="335" xr:uid="{F01C4BFC-6BD0-4A7B-B46C-D2B17E4F86D9}"/>
    <cellStyle name="_FFF_Summary_НИК-09" xfId="336" xr:uid="{D2F14E41-2FAA-4A26-A600-0461C7753AC2}"/>
    <cellStyle name="_FFF_Summary_раст.-факт" xfId="337" xr:uid="{7616393C-CE36-4E9E-8B80-E97584A757BA}"/>
    <cellStyle name="_FFF_Summary_Растениеводство форма( АГМ)" xfId="338" xr:uid="{C2791D6A-D120-4E5B-933E-05F06FC449C7}"/>
    <cellStyle name="_FFF_Summary_Свод по Агрохоолдингу  (в т.ч КБН  )" xfId="339" xr:uid="{ABB058E7-E1F1-4745-814F-F0079F7F5476}"/>
    <cellStyle name="_FFF_Summary_ТК-2011 АГМ+транспорт" xfId="340" xr:uid="{B23F7B92-A31A-4E53-9E42-0019F46CDDFB}"/>
    <cellStyle name="_FFF_Summary_Форма по растениеводству (Акционеры) ИЛЧ" xfId="341" xr:uid="{BF9FFC99-F5CE-4CF9-8046-688DCADC93C5}"/>
    <cellStyle name="_FFF_Tax_form_1кв_3" xfId="342" xr:uid="{56B69B06-F5CE-4813-90E7-513E44F5949C}"/>
    <cellStyle name="_FFF_Tax_form_1кв_3 1" xfId="343" xr:uid="{D45D5912-8EEF-4AE2-908B-1248808BC229}"/>
    <cellStyle name="_FFF_Tax_form_1кв_3 1_Копия Растениеводство форма(Акционеры)" xfId="344" xr:uid="{529CA9C7-760F-4B62-9CB0-98BEBCFD31B6}"/>
    <cellStyle name="_FFF_Tax_form_1кв_3 1_М( ЗАР)" xfId="345" xr:uid="{4A1E786E-3C68-4053-8700-2F8E74DCE25D}"/>
    <cellStyle name="_FFF_Tax_form_1кв_3 1_Модель АгроГард на 5 лет" xfId="346" xr:uid="{FA57A42A-3939-499C-93C6-56F104AE3D6D}"/>
    <cellStyle name="_FFF_Tax_form_1кв_3 1_раст.-факт" xfId="347" xr:uid="{47B5CD81-C612-47A9-A64B-4209C002EC51}"/>
    <cellStyle name="_FFF_Tax_form_1кв_3 1_Растениеводство форма( АГМ)" xfId="348" xr:uid="{C4D57663-3D0C-4262-8B06-3FFF5BA4B3EB}"/>
    <cellStyle name="_FFF_Tax_form_1кв_3 1_Свод по Агрохоолдингу  (в т.ч КБН  )" xfId="349" xr:uid="{EA7D3F1E-D946-40C9-A8F2-560022577F42}"/>
    <cellStyle name="_FFF_Tax_form_1кв_3 1_Форма по растениеводству (Акционеры) ИЛЧ" xfId="350" xr:uid="{143906B4-6689-4F74-990B-A69BBFF6368F}"/>
    <cellStyle name="_FFF_Tax_form_1кв_3 2" xfId="351" xr:uid="{D2B401AA-0359-4126-B0CC-9F855606D225}"/>
    <cellStyle name="_FFF_Tax_form_1кв_3 2_Копия Растениеводство форма(Акционеры)" xfId="352" xr:uid="{293D02C8-8827-4EF1-96D8-499CF1AC79AD}"/>
    <cellStyle name="_FFF_Tax_form_1кв_3 2_М( ЗАР)" xfId="353" xr:uid="{7D1F7FBF-2A4C-4F84-9769-530AC4E955E8}"/>
    <cellStyle name="_FFF_Tax_form_1кв_3 2_Модель АгроГард на 5 лет" xfId="354" xr:uid="{C5DCB467-2357-49B7-9A8D-AD8161AC9416}"/>
    <cellStyle name="_FFF_Tax_form_1кв_3 2_раст.-факт" xfId="355" xr:uid="{9CC48C96-00FF-4E98-9D1E-F2FA3BC370AA}"/>
    <cellStyle name="_FFF_Tax_form_1кв_3 2_Растениеводство форма( АГМ)" xfId="356" xr:uid="{776BFF6C-3B91-4A69-A3CA-A508CB68E925}"/>
    <cellStyle name="_FFF_Tax_form_1кв_3 2_Свод по Агрохоолдингу  (в т.ч КБН  )" xfId="357" xr:uid="{119FCAC4-5DEC-435B-BB29-FE24707D79D0}"/>
    <cellStyle name="_FFF_Tax_form_1кв_3 2_Форма по растениеводству (Акционеры) ИЛЧ" xfId="358" xr:uid="{4E57D93F-39EE-48B5-B0A7-2734B9E3EB8F}"/>
    <cellStyle name="_FFF_Tax_form_1кв_3 3" xfId="359" xr:uid="{04C82729-745E-4792-B74C-CCA295605D7A}"/>
    <cellStyle name="_FFF_Tax_form_1кв_3 3_Копия Растениеводство форма(Акционеры)" xfId="360" xr:uid="{8D75AC37-9BE3-485B-AB72-558AD1261C95}"/>
    <cellStyle name="_FFF_Tax_form_1кв_3 3_М( ЗАР)" xfId="361" xr:uid="{C087124E-B786-457A-B548-E5EA8EA11591}"/>
    <cellStyle name="_FFF_Tax_form_1кв_3 3_Модель АгроГард на 5 лет" xfId="362" xr:uid="{D3E9B269-221F-4D5B-8233-BB0E93123813}"/>
    <cellStyle name="_FFF_Tax_form_1кв_3 3_раст.-факт" xfId="363" xr:uid="{68470E81-439F-4578-90E8-C71A9C0E4680}"/>
    <cellStyle name="_FFF_Tax_form_1кв_3 3_Растениеводство форма( АГМ)" xfId="364" xr:uid="{8772467D-C5CB-4E49-893E-051441A8C1E3}"/>
    <cellStyle name="_FFF_Tax_form_1кв_3 3_Свод по Агрохоолдингу  (в т.ч КБН  )" xfId="365" xr:uid="{E7F23E60-F0AE-42F7-B053-7A75E34CFDD7}"/>
    <cellStyle name="_FFF_Tax_form_1кв_3 3_Форма по растениеводству (Акционеры) ИЛЧ" xfId="366" xr:uid="{87D63ECE-1AA2-469C-AF50-7353D61CF3D3}"/>
    <cellStyle name="_FFF_Tax_form_1кв_3_АГМ" xfId="367" xr:uid="{1D990E6B-563C-4987-9523-F49E4FB63885}"/>
    <cellStyle name="_FFF_Tax_form_1кв_3_Копия Растениеводство форма(Акционеры)" xfId="368" xr:uid="{EDCFEC54-237E-4BC9-9C9A-1913125F96D2}"/>
    <cellStyle name="_FFF_Tax_form_1кв_3_М( ЗАР)" xfId="369" xr:uid="{A8E00513-127D-423E-B667-1795F98130EA}"/>
    <cellStyle name="_FFF_Tax_form_1кв_3_Модель АгроГард на 5 лет" xfId="370" xr:uid="{66A1971D-D999-4C7F-8EB3-7C72FBF37603}"/>
    <cellStyle name="_FFF_Tax_form_1кв_3_НИК-09" xfId="371" xr:uid="{A0A5EB97-E7A5-46F8-B546-5CCA65FDD7A9}"/>
    <cellStyle name="_FFF_Tax_form_1кв_3_раст.-факт" xfId="372" xr:uid="{29418A16-280C-413F-B42D-DD390231580C}"/>
    <cellStyle name="_FFF_Tax_form_1кв_3_Растениеводство форма( АГМ)" xfId="373" xr:uid="{440CF0C0-E9F6-414E-9BD0-0E45962DA7A2}"/>
    <cellStyle name="_FFF_Tax_form_1кв_3_Свод по Агрохоолдингу  (в т.ч КБН  )" xfId="374" xr:uid="{C732F8F9-4AAD-4277-95E7-CF859D664A8C}"/>
    <cellStyle name="_FFF_Tax_form_1кв_3_ТК-2011 АГМ+транспорт" xfId="375" xr:uid="{DC3A8B88-7D2B-4A67-9772-787D38D26910}"/>
    <cellStyle name="_FFF_Tax_form_1кв_3_Форма по растениеводству (Акционеры) ИЛЧ" xfId="376" xr:uid="{CC1DB656-BEAB-4A71-9730-BDEE9E86B75B}"/>
    <cellStyle name="_FFF_АГМ" xfId="377" xr:uid="{F9C5561F-A3A6-4D33-87C3-F2D75435A879}"/>
    <cellStyle name="_FFF_БКЭ" xfId="378" xr:uid="{6B840013-1C2E-4428-A821-54F5E7463C89}"/>
    <cellStyle name="_FFF_БКЭ 1" xfId="379" xr:uid="{659E8EB6-54ED-4233-99A2-FDF410B40E1F}"/>
    <cellStyle name="_FFF_БКЭ 1_Копия Растениеводство форма(Акционеры)" xfId="380" xr:uid="{210F2DB2-0128-4DC4-B947-575FAA21604E}"/>
    <cellStyle name="_FFF_БКЭ 1_М( ЗАР)" xfId="381" xr:uid="{89849612-F5CC-4184-8031-AF4777398C97}"/>
    <cellStyle name="_FFF_БКЭ 1_Модель АгроГард на 5 лет" xfId="382" xr:uid="{C630F3FF-F7A2-4CD2-844D-48F684A4E455}"/>
    <cellStyle name="_FFF_БКЭ 1_раст.-факт" xfId="383" xr:uid="{83927476-9B38-4235-AD8A-00A4167CB8D7}"/>
    <cellStyle name="_FFF_БКЭ 1_Растениеводство форма( АГМ)" xfId="384" xr:uid="{5F3CAFD2-88D4-4958-A3D1-EFFD1AF83B89}"/>
    <cellStyle name="_FFF_БКЭ 1_Свод по Агрохоолдингу  (в т.ч КБН  )" xfId="385" xr:uid="{D3B75E90-C4EA-43AE-AEBB-38BACC45FA1E}"/>
    <cellStyle name="_FFF_БКЭ 1_Форма по растениеводству (Акционеры) ИЛЧ" xfId="386" xr:uid="{4F9DFAE2-2D86-48B3-9788-768FD275E849}"/>
    <cellStyle name="_FFF_БКЭ 2" xfId="387" xr:uid="{64E53657-20C5-4525-AACE-36FF6EADCDD7}"/>
    <cellStyle name="_FFF_БКЭ 2_Копия Растениеводство форма(Акционеры)" xfId="388" xr:uid="{9E59A3DB-7637-4D1B-A310-D60A268036CB}"/>
    <cellStyle name="_FFF_БКЭ 2_М( ЗАР)" xfId="389" xr:uid="{285C2E4B-DC71-48EB-A8ED-287DD86E253C}"/>
    <cellStyle name="_FFF_БКЭ 2_Модель АгроГард на 5 лет" xfId="390" xr:uid="{E071BBCB-1C7B-4EEC-A939-C8AE0141AD62}"/>
    <cellStyle name="_FFF_БКЭ 2_раст.-факт" xfId="391" xr:uid="{E86014E0-3357-415C-9881-1CAB01ABAF25}"/>
    <cellStyle name="_FFF_БКЭ 2_Растениеводство форма( АГМ)" xfId="392" xr:uid="{1AD7B795-9DD7-40BB-B760-C4D4C6304AD2}"/>
    <cellStyle name="_FFF_БКЭ 2_Свод по Агрохоолдингу  (в т.ч КБН  )" xfId="393" xr:uid="{59331CFC-1588-4870-98BC-0B2B1C655C87}"/>
    <cellStyle name="_FFF_БКЭ 2_Форма по растениеводству (Акционеры) ИЛЧ" xfId="394" xr:uid="{08A233DB-01EF-462D-BA52-121AABE7D9B6}"/>
    <cellStyle name="_FFF_БКЭ 3" xfId="395" xr:uid="{79320A59-CFEE-4117-9C30-2E8FD9604F4D}"/>
    <cellStyle name="_FFF_БКЭ 3_Копия Растениеводство форма(Акционеры)" xfId="396" xr:uid="{3E0C6D47-BAA1-4749-B0F4-47F2C352963C}"/>
    <cellStyle name="_FFF_БКЭ 3_М( ЗАР)" xfId="397" xr:uid="{94D98B60-4FC9-4DEA-A9A7-E81049812433}"/>
    <cellStyle name="_FFF_БКЭ 3_Модель АгроГард на 5 лет" xfId="398" xr:uid="{937DA797-434A-46C4-9397-C60A3DFF18DA}"/>
    <cellStyle name="_FFF_БКЭ 3_раст.-факт" xfId="399" xr:uid="{80F38EA5-E308-4916-8054-BF5A4B5FCAFA}"/>
    <cellStyle name="_FFF_БКЭ 3_Растениеводство форма( АГМ)" xfId="400" xr:uid="{E11A5568-B505-4E33-A574-C63D2A292620}"/>
    <cellStyle name="_FFF_БКЭ 3_Свод по Агрохоолдингу  (в т.ч КБН  )" xfId="401" xr:uid="{D82F3FBF-AD5D-4BE4-B393-BECBE860DF02}"/>
    <cellStyle name="_FFF_БКЭ 3_Форма по растениеводству (Акционеры) ИЛЧ" xfId="402" xr:uid="{7696E4B3-A6BB-4A56-9AD8-2BB4C029E020}"/>
    <cellStyle name="_FFF_БКЭ_АГМ" xfId="403" xr:uid="{43B45E22-A6B2-4C22-AF03-89A39EC3561E}"/>
    <cellStyle name="_FFF_БКЭ_Копия Растениеводство форма(Акционеры)" xfId="404" xr:uid="{D55113A1-B2DE-4125-8487-ADAA65F16477}"/>
    <cellStyle name="_FFF_БКЭ_М( ЗАР)" xfId="405" xr:uid="{43D48FCF-4B30-4599-BAB9-C65A41614945}"/>
    <cellStyle name="_FFF_БКЭ_Модель АгроГард на 5 лет" xfId="406" xr:uid="{58243CE9-3A78-49A2-8BF8-80005501EC1A}"/>
    <cellStyle name="_FFF_БКЭ_НИК-09" xfId="407" xr:uid="{880121E9-0D7E-4F94-A818-CE5A3C5CF0A2}"/>
    <cellStyle name="_FFF_БКЭ_раст.-факт" xfId="408" xr:uid="{618798EE-E109-4FCE-A55B-3A5D29E60448}"/>
    <cellStyle name="_FFF_БКЭ_Растениеводство форма( АГМ)" xfId="409" xr:uid="{CB0F0197-C968-42EC-8BFF-CD8EF7730392}"/>
    <cellStyle name="_FFF_БКЭ_Свод по Агрохоолдингу  (в т.ч КБН  )" xfId="410" xr:uid="{76645C38-66F6-470A-A936-C4D57BDBD947}"/>
    <cellStyle name="_FFF_БКЭ_ТК-2011 АГМ+транспорт" xfId="411" xr:uid="{5ACDE7D7-20FD-4EA9-8F63-D196E49C4855}"/>
    <cellStyle name="_FFF_БКЭ_Форма по растениеводству (Акционеры) ИЛЧ" xfId="412" xr:uid="{082A3F67-F2E7-4DAE-B007-489D4930F88A}"/>
    <cellStyle name="_FFF_Копия Растениеводство форма(Акционеры)" xfId="413" xr:uid="{FA71BF91-5CE4-40EE-B930-B98D0A20462D}"/>
    <cellStyle name="_FFF_М( ЗАР)" xfId="414" xr:uid="{791E1081-37E6-4392-9CD5-3726C6D872F6}"/>
    <cellStyle name="_FFF_Модель АгроГард на 5 лет" xfId="415" xr:uid="{A0BDDC47-E915-41FC-A0B7-C56A9C22BC31}"/>
    <cellStyle name="_FFF_НИК-09" xfId="416" xr:uid="{83B6034D-5D40-47A2-8340-D46476F24C34}"/>
    <cellStyle name="_FFF_раст.-факт" xfId="417" xr:uid="{CD913DE2-8001-4707-8C9F-90F915539F41}"/>
    <cellStyle name="_FFF_Растениеводство форма( АГМ)" xfId="418" xr:uid="{4EF2CA90-BBD0-42AC-81DB-7C091BD32303}"/>
    <cellStyle name="_FFF_Свод по Агрохоолдингу  (в т.ч КБН  )" xfId="419" xr:uid="{BDEE6495-7444-4866-99B1-F49ADD490B3A}"/>
    <cellStyle name="_FFF_ТК-2011 АГМ+транспорт" xfId="420" xr:uid="{FC5225DF-FCE7-40C3-91B8-C21AF1335ECA}"/>
    <cellStyle name="_FFF_Форма по растениеводству (Акционеры) ИЛЧ" xfId="421" xr:uid="{461BC788-A9F9-493D-955D-F672E91876E9}"/>
    <cellStyle name="_Final_Book_010301" xfId="422" xr:uid="{1C0017AA-F00C-4F2D-886C-3F3277429668}"/>
    <cellStyle name="_Final_Book_010301 1" xfId="423" xr:uid="{64F465F1-8DA4-4E3C-A4A8-7FB0EB368480}"/>
    <cellStyle name="_Final_Book_010301 1_Копия Растениеводство форма(Акционеры)" xfId="424" xr:uid="{EC006161-47AE-4E20-BBA4-6D87EE09155A}"/>
    <cellStyle name="_Final_Book_010301 1_М( ЗАР)" xfId="425" xr:uid="{7E694F6E-FE69-4CB1-85BF-F63EB743EB08}"/>
    <cellStyle name="_Final_Book_010301 1_Модель АгроГард на 5 лет" xfId="426" xr:uid="{BD912EB3-E8CA-4428-922A-27B7EFFE453E}"/>
    <cellStyle name="_Final_Book_010301 1_раст.-факт" xfId="427" xr:uid="{174BF047-FA89-44CD-AA9C-D75E7AB15E9C}"/>
    <cellStyle name="_Final_Book_010301 1_Растениеводство форма( АГМ)" xfId="428" xr:uid="{792F5620-2B45-46C3-820D-3836BD10BFA8}"/>
    <cellStyle name="_Final_Book_010301 1_Свод по Агрохоолдингу  (в т.ч КБН  )" xfId="429" xr:uid="{FCD597DE-40E7-4867-9E90-36B8A6A2A73E}"/>
    <cellStyle name="_Final_Book_010301 1_Форма по растениеводству (Акционеры) ИЛЧ" xfId="430" xr:uid="{3C0DF47B-174F-4E2E-A0D7-30764710087D}"/>
    <cellStyle name="_Final_Book_010301 2" xfId="431" xr:uid="{60121A1A-C08C-4FD6-82BB-608D27B896B0}"/>
    <cellStyle name="_Final_Book_010301 2_Копия Растениеводство форма(Акционеры)" xfId="432" xr:uid="{7FD3F88A-CC7C-4EC3-88CB-FDF2238A1924}"/>
    <cellStyle name="_Final_Book_010301 2_М( ЗАР)" xfId="433" xr:uid="{88F3AA3C-4440-4665-8CE1-971B25461AA8}"/>
    <cellStyle name="_Final_Book_010301 2_Модель АгроГард на 5 лет" xfId="434" xr:uid="{573BBC1A-81BA-48A5-8CDF-899874C105E6}"/>
    <cellStyle name="_Final_Book_010301 2_раст.-факт" xfId="435" xr:uid="{7D13C72A-9D94-4F04-A6CB-E5922F62C14C}"/>
    <cellStyle name="_Final_Book_010301 2_Растениеводство форма( АГМ)" xfId="436" xr:uid="{36B30AF4-CD78-4AF0-8A35-72334315340B}"/>
    <cellStyle name="_Final_Book_010301 2_Свод по Агрохоолдингу  (в т.ч КБН  )" xfId="437" xr:uid="{C8FE981C-1156-47DE-BBE9-C2F4310E3990}"/>
    <cellStyle name="_Final_Book_010301 2_Форма по растениеводству (Акционеры) ИЛЧ" xfId="438" xr:uid="{7E4A5B3E-6C31-49BD-B0F9-C6DAD8231D16}"/>
    <cellStyle name="_Final_Book_010301 3" xfId="439" xr:uid="{04630838-DE7C-4589-859A-44FEE9C7F36E}"/>
    <cellStyle name="_Final_Book_010301 3_Копия Растениеводство форма(Акционеры)" xfId="440" xr:uid="{C8361C43-F297-4975-9419-8C62A1982139}"/>
    <cellStyle name="_Final_Book_010301 3_М( ЗАР)" xfId="441" xr:uid="{28CD821B-4081-4BFE-AEDE-F9D112C1A7C2}"/>
    <cellStyle name="_Final_Book_010301 3_Модель АгроГард на 5 лет" xfId="442" xr:uid="{077F947C-BF75-448F-86C2-CE07CA5050F7}"/>
    <cellStyle name="_Final_Book_010301 3_раст.-факт" xfId="443" xr:uid="{E79523E8-6508-441D-BE30-6AFEAE7838EA}"/>
    <cellStyle name="_Final_Book_010301 3_Растениеводство форма( АГМ)" xfId="444" xr:uid="{AADF46F5-CD87-4DBD-9D4A-272F621B738C}"/>
    <cellStyle name="_Final_Book_010301 3_Свод по Агрохоолдингу  (в т.ч КБН  )" xfId="445" xr:uid="{EDC1A0FE-9B5F-4D61-8F13-07E99B9BBCE9}"/>
    <cellStyle name="_Final_Book_010301 3_Форма по растениеводству (Акционеры) ИЛЧ" xfId="446" xr:uid="{D0843D08-2259-43C8-9471-5515BC8E87E8}"/>
    <cellStyle name="_Final_Book_010301_New Form10_2" xfId="447" xr:uid="{D267E073-46FC-47E8-A62A-F3AFBD9AF108}"/>
    <cellStyle name="_Final_Book_010301_New Form10_2 1" xfId="448" xr:uid="{EEA533A8-110C-4A7A-A7E7-4CA7026FB4DD}"/>
    <cellStyle name="_Final_Book_010301_New Form10_2 1_Копия Растениеводство форма(Акционеры)" xfId="449" xr:uid="{B222239E-599B-478A-8FDD-4F00A5F06F9C}"/>
    <cellStyle name="_Final_Book_010301_New Form10_2 1_М( ЗАР)" xfId="450" xr:uid="{EE24473C-E0E5-41D1-BEAA-E38CC94C5B93}"/>
    <cellStyle name="_Final_Book_010301_New Form10_2 1_Модель АгроГард на 5 лет" xfId="451" xr:uid="{C70DE1E4-5D2E-4387-87FE-3BEB6A1080EA}"/>
    <cellStyle name="_Final_Book_010301_New Form10_2 1_раст.-факт" xfId="452" xr:uid="{0BB688FA-EA86-41BE-98DF-72693B8CC260}"/>
    <cellStyle name="_Final_Book_010301_New Form10_2 1_Растениеводство форма( АГМ)" xfId="453" xr:uid="{70C262EB-D576-4D2A-BF75-3C4A180EA8F9}"/>
    <cellStyle name="_Final_Book_010301_New Form10_2 1_Свод по Агрохоолдингу  (в т.ч КБН  )" xfId="454" xr:uid="{457D68DD-020D-4978-BC44-BEDE5C3CF7AD}"/>
    <cellStyle name="_Final_Book_010301_New Form10_2 1_Форма по растениеводству (Акционеры) ИЛЧ" xfId="455" xr:uid="{81C3EE38-01CB-4079-9AED-84B245FD1B38}"/>
    <cellStyle name="_Final_Book_010301_New Form10_2 2" xfId="456" xr:uid="{5A087D76-84C8-4D8C-B413-492F5231F30E}"/>
    <cellStyle name="_Final_Book_010301_New Form10_2 2_Копия Растениеводство форма(Акционеры)" xfId="457" xr:uid="{B8E26CC6-1979-4A35-A6F5-F471A405F1F1}"/>
    <cellStyle name="_Final_Book_010301_New Form10_2 2_М( ЗАР)" xfId="458" xr:uid="{14DFB1AF-A26E-4400-B5EB-5B08E6FAB637}"/>
    <cellStyle name="_Final_Book_010301_New Form10_2 2_Модель АгроГард на 5 лет" xfId="459" xr:uid="{DE12B98E-08A4-4072-BC95-9789B7AB0507}"/>
    <cellStyle name="_Final_Book_010301_New Form10_2 2_раст.-факт" xfId="460" xr:uid="{96EF3AE8-36F6-4FDD-ACFE-35B6BCB3FE2D}"/>
    <cellStyle name="_Final_Book_010301_New Form10_2 2_Растениеводство форма( АГМ)" xfId="461" xr:uid="{BEC45AB7-D245-4591-8AE1-85D57B99D8C4}"/>
    <cellStyle name="_Final_Book_010301_New Form10_2 2_Свод по Агрохоолдингу  (в т.ч КБН  )" xfId="462" xr:uid="{8C0EFC98-AD4D-42B1-948D-B424F6891499}"/>
    <cellStyle name="_Final_Book_010301_New Form10_2 2_Форма по растениеводству (Акционеры) ИЛЧ" xfId="463" xr:uid="{8A473E68-8FDC-4FE0-98D3-18EA2407057A}"/>
    <cellStyle name="_Final_Book_010301_New Form10_2 3" xfId="464" xr:uid="{2CB5A678-9AB2-4B20-BE78-6DC2D3E14FF5}"/>
    <cellStyle name="_Final_Book_010301_New Form10_2 3_Копия Растениеводство форма(Акционеры)" xfId="465" xr:uid="{48315DFC-5958-4B04-8950-FB606E77B536}"/>
    <cellStyle name="_Final_Book_010301_New Form10_2 3_М( ЗАР)" xfId="466" xr:uid="{093B1B55-6E87-4CB3-8843-872EA2D35C93}"/>
    <cellStyle name="_Final_Book_010301_New Form10_2 3_Модель АгроГард на 5 лет" xfId="467" xr:uid="{5DBF522B-E26C-45FB-9FD8-511EF11A12B0}"/>
    <cellStyle name="_Final_Book_010301_New Form10_2 3_раст.-факт" xfId="468" xr:uid="{F268C01E-8FF7-43BE-A2EE-89DDAAA7BEA0}"/>
    <cellStyle name="_Final_Book_010301_New Form10_2 3_Растениеводство форма( АГМ)" xfId="469" xr:uid="{F3AE6D6B-2109-4759-8DFB-4D6F65CC3EBF}"/>
    <cellStyle name="_Final_Book_010301_New Form10_2 3_Свод по Агрохоолдингу  (в т.ч КБН  )" xfId="470" xr:uid="{19C01A77-D269-4185-8A3D-04CD2D28DC82}"/>
    <cellStyle name="_Final_Book_010301_New Form10_2 3_Форма по растениеводству (Акционеры) ИЛЧ" xfId="471" xr:uid="{54A47D28-907C-4C7F-ABA1-FBC9734E8897}"/>
    <cellStyle name="_Final_Book_010301_New Form10_2_АГМ" xfId="472" xr:uid="{48E854AA-1DCC-4F27-9F70-3D743D25DFD6}"/>
    <cellStyle name="_Final_Book_010301_New Form10_2_Копия Растениеводство форма(Акционеры)" xfId="473" xr:uid="{4A4AB12C-4788-4282-A0A5-5E83D09D72A9}"/>
    <cellStyle name="_Final_Book_010301_New Form10_2_М( ЗАР)" xfId="474" xr:uid="{2A830710-776A-40A8-A675-A09DC650636E}"/>
    <cellStyle name="_Final_Book_010301_New Form10_2_Модель АгроГард на 5 лет" xfId="475" xr:uid="{808DA4AB-DBDA-4CF9-AC10-6775C8536087}"/>
    <cellStyle name="_Final_Book_010301_New Form10_2_НИК-09" xfId="476" xr:uid="{96F310C7-A521-4547-B01A-435AEE055D73}"/>
    <cellStyle name="_Final_Book_010301_New Form10_2_раст.-факт" xfId="477" xr:uid="{F125C8A1-445F-46C7-9932-C79BFB3F6B16}"/>
    <cellStyle name="_Final_Book_010301_New Form10_2_Растениеводство форма( АГМ)" xfId="478" xr:uid="{1F5122E6-D049-4E95-9452-11C3E5CD1273}"/>
    <cellStyle name="_Final_Book_010301_New Form10_2_Свод по Агрохоолдингу  (в т.ч КБН  )" xfId="479" xr:uid="{D65737DC-48E3-4FCB-97A2-963B9FE50FA6}"/>
    <cellStyle name="_Final_Book_010301_New Form10_2_ТК-2011 АГМ+транспорт" xfId="480" xr:uid="{45EE51EB-FED9-4811-9AC5-5CE2A5E22BAE}"/>
    <cellStyle name="_Final_Book_010301_New Form10_2_Форма по растениеводству (Акционеры) ИЛЧ" xfId="481" xr:uid="{6C772BB7-22C1-4B1A-BCBE-D6FA58324F50}"/>
    <cellStyle name="_Final_Book_010301_Nsi" xfId="482" xr:uid="{F04ED02D-FD89-4A5C-9275-910020ECEC8E}"/>
    <cellStyle name="_Final_Book_010301_Nsi 1" xfId="483" xr:uid="{A6AC5303-44F9-4B2F-8D0A-FDD81BAD5171}"/>
    <cellStyle name="_Final_Book_010301_Nsi 1_Копия Растениеводство форма(Акционеры)" xfId="484" xr:uid="{4217B5C7-1DC9-41EC-A16D-EAEBAEFEB28A}"/>
    <cellStyle name="_Final_Book_010301_Nsi 1_М( ЗАР)" xfId="485" xr:uid="{6CEC4022-16F9-4D89-A4FE-9619C399CBE9}"/>
    <cellStyle name="_Final_Book_010301_Nsi 1_Модель АгроГард на 5 лет" xfId="486" xr:uid="{92A3B393-9E49-46A2-9B23-846921FD02FF}"/>
    <cellStyle name="_Final_Book_010301_Nsi 1_раст.-факт" xfId="487" xr:uid="{1A23A5A6-90C8-461D-BE8F-FE7FDD3BCB68}"/>
    <cellStyle name="_Final_Book_010301_Nsi 1_Растениеводство форма( АГМ)" xfId="488" xr:uid="{95403412-57D5-4B42-827C-A711FECB52D6}"/>
    <cellStyle name="_Final_Book_010301_Nsi 1_Свод по Агрохоолдингу  (в т.ч КБН  )" xfId="489" xr:uid="{C99484FB-A6E4-4BBC-9CAC-C92D31127CD8}"/>
    <cellStyle name="_Final_Book_010301_Nsi 1_Форма по растениеводству (Акционеры) ИЛЧ" xfId="490" xr:uid="{C9A9AC57-A87C-4405-BE6E-D819E82249EF}"/>
    <cellStyle name="_Final_Book_010301_Nsi 2" xfId="491" xr:uid="{A88EC7FD-B090-418C-B304-2FBC13C043D7}"/>
    <cellStyle name="_Final_Book_010301_Nsi 2_Копия Растениеводство форма(Акционеры)" xfId="492" xr:uid="{6FE2714F-46A2-440F-B11C-79690C45B862}"/>
    <cellStyle name="_Final_Book_010301_Nsi 2_М( ЗАР)" xfId="493" xr:uid="{5DCD2443-9E28-4DD2-BB5A-0A6E27BA03F0}"/>
    <cellStyle name="_Final_Book_010301_Nsi 2_Модель АгроГард на 5 лет" xfId="494" xr:uid="{F50F980A-6A5B-4A6B-9B97-57CBC2E3B207}"/>
    <cellStyle name="_Final_Book_010301_Nsi 2_раст.-факт" xfId="495" xr:uid="{06F370E5-1D68-4D4B-A5D9-DD844D72A4C4}"/>
    <cellStyle name="_Final_Book_010301_Nsi 2_Растениеводство форма( АГМ)" xfId="496" xr:uid="{F4DD004F-B648-4E17-A9C9-D5C093F75161}"/>
    <cellStyle name="_Final_Book_010301_Nsi 2_Свод по Агрохоолдингу  (в т.ч КБН  )" xfId="497" xr:uid="{C1BF4F84-88BD-4FF6-BF01-4BF730EC3913}"/>
    <cellStyle name="_Final_Book_010301_Nsi 2_Форма по растениеводству (Акционеры) ИЛЧ" xfId="498" xr:uid="{EBF816E6-8129-48E4-87A8-9B95808AA5CB}"/>
    <cellStyle name="_Final_Book_010301_Nsi 3" xfId="499" xr:uid="{5495A2BE-7D52-4091-A806-275FCA947E22}"/>
    <cellStyle name="_Final_Book_010301_Nsi 3_Копия Растениеводство форма(Акционеры)" xfId="500" xr:uid="{C608D5E8-FF33-42F9-8F3F-622AE96C0C9E}"/>
    <cellStyle name="_Final_Book_010301_Nsi 3_М( ЗАР)" xfId="501" xr:uid="{E29B5090-BE76-4DB7-AB4C-A7024B8FCA48}"/>
    <cellStyle name="_Final_Book_010301_Nsi 3_Модель АгроГард на 5 лет" xfId="502" xr:uid="{1E1C1446-0B83-47E3-8EAD-8C87DE1FD807}"/>
    <cellStyle name="_Final_Book_010301_Nsi 3_раст.-факт" xfId="503" xr:uid="{9B0D741E-C5BB-4160-ABC2-248E74F04B63}"/>
    <cellStyle name="_Final_Book_010301_Nsi 3_Растениеводство форма( АГМ)" xfId="504" xr:uid="{5BC64ACE-BD14-487A-9518-D5F70435EFC6}"/>
    <cellStyle name="_Final_Book_010301_Nsi 3_Свод по Агрохоолдингу  (в т.ч КБН  )" xfId="505" xr:uid="{83C4798B-7655-4986-8971-16C6B8390080}"/>
    <cellStyle name="_Final_Book_010301_Nsi 3_Форма по растениеводству (Акционеры) ИЛЧ" xfId="506" xr:uid="{E396EF3E-13B0-42FF-8D45-8225C5EB2527}"/>
    <cellStyle name="_Final_Book_010301_Nsi_1" xfId="507" xr:uid="{CF85B6C3-AF22-4097-9312-E22C941C67F2}"/>
    <cellStyle name="_Final_Book_010301_Nsi_1 1" xfId="508" xr:uid="{D744CEF4-A62D-4973-A1D7-22ACB25C2FD8}"/>
    <cellStyle name="_Final_Book_010301_Nsi_1 1_Копия Растениеводство форма(Акционеры)" xfId="509" xr:uid="{CE28A922-7EA2-49EC-8770-6D8979692B2A}"/>
    <cellStyle name="_Final_Book_010301_Nsi_1 1_М( ЗАР)" xfId="510" xr:uid="{F583270B-AD47-45BB-B77A-F46BE784483B}"/>
    <cellStyle name="_Final_Book_010301_Nsi_1 1_Модель АгроГард на 5 лет" xfId="511" xr:uid="{AB5595A6-4A63-4058-8A89-700D3E109C56}"/>
    <cellStyle name="_Final_Book_010301_Nsi_1 1_раст.-факт" xfId="512" xr:uid="{9FD9FBAA-D77B-4C1C-9ABC-427B127A9F02}"/>
    <cellStyle name="_Final_Book_010301_Nsi_1 1_Растениеводство форма( АГМ)" xfId="513" xr:uid="{BEF74ED8-EAE5-47C9-871D-A5EC809BDD3E}"/>
    <cellStyle name="_Final_Book_010301_Nsi_1 1_Свод по Агрохоолдингу  (в т.ч КБН  )" xfId="514" xr:uid="{AF47811A-8DCE-4D40-9A3A-BCBF44C43525}"/>
    <cellStyle name="_Final_Book_010301_Nsi_1 1_Форма по растениеводству (Акционеры) ИЛЧ" xfId="515" xr:uid="{B680B08D-6D72-4E0A-BBB1-4EE0808DA72B}"/>
    <cellStyle name="_Final_Book_010301_Nsi_1 2" xfId="516" xr:uid="{2F9082D3-631A-435C-9F0B-A42A7FDD69A3}"/>
    <cellStyle name="_Final_Book_010301_Nsi_1 2_Копия Растениеводство форма(Акционеры)" xfId="517" xr:uid="{7C0C5296-CF4E-4E05-809D-82AFBEC64268}"/>
    <cellStyle name="_Final_Book_010301_Nsi_1 2_М( ЗАР)" xfId="518" xr:uid="{8A1BB29C-D6D6-4A0C-8069-B5813BF8FD1B}"/>
    <cellStyle name="_Final_Book_010301_Nsi_1 2_Модель АгроГард на 5 лет" xfId="519" xr:uid="{656D6310-7F04-4252-B8CC-3B76C58054E9}"/>
    <cellStyle name="_Final_Book_010301_Nsi_1 2_раст.-факт" xfId="520" xr:uid="{42C58299-D25C-4394-96A3-E0BF47DEC073}"/>
    <cellStyle name="_Final_Book_010301_Nsi_1 2_Растениеводство форма( АГМ)" xfId="521" xr:uid="{69081126-1354-46CB-BDCC-F9A8E9DCFB60}"/>
    <cellStyle name="_Final_Book_010301_Nsi_1 2_Свод по Агрохоолдингу  (в т.ч КБН  )" xfId="522" xr:uid="{CB09CFDC-B364-4762-9161-7BBFE8AF161A}"/>
    <cellStyle name="_Final_Book_010301_Nsi_1 2_Форма по растениеводству (Акционеры) ИЛЧ" xfId="523" xr:uid="{FD7B31AA-C84F-4375-B4AC-292F66333EF5}"/>
    <cellStyle name="_Final_Book_010301_Nsi_1 3" xfId="524" xr:uid="{5F0AB773-8E04-40A0-A245-6891285342FC}"/>
    <cellStyle name="_Final_Book_010301_Nsi_1 3_Копия Растениеводство форма(Акционеры)" xfId="525" xr:uid="{BEBD8511-BD4D-4256-9F54-EBC0BA6AE6DB}"/>
    <cellStyle name="_Final_Book_010301_Nsi_1 3_М( ЗАР)" xfId="526" xr:uid="{796AAD07-2347-4602-96A6-AAFA86E2F1BF}"/>
    <cellStyle name="_Final_Book_010301_Nsi_1 3_Модель АгроГард на 5 лет" xfId="527" xr:uid="{62A7079A-03C5-4B63-A4E8-B4325E7FD2BF}"/>
    <cellStyle name="_Final_Book_010301_Nsi_1 3_раст.-факт" xfId="528" xr:uid="{535986EA-0F47-4077-8496-13C0269ABB8C}"/>
    <cellStyle name="_Final_Book_010301_Nsi_1 3_Растениеводство форма( АГМ)" xfId="529" xr:uid="{64567B3E-731F-4CC7-A35D-DCAE76183FE9}"/>
    <cellStyle name="_Final_Book_010301_Nsi_1 3_Свод по Агрохоолдингу  (в т.ч КБН  )" xfId="530" xr:uid="{13446BA5-3403-4B26-9852-A904346A33E9}"/>
    <cellStyle name="_Final_Book_010301_Nsi_1 3_Форма по растениеводству (Акционеры) ИЛЧ" xfId="531" xr:uid="{0EC8B4E0-3CDD-4013-B399-7602D2213EE6}"/>
    <cellStyle name="_Final_Book_010301_Nsi_1_АГМ" xfId="532" xr:uid="{26D9267C-4AC3-4262-BFB1-8E54BC2DF4EC}"/>
    <cellStyle name="_Final_Book_010301_Nsi_1_Копия Растениеводство форма(Акционеры)" xfId="533" xr:uid="{E579607E-665E-4FE8-9FAE-6F1169FB9A3D}"/>
    <cellStyle name="_Final_Book_010301_Nsi_1_М( ЗАР)" xfId="534" xr:uid="{0B457B8E-CA28-458A-8113-8FACF9D18972}"/>
    <cellStyle name="_Final_Book_010301_Nsi_1_Модель АгроГард на 5 лет" xfId="535" xr:uid="{C037B825-6BD6-48DC-9624-169ADEB09D72}"/>
    <cellStyle name="_Final_Book_010301_Nsi_1_НИК-09" xfId="536" xr:uid="{37C61A18-E67E-423F-AA27-4A5FCCD3CE97}"/>
    <cellStyle name="_Final_Book_010301_Nsi_1_раст.-факт" xfId="537" xr:uid="{0B5B2FA1-F949-45DF-9B8F-4794A9C07F0F}"/>
    <cellStyle name="_Final_Book_010301_Nsi_1_Растениеводство форма( АГМ)" xfId="538" xr:uid="{E0B658AB-7227-4EE5-96F5-90AE2900AE4A}"/>
    <cellStyle name="_Final_Book_010301_Nsi_1_Свод по Агрохоолдингу  (в т.ч КБН  )" xfId="539" xr:uid="{2DBBE981-3E04-4A04-82C8-FAAC483DA977}"/>
    <cellStyle name="_Final_Book_010301_Nsi_1_ТК-2011 АГМ+транспорт" xfId="540" xr:uid="{D878E0D8-243F-4C3E-B932-815393CFCFDF}"/>
    <cellStyle name="_Final_Book_010301_Nsi_1_Форма по растениеводству (Акционеры) ИЛЧ" xfId="541" xr:uid="{D71E76B6-F842-4875-9002-54CAD882D4CD}"/>
    <cellStyle name="_Final_Book_010301_Nsi_139" xfId="542" xr:uid="{1BDA8581-8A12-41AC-92C8-D93E68AE992B}"/>
    <cellStyle name="_Final_Book_010301_Nsi_139 1" xfId="543" xr:uid="{CE0B3BC5-4349-4D67-932C-B0C2F56BF7BA}"/>
    <cellStyle name="_Final_Book_010301_Nsi_139 1_Копия Растениеводство форма(Акционеры)" xfId="544" xr:uid="{8578167B-7677-4EC3-9007-C4687264974D}"/>
    <cellStyle name="_Final_Book_010301_Nsi_139 1_М( ЗАР)" xfId="545" xr:uid="{4BBCDD1D-9E5B-4529-B8AB-91E88A311260}"/>
    <cellStyle name="_Final_Book_010301_Nsi_139 1_Модель АгроГард на 5 лет" xfId="546" xr:uid="{12916F7C-5A8B-4808-905F-24F56BEE334C}"/>
    <cellStyle name="_Final_Book_010301_Nsi_139 1_раст.-факт" xfId="547" xr:uid="{BA46CC2F-55D3-4953-A6F7-F5AF631C7B15}"/>
    <cellStyle name="_Final_Book_010301_Nsi_139 1_Растениеводство форма( АГМ)" xfId="548" xr:uid="{FB11D96A-8EBA-4DB8-B38F-85C23FD3A85C}"/>
    <cellStyle name="_Final_Book_010301_Nsi_139 1_Свод по Агрохоолдингу  (в т.ч КБН  )" xfId="549" xr:uid="{8DC92E81-5351-4023-99CD-AB7C275DBA1F}"/>
    <cellStyle name="_Final_Book_010301_Nsi_139 1_Форма по растениеводству (Акционеры) ИЛЧ" xfId="550" xr:uid="{8F494742-8D9A-4630-822C-9C72EDD43AC5}"/>
    <cellStyle name="_Final_Book_010301_Nsi_139 2" xfId="551" xr:uid="{7503240B-EC0A-4184-8263-9C5D9CB6C8BD}"/>
    <cellStyle name="_Final_Book_010301_Nsi_139 2_Копия Растениеводство форма(Акционеры)" xfId="552" xr:uid="{45E88417-1A43-4DED-BCE3-7B3068160D6C}"/>
    <cellStyle name="_Final_Book_010301_Nsi_139 2_М( ЗАР)" xfId="553" xr:uid="{8AC0B0B5-E1A2-4B6D-B995-89E4B4BC7A36}"/>
    <cellStyle name="_Final_Book_010301_Nsi_139 2_Модель АгроГард на 5 лет" xfId="554" xr:uid="{D37077D1-A04E-4CA9-8426-304F9E4DF7D5}"/>
    <cellStyle name="_Final_Book_010301_Nsi_139 2_раст.-факт" xfId="555" xr:uid="{1D029874-B390-4C1B-A143-8F5D86530B59}"/>
    <cellStyle name="_Final_Book_010301_Nsi_139 2_Растениеводство форма( АГМ)" xfId="556" xr:uid="{0DB06989-7113-409A-90FA-C1468109EB84}"/>
    <cellStyle name="_Final_Book_010301_Nsi_139 2_Свод по Агрохоолдингу  (в т.ч КБН  )" xfId="557" xr:uid="{F3D9CCF2-54F3-40B6-BFE2-1586A208258D}"/>
    <cellStyle name="_Final_Book_010301_Nsi_139 2_Форма по растениеводству (Акционеры) ИЛЧ" xfId="558" xr:uid="{267AAA3F-87D8-41B1-94AD-E8E6EF5A284E}"/>
    <cellStyle name="_Final_Book_010301_Nsi_139 3" xfId="559" xr:uid="{E15DF928-71BB-44FA-9127-382514908A0D}"/>
    <cellStyle name="_Final_Book_010301_Nsi_139 3_Копия Растениеводство форма(Акционеры)" xfId="560" xr:uid="{889F7F0F-701D-4415-8443-58038C9C5DFE}"/>
    <cellStyle name="_Final_Book_010301_Nsi_139 3_М( ЗАР)" xfId="561" xr:uid="{20AE8A9A-DF8A-4B4B-96C6-580E6B1A3D46}"/>
    <cellStyle name="_Final_Book_010301_Nsi_139 3_Модель АгроГард на 5 лет" xfId="562" xr:uid="{60D9C2FC-8343-4128-A5D5-044628BC1C39}"/>
    <cellStyle name="_Final_Book_010301_Nsi_139 3_раст.-факт" xfId="563" xr:uid="{51737C9D-8ADB-42F2-AA60-699E95B3A43C}"/>
    <cellStyle name="_Final_Book_010301_Nsi_139 3_Растениеводство форма( АГМ)" xfId="564" xr:uid="{34F20239-5F76-4187-9CB6-8DDC4A45D75A}"/>
    <cellStyle name="_Final_Book_010301_Nsi_139 3_Свод по Агрохоолдингу  (в т.ч КБН  )" xfId="565" xr:uid="{58EC6D36-F0A8-4376-90B5-B4278E58EF56}"/>
    <cellStyle name="_Final_Book_010301_Nsi_139 3_Форма по растениеводству (Акционеры) ИЛЧ" xfId="566" xr:uid="{040C8472-D449-4794-B489-E041D1C1A57B}"/>
    <cellStyle name="_Final_Book_010301_Nsi_139_АГМ" xfId="567" xr:uid="{5C5C7511-441D-4EC8-A854-EEBB9D09C344}"/>
    <cellStyle name="_Final_Book_010301_Nsi_139_Копия Растениеводство форма(Акционеры)" xfId="568" xr:uid="{5F83E384-D29D-4409-89CF-BE379A827518}"/>
    <cellStyle name="_Final_Book_010301_Nsi_139_М( ЗАР)" xfId="569" xr:uid="{EAE7B920-8040-4A3D-AB99-02D8CC8DA9FF}"/>
    <cellStyle name="_Final_Book_010301_Nsi_139_Модель АгроГард на 5 лет" xfId="570" xr:uid="{9A02D2B8-0983-434D-820A-9B624D60A1A7}"/>
    <cellStyle name="_Final_Book_010301_Nsi_139_НИК-09" xfId="571" xr:uid="{787B230E-0E35-4A8A-9371-8EBEA9E8E511}"/>
    <cellStyle name="_Final_Book_010301_Nsi_139_раст.-факт" xfId="572" xr:uid="{91E19D34-E245-4694-9E83-8642DBFA2B57}"/>
    <cellStyle name="_Final_Book_010301_Nsi_139_Растениеводство форма( АГМ)" xfId="573" xr:uid="{46EA8B0A-081A-413D-AC51-D585ABC1B0F8}"/>
    <cellStyle name="_Final_Book_010301_Nsi_139_Свод по Агрохоолдингу  (в т.ч КБН  )" xfId="574" xr:uid="{B18DF222-34A0-4A24-8E4C-D56A46F7EC00}"/>
    <cellStyle name="_Final_Book_010301_Nsi_139_ТК-2011 АГМ+транспорт" xfId="575" xr:uid="{BDD59A7B-E811-4B1D-BB1B-C952D9FB9B64}"/>
    <cellStyle name="_Final_Book_010301_Nsi_139_Форма по растениеводству (Акционеры) ИЛЧ" xfId="576" xr:uid="{D15236F7-5E23-49CD-A9D6-F885152633F0}"/>
    <cellStyle name="_Final_Book_010301_Nsi_140" xfId="577" xr:uid="{D5B9A61A-B74F-4EAD-8878-43614CEF53D8}"/>
    <cellStyle name="_Final_Book_010301_Nsi_140 1" xfId="578" xr:uid="{1F8A817F-6003-4D93-90DA-CCA70F1C12F6}"/>
    <cellStyle name="_Final_Book_010301_Nsi_140 1_Копия Растениеводство форма(Акционеры)" xfId="579" xr:uid="{BC6C9B3D-9D13-4C6F-823D-AA3941E50799}"/>
    <cellStyle name="_Final_Book_010301_Nsi_140 1_М( ЗАР)" xfId="580" xr:uid="{FEEDFECE-4582-4EAD-848C-EDF29007513D}"/>
    <cellStyle name="_Final_Book_010301_Nsi_140 1_Модель АгроГард на 5 лет" xfId="581" xr:uid="{35990608-D262-437B-85E1-BD112B111920}"/>
    <cellStyle name="_Final_Book_010301_Nsi_140 1_раст.-факт" xfId="582" xr:uid="{CCEE6642-64F2-4FB5-B4BC-78EB9A354AD7}"/>
    <cellStyle name="_Final_Book_010301_Nsi_140 1_Растениеводство форма( АГМ)" xfId="583" xr:uid="{FBDD5C1B-A824-48DC-8925-6108DF0199F0}"/>
    <cellStyle name="_Final_Book_010301_Nsi_140 1_Свод по Агрохоолдингу  (в т.ч КБН  )" xfId="584" xr:uid="{068224CE-FF8C-43E1-AD23-687D24290BFE}"/>
    <cellStyle name="_Final_Book_010301_Nsi_140 1_Форма по растениеводству (Акционеры) ИЛЧ" xfId="585" xr:uid="{B794C3D7-8E61-4041-BBF7-EE8B7E35624D}"/>
    <cellStyle name="_Final_Book_010301_Nsi_140 2" xfId="586" xr:uid="{71502EB9-EFB0-4203-B214-5C3C8E8035CC}"/>
    <cellStyle name="_Final_Book_010301_Nsi_140 2_Копия Растениеводство форма(Акционеры)" xfId="587" xr:uid="{3129C24E-A8AB-4A31-911E-1ECF11722243}"/>
    <cellStyle name="_Final_Book_010301_Nsi_140 2_М( ЗАР)" xfId="588" xr:uid="{FF357E0C-F746-4621-81B9-B01AC3AA7B8A}"/>
    <cellStyle name="_Final_Book_010301_Nsi_140 2_Модель АгроГард на 5 лет" xfId="589" xr:uid="{7542B2B5-ABC4-4BB2-ADF0-A48FD4A3B0AA}"/>
    <cellStyle name="_Final_Book_010301_Nsi_140 2_раст.-факт" xfId="590" xr:uid="{D28370D7-2434-4DC6-9DC5-BB1C52D74DC0}"/>
    <cellStyle name="_Final_Book_010301_Nsi_140 2_Растениеводство форма( АГМ)" xfId="591" xr:uid="{1B2D001A-6A7E-4348-B51E-0EF7C61310AB}"/>
    <cellStyle name="_Final_Book_010301_Nsi_140 2_Свод по Агрохоолдингу  (в т.ч КБН  )" xfId="592" xr:uid="{E4C1EE78-A717-4B9D-9ED3-D699C105BE9D}"/>
    <cellStyle name="_Final_Book_010301_Nsi_140 2_Форма по растениеводству (Акционеры) ИЛЧ" xfId="593" xr:uid="{1F4C86A9-1A68-4785-B4FF-B3E7F05C2694}"/>
    <cellStyle name="_Final_Book_010301_Nsi_140 3" xfId="594" xr:uid="{D5018154-FDFE-4D0E-A634-F258B18ED50C}"/>
    <cellStyle name="_Final_Book_010301_Nsi_140 3_Копия Растениеводство форма(Акционеры)" xfId="595" xr:uid="{B13D6A37-FE48-4BA1-8C57-8551A41272E8}"/>
    <cellStyle name="_Final_Book_010301_Nsi_140 3_М( ЗАР)" xfId="596" xr:uid="{7025A51E-B98F-4F29-9C46-6F5A7D008E54}"/>
    <cellStyle name="_Final_Book_010301_Nsi_140 3_Модель АгроГард на 5 лет" xfId="597" xr:uid="{ABC9AAE2-1572-42DE-9C60-32408ACD6790}"/>
    <cellStyle name="_Final_Book_010301_Nsi_140 3_раст.-факт" xfId="598" xr:uid="{A25D3717-82CC-4092-A40D-09520AE85CEF}"/>
    <cellStyle name="_Final_Book_010301_Nsi_140 3_Растениеводство форма( АГМ)" xfId="599" xr:uid="{2D3A6162-6340-4B2E-8FE6-5F5F4506D3B0}"/>
    <cellStyle name="_Final_Book_010301_Nsi_140 3_Свод по Агрохоолдингу  (в т.ч КБН  )" xfId="600" xr:uid="{ECC88AA8-DECE-4009-BD7A-436A03FBF831}"/>
    <cellStyle name="_Final_Book_010301_Nsi_140 3_Форма по растениеводству (Акционеры) ИЛЧ" xfId="601" xr:uid="{D655762A-3786-495B-B5C6-8BA6CE505AEC}"/>
    <cellStyle name="_Final_Book_010301_Nsi_140(Зах)" xfId="602" xr:uid="{38815948-F86F-43DA-B5D6-45FA7C50A6F7}"/>
    <cellStyle name="_Final_Book_010301_Nsi_140(Зах) 1" xfId="603" xr:uid="{508108E4-6F8A-4DC9-8C92-72717344292C}"/>
    <cellStyle name="_Final_Book_010301_Nsi_140(Зах) 1_Копия Растениеводство форма(Акционеры)" xfId="604" xr:uid="{732063B7-0C3D-4D0D-BA64-140495FF4B61}"/>
    <cellStyle name="_Final_Book_010301_Nsi_140(Зах) 1_М( ЗАР)" xfId="605" xr:uid="{35A543FF-6D5A-4EC0-ADD3-69A8A7C20E21}"/>
    <cellStyle name="_Final_Book_010301_Nsi_140(Зах) 1_Модель АгроГард на 5 лет" xfId="606" xr:uid="{C9AC2ADE-E826-4210-836D-BD4248FDCF8C}"/>
    <cellStyle name="_Final_Book_010301_Nsi_140(Зах) 1_раст.-факт" xfId="607" xr:uid="{973BAFF0-D26D-4FCE-BD85-00667EC390EE}"/>
    <cellStyle name="_Final_Book_010301_Nsi_140(Зах) 1_Растениеводство форма( АГМ)" xfId="608" xr:uid="{FB739BEF-212A-402F-A4F6-0E644481A334}"/>
    <cellStyle name="_Final_Book_010301_Nsi_140(Зах) 1_Свод по Агрохоолдингу  (в т.ч КБН  )" xfId="609" xr:uid="{7CA1223A-D9E0-453A-8ADD-BCF487DB8631}"/>
    <cellStyle name="_Final_Book_010301_Nsi_140(Зах) 1_Форма по растениеводству (Акционеры) ИЛЧ" xfId="610" xr:uid="{845585F1-3AA2-432C-8E87-627FD5DECD20}"/>
    <cellStyle name="_Final_Book_010301_Nsi_140(Зах) 2" xfId="611" xr:uid="{1BEC924C-F4B1-4B87-95B6-053935306EAC}"/>
    <cellStyle name="_Final_Book_010301_Nsi_140(Зах) 2_Копия Растениеводство форма(Акционеры)" xfId="612" xr:uid="{04280A4D-4062-4C05-99F9-88B1C579A84F}"/>
    <cellStyle name="_Final_Book_010301_Nsi_140(Зах) 2_М( ЗАР)" xfId="613" xr:uid="{2AE4E196-744B-4308-BFF8-92AED2C3AA41}"/>
    <cellStyle name="_Final_Book_010301_Nsi_140(Зах) 2_Модель АгроГард на 5 лет" xfId="614" xr:uid="{06D7AF1E-6FCC-458B-A7E1-B984B90D27BA}"/>
    <cellStyle name="_Final_Book_010301_Nsi_140(Зах) 2_раст.-факт" xfId="615" xr:uid="{AA2E136F-5FF0-43E5-97D1-98F4555FE63B}"/>
    <cellStyle name="_Final_Book_010301_Nsi_140(Зах) 2_Растениеводство форма( АГМ)" xfId="616" xr:uid="{65D2255D-5D91-4E25-867A-2D76B0742C9C}"/>
    <cellStyle name="_Final_Book_010301_Nsi_140(Зах) 2_Свод по Агрохоолдингу  (в т.ч КБН  )" xfId="617" xr:uid="{770C2485-2010-4478-8460-90C3B3071F37}"/>
    <cellStyle name="_Final_Book_010301_Nsi_140(Зах) 2_Форма по растениеводству (Акционеры) ИЛЧ" xfId="618" xr:uid="{C28BC092-D8ED-4A47-9EBB-81D2BFF10B55}"/>
    <cellStyle name="_Final_Book_010301_Nsi_140(Зах) 3" xfId="619" xr:uid="{C543EFAF-BE1F-4A5F-AC43-FA9324678AA1}"/>
    <cellStyle name="_Final_Book_010301_Nsi_140(Зах) 3_Копия Растениеводство форма(Акционеры)" xfId="620" xr:uid="{3ADE74C9-629B-4D4C-8AD6-8A0FC97F19DB}"/>
    <cellStyle name="_Final_Book_010301_Nsi_140(Зах) 3_М( ЗАР)" xfId="621" xr:uid="{0A99CD0F-6486-45C1-95AB-C8AC9D2B7B45}"/>
    <cellStyle name="_Final_Book_010301_Nsi_140(Зах) 3_Модель АгроГард на 5 лет" xfId="622" xr:uid="{9D6CFDB1-88E1-4FB9-9328-94DD401185CD}"/>
    <cellStyle name="_Final_Book_010301_Nsi_140(Зах) 3_раст.-факт" xfId="623" xr:uid="{343840F0-1433-4DCF-B659-57CA195211D1}"/>
    <cellStyle name="_Final_Book_010301_Nsi_140(Зах) 3_Растениеводство форма( АГМ)" xfId="624" xr:uid="{39D45A07-DE3A-4F12-B8F0-8C51A5B66B8E}"/>
    <cellStyle name="_Final_Book_010301_Nsi_140(Зах) 3_Свод по Агрохоолдингу  (в т.ч КБН  )" xfId="625" xr:uid="{DBCE3939-BE2A-491A-8552-A3609E55C057}"/>
    <cellStyle name="_Final_Book_010301_Nsi_140(Зах) 3_Форма по растениеводству (Акционеры) ИЛЧ" xfId="626" xr:uid="{BF5E3005-E38D-4029-9008-4144BAC6012A}"/>
    <cellStyle name="_Final_Book_010301_Nsi_140(Зах)_АГМ" xfId="627" xr:uid="{F14B7D7B-A104-4C0D-8D5D-0D2E924C963F}"/>
    <cellStyle name="_Final_Book_010301_Nsi_140(Зах)_Копия Растениеводство форма(Акционеры)" xfId="628" xr:uid="{F030446B-6B5D-40A3-AA27-6348139D5A4C}"/>
    <cellStyle name="_Final_Book_010301_Nsi_140(Зах)_М( ЗАР)" xfId="629" xr:uid="{B20EF652-68EC-4408-AE08-5CA4A2C22981}"/>
    <cellStyle name="_Final_Book_010301_Nsi_140(Зах)_Модель АгроГард на 5 лет" xfId="630" xr:uid="{1F7F3ABF-78A0-4103-890A-F8F7B1B3EA68}"/>
    <cellStyle name="_Final_Book_010301_Nsi_140(Зах)_НИК-09" xfId="631" xr:uid="{BD1061F9-D692-4114-8CF8-9E944186E8A0}"/>
    <cellStyle name="_Final_Book_010301_Nsi_140(Зах)_раст.-факт" xfId="632" xr:uid="{DDF4873D-B950-498E-8F71-8DC647C4CB65}"/>
    <cellStyle name="_Final_Book_010301_Nsi_140(Зах)_Растениеводство форма( АГМ)" xfId="633" xr:uid="{FED6C529-FC50-434D-982C-3EAD267C532F}"/>
    <cellStyle name="_Final_Book_010301_Nsi_140(Зах)_Свод по Агрохоолдингу  (в т.ч КБН  )" xfId="634" xr:uid="{8B128A42-707C-44E3-B166-EBB0C51295DD}"/>
    <cellStyle name="_Final_Book_010301_Nsi_140(Зах)_ТК-2011 АГМ+транспорт" xfId="635" xr:uid="{F40D60A7-F21B-4E47-A3A9-18F3C4616742}"/>
    <cellStyle name="_Final_Book_010301_Nsi_140(Зах)_Форма по растениеводству (Акционеры) ИЛЧ" xfId="636" xr:uid="{971DE8E6-BFB5-4852-A2EF-9E913F308931}"/>
    <cellStyle name="_Final_Book_010301_Nsi_140_mod" xfId="637" xr:uid="{C9B059EF-F255-4621-AA39-198945FE6313}"/>
    <cellStyle name="_Final_Book_010301_Nsi_140_mod 1" xfId="638" xr:uid="{753BE5AC-301C-4EFA-8132-405A436F1E6B}"/>
    <cellStyle name="_Final_Book_010301_Nsi_140_mod 1_Копия Растениеводство форма(Акционеры)" xfId="639" xr:uid="{89DF9CF7-A90F-4770-B303-A59E4D0CA6B6}"/>
    <cellStyle name="_Final_Book_010301_Nsi_140_mod 1_М( ЗАР)" xfId="640" xr:uid="{187DFABB-8C79-4CCF-AB8C-C6EFB70145E8}"/>
    <cellStyle name="_Final_Book_010301_Nsi_140_mod 1_Модель АгроГард на 5 лет" xfId="641" xr:uid="{ACFD7D56-E381-44D5-84F0-07C275B502E7}"/>
    <cellStyle name="_Final_Book_010301_Nsi_140_mod 1_раст.-факт" xfId="642" xr:uid="{7DFF183F-7FD9-4515-99C7-3804E669548F}"/>
    <cellStyle name="_Final_Book_010301_Nsi_140_mod 1_Растениеводство форма( АГМ)" xfId="643" xr:uid="{4CCA3029-838B-4D2E-9D3A-E6A8C3A70BF7}"/>
    <cellStyle name="_Final_Book_010301_Nsi_140_mod 1_Свод по Агрохоолдингу  (в т.ч КБН  )" xfId="644" xr:uid="{7A8A79F4-79A0-452A-A642-64C592855A4C}"/>
    <cellStyle name="_Final_Book_010301_Nsi_140_mod 1_Форма по растениеводству (Акционеры) ИЛЧ" xfId="645" xr:uid="{FEA0A1B7-9704-49F8-A6A8-72843995C311}"/>
    <cellStyle name="_Final_Book_010301_Nsi_140_mod 2" xfId="646" xr:uid="{3893AC65-007C-47AA-BC36-9A1889428155}"/>
    <cellStyle name="_Final_Book_010301_Nsi_140_mod 2_Копия Растениеводство форма(Акционеры)" xfId="647" xr:uid="{2603CFF7-A1D5-4B8F-AA63-191BA41557BF}"/>
    <cellStyle name="_Final_Book_010301_Nsi_140_mod 2_М( ЗАР)" xfId="648" xr:uid="{D6F6DA93-EDF2-4CFC-AB21-35557365769C}"/>
    <cellStyle name="_Final_Book_010301_Nsi_140_mod 2_Модель АгроГард на 5 лет" xfId="649" xr:uid="{9CFF2E48-CE53-435D-94AC-0B8C97127C6F}"/>
    <cellStyle name="_Final_Book_010301_Nsi_140_mod 2_раст.-факт" xfId="650" xr:uid="{CAB4A1AB-ED10-457B-ACDC-AB2B68117F58}"/>
    <cellStyle name="_Final_Book_010301_Nsi_140_mod 2_Растениеводство форма( АГМ)" xfId="651" xr:uid="{A5CDD0B4-502D-4FE7-A768-4AF3053FB208}"/>
    <cellStyle name="_Final_Book_010301_Nsi_140_mod 2_Свод по Агрохоолдингу  (в т.ч КБН  )" xfId="652" xr:uid="{828A0768-8C53-4E9D-8977-9E923B2830B2}"/>
    <cellStyle name="_Final_Book_010301_Nsi_140_mod 2_Форма по растениеводству (Акционеры) ИЛЧ" xfId="653" xr:uid="{12BD798C-A291-494F-8004-17B1DEFC3FC0}"/>
    <cellStyle name="_Final_Book_010301_Nsi_140_mod 3" xfId="654" xr:uid="{15E19D17-FBC4-467C-BB5B-969059E2D27A}"/>
    <cellStyle name="_Final_Book_010301_Nsi_140_mod 3_Копия Растениеводство форма(Акционеры)" xfId="655" xr:uid="{480CF3E1-8B5F-46BD-9793-370F37929805}"/>
    <cellStyle name="_Final_Book_010301_Nsi_140_mod 3_М( ЗАР)" xfId="656" xr:uid="{8A863703-6D08-483C-9713-BF02A7CECB12}"/>
    <cellStyle name="_Final_Book_010301_Nsi_140_mod 3_Модель АгроГард на 5 лет" xfId="657" xr:uid="{81C194E3-EA85-4E9B-A8B1-300E817819B4}"/>
    <cellStyle name="_Final_Book_010301_Nsi_140_mod 3_раст.-факт" xfId="658" xr:uid="{20D379F7-D18E-44AF-A4B5-37B6DE93998D}"/>
    <cellStyle name="_Final_Book_010301_Nsi_140_mod 3_Растениеводство форма( АГМ)" xfId="659" xr:uid="{69BDE488-D9C6-4BB0-90F8-E0D1C4936738}"/>
    <cellStyle name="_Final_Book_010301_Nsi_140_mod 3_Свод по Агрохоолдингу  (в т.ч КБН  )" xfId="660" xr:uid="{9682F3DF-DBAC-4082-9E7B-CEF2BC8F5206}"/>
    <cellStyle name="_Final_Book_010301_Nsi_140_mod 3_Форма по растениеводству (Акционеры) ИЛЧ" xfId="661" xr:uid="{8573E42D-EA9D-4797-BDBB-F9C3973C4E07}"/>
    <cellStyle name="_Final_Book_010301_Nsi_140_mod_АГМ" xfId="662" xr:uid="{4983DD7A-B894-4BC6-9344-AC475A45866F}"/>
    <cellStyle name="_Final_Book_010301_Nsi_140_mod_Копия Растениеводство форма(Акционеры)" xfId="663" xr:uid="{96671E7C-3989-4A9B-9F17-47E176E4DA9A}"/>
    <cellStyle name="_Final_Book_010301_Nsi_140_mod_М( ЗАР)" xfId="664" xr:uid="{88E6701D-14D3-40DA-AA9D-4F6F001952F5}"/>
    <cellStyle name="_Final_Book_010301_Nsi_140_mod_Модель АгроГард на 5 лет" xfId="665" xr:uid="{7E1F2C8C-C459-4265-B37A-D29740AC877D}"/>
    <cellStyle name="_Final_Book_010301_Nsi_140_mod_НИК-09" xfId="666" xr:uid="{C9C04695-1777-4935-950A-B37C4189F381}"/>
    <cellStyle name="_Final_Book_010301_Nsi_140_mod_раст.-факт" xfId="667" xr:uid="{A41764E7-A4D5-4892-9174-648082124F43}"/>
    <cellStyle name="_Final_Book_010301_Nsi_140_mod_Растениеводство форма( АГМ)" xfId="668" xr:uid="{4BE81954-69C2-496C-9A5F-CDAEFCF52F45}"/>
    <cellStyle name="_Final_Book_010301_Nsi_140_mod_Свод по Агрохоолдингу  (в т.ч КБН  )" xfId="669" xr:uid="{015571C6-F1F9-4150-B364-EF911454D16D}"/>
    <cellStyle name="_Final_Book_010301_Nsi_140_mod_ТК-2011 АГМ+транспорт" xfId="670" xr:uid="{A9A296C7-2598-4D9A-A6B1-BBFCEF42D07D}"/>
    <cellStyle name="_Final_Book_010301_Nsi_140_mod_Форма по растениеводству (Акционеры) ИЛЧ" xfId="671" xr:uid="{3B5EF078-57C8-4D7D-A2E7-477C093E6595}"/>
    <cellStyle name="_Final_Book_010301_Nsi_140_АГМ" xfId="672" xr:uid="{B6E3BF1F-A5F9-46D2-B261-3AC9B940D3EC}"/>
    <cellStyle name="_Final_Book_010301_Nsi_140_Копия Растениеводство форма(Акционеры)" xfId="673" xr:uid="{61426E24-9D8E-44CD-AD55-8A553B172A82}"/>
    <cellStyle name="_Final_Book_010301_Nsi_140_М( ЗАР)" xfId="674" xr:uid="{1AC1B8BC-6333-470E-B1CA-1EA84367D231}"/>
    <cellStyle name="_Final_Book_010301_Nsi_140_Модель АгроГард на 5 лет" xfId="675" xr:uid="{69B5835C-653B-460F-9146-A322F523339B}"/>
    <cellStyle name="_Final_Book_010301_Nsi_140_НИК-09" xfId="676" xr:uid="{C42DD44B-25DF-4A9F-AB22-8D42C1F6BA60}"/>
    <cellStyle name="_Final_Book_010301_Nsi_140_раст.-факт" xfId="677" xr:uid="{3B9EF6CE-42C9-4024-8AA1-97C7512F9214}"/>
    <cellStyle name="_Final_Book_010301_Nsi_140_Растениеводство форма( АГМ)" xfId="678" xr:uid="{B833907A-AF5C-48F9-B9FF-DCEEF6DD3CB0}"/>
    <cellStyle name="_Final_Book_010301_Nsi_140_Свод по Агрохоолдингу  (в т.ч КБН  )" xfId="679" xr:uid="{264B48A5-7A35-43E5-9B63-F97D0D3E726B}"/>
    <cellStyle name="_Final_Book_010301_Nsi_140_ТК-2011 АГМ+транспорт" xfId="680" xr:uid="{B72058E4-D5B6-4658-955A-873FFED7FE66}"/>
    <cellStyle name="_Final_Book_010301_Nsi_140_Форма по растениеводству (Акционеры) ИЛЧ" xfId="681" xr:uid="{FCE10966-97A9-4214-A07A-8EF8A75C5E5E}"/>
    <cellStyle name="_Final_Book_010301_Nsi_АГМ" xfId="682" xr:uid="{3CBD958A-5845-4E4D-BBFA-6D14F3DF2029}"/>
    <cellStyle name="_Final_Book_010301_Nsi_Копия Растениеводство форма(Акционеры)" xfId="683" xr:uid="{98A1F5A7-30EE-497D-8E59-C2CF1FEBEA91}"/>
    <cellStyle name="_Final_Book_010301_Nsi_М( ЗАР)" xfId="684" xr:uid="{15224AC0-B8BB-4667-829A-B98194F3B741}"/>
    <cellStyle name="_Final_Book_010301_Nsi_Модель АгроГард на 5 лет" xfId="685" xr:uid="{89F7C61B-F2C1-4649-BAF4-D9B8718D3A08}"/>
    <cellStyle name="_Final_Book_010301_Nsi_НИК-09" xfId="686" xr:uid="{DE845CED-7E5E-4BE6-BA44-B47342D6C7AF}"/>
    <cellStyle name="_Final_Book_010301_Nsi_раст.-факт" xfId="687" xr:uid="{AE346880-613C-4C1F-8F42-54B43F02BFFA}"/>
    <cellStyle name="_Final_Book_010301_Nsi_Растениеводство форма( АГМ)" xfId="688" xr:uid="{7D9AE068-5CFC-4BE5-89BF-277F844CA87D}"/>
    <cellStyle name="_Final_Book_010301_Nsi_Свод по Агрохоолдингу  (в т.ч КБН  )" xfId="689" xr:uid="{632048E7-DEE4-487E-9C25-D3511ACFFCE0}"/>
    <cellStyle name="_Final_Book_010301_Nsi_ТК-2011 АГМ+транспорт" xfId="690" xr:uid="{B9A094A6-66D8-489F-B2FE-64940ED5E8E5}"/>
    <cellStyle name="_Final_Book_010301_Nsi_Форма по растениеводству (Акционеры) ИЛЧ" xfId="691" xr:uid="{283EB4A8-14DF-4C43-95DE-406FDA97281D}"/>
    <cellStyle name="_Final_Book_010301_Summary" xfId="692" xr:uid="{2D185334-B33F-40B8-9EA3-97C50612C59D}"/>
    <cellStyle name="_Final_Book_010301_Summary 1" xfId="693" xr:uid="{F0DCF64A-2EC1-4D66-B9FA-00FAF5A2F5E2}"/>
    <cellStyle name="_Final_Book_010301_Summary 1_Копия Растениеводство форма(Акционеры)" xfId="694" xr:uid="{0CF1480F-58D8-4AE0-A4C2-866A27E3A98B}"/>
    <cellStyle name="_Final_Book_010301_Summary 1_М( ЗАР)" xfId="695" xr:uid="{B2AD0C8B-3CA0-485E-9FF9-E07AB880EDE4}"/>
    <cellStyle name="_Final_Book_010301_Summary 1_Модель АгроГард на 5 лет" xfId="696" xr:uid="{02DC31AD-84FE-43EF-84D8-7E99B2C9CA1B}"/>
    <cellStyle name="_Final_Book_010301_Summary 1_раст.-факт" xfId="697" xr:uid="{2B14993B-CDCA-4A65-BE22-E21C95DD3190}"/>
    <cellStyle name="_Final_Book_010301_Summary 1_Растениеводство форма( АГМ)" xfId="698" xr:uid="{36C0BBF0-7CAE-4CA1-951C-FB27D6A84113}"/>
    <cellStyle name="_Final_Book_010301_Summary 1_Свод по Агрохоолдингу  (в т.ч КБН  )" xfId="699" xr:uid="{B6E10F0A-D965-412E-BE35-835C8138C91E}"/>
    <cellStyle name="_Final_Book_010301_Summary 1_Форма по растениеводству (Акционеры) ИЛЧ" xfId="700" xr:uid="{3FB4C85A-2E6B-4937-B7A4-96BD99093C83}"/>
    <cellStyle name="_Final_Book_010301_Summary 2" xfId="701" xr:uid="{8A6AA652-F1DC-4180-90FD-57D95A039ED9}"/>
    <cellStyle name="_Final_Book_010301_Summary 2_Копия Растениеводство форма(Акционеры)" xfId="702" xr:uid="{40B89AD4-7C38-4935-93B2-DD4FE5805CE5}"/>
    <cellStyle name="_Final_Book_010301_Summary 2_М( ЗАР)" xfId="703" xr:uid="{664B33F9-136B-4D33-8F82-726A9DD03839}"/>
    <cellStyle name="_Final_Book_010301_Summary 2_Модель АгроГард на 5 лет" xfId="704" xr:uid="{D6C2A316-3C5B-4931-BE38-4694AC70B9FD}"/>
    <cellStyle name="_Final_Book_010301_Summary 2_раст.-факт" xfId="705" xr:uid="{BA878254-5BA7-43C0-B7F5-84CBF52B6F61}"/>
    <cellStyle name="_Final_Book_010301_Summary 2_Растениеводство форма( АГМ)" xfId="706" xr:uid="{C7FEDFF1-5C97-46F8-A85D-0724A50F8D5B}"/>
    <cellStyle name="_Final_Book_010301_Summary 2_Свод по Агрохоолдингу  (в т.ч КБН  )" xfId="707" xr:uid="{193B307B-B7E3-4AC1-BEE9-287A9B0CF352}"/>
    <cellStyle name="_Final_Book_010301_Summary 2_Форма по растениеводству (Акционеры) ИЛЧ" xfId="708" xr:uid="{67B6F934-003F-4DD4-9A63-724F54A301EF}"/>
    <cellStyle name="_Final_Book_010301_Summary 3" xfId="709" xr:uid="{560DE72A-4AD7-4ACB-97FA-65B4BA66CDE3}"/>
    <cellStyle name="_Final_Book_010301_Summary 3_Копия Растениеводство форма(Акционеры)" xfId="710" xr:uid="{EEEB10E6-A1FB-444F-8849-E3CE321B5D7D}"/>
    <cellStyle name="_Final_Book_010301_Summary 3_М( ЗАР)" xfId="711" xr:uid="{E28AE187-65C6-4ABB-BDC2-58FD57CC134C}"/>
    <cellStyle name="_Final_Book_010301_Summary 3_Модель АгроГард на 5 лет" xfId="712" xr:uid="{BFE892B4-1661-40F3-9985-D58C3030CBF9}"/>
    <cellStyle name="_Final_Book_010301_Summary 3_раст.-факт" xfId="713" xr:uid="{B787B8B4-6703-467E-9CF7-996CE08DADE7}"/>
    <cellStyle name="_Final_Book_010301_Summary 3_Растениеводство форма( АГМ)" xfId="714" xr:uid="{609240ED-1788-4BF0-933E-B1005CF4377A}"/>
    <cellStyle name="_Final_Book_010301_Summary 3_Свод по Агрохоолдингу  (в т.ч КБН  )" xfId="715" xr:uid="{B56E6B6F-D944-4B09-B822-C5B1EC0123C4}"/>
    <cellStyle name="_Final_Book_010301_Summary 3_Форма по растениеводству (Акционеры) ИЛЧ" xfId="716" xr:uid="{7EB75114-8839-49BD-86BF-FFA45F293C49}"/>
    <cellStyle name="_Final_Book_010301_Summary_АГМ" xfId="717" xr:uid="{CA23E6E0-FB01-4ADE-AE76-35613E5CCFC5}"/>
    <cellStyle name="_Final_Book_010301_Summary_Копия Растениеводство форма(Акционеры)" xfId="718" xr:uid="{71BC7B4F-A09A-4927-BEC1-607E9A5FD9D7}"/>
    <cellStyle name="_Final_Book_010301_Summary_М( ЗАР)" xfId="719" xr:uid="{963851C1-F27C-4772-86FD-41A88027BC35}"/>
    <cellStyle name="_Final_Book_010301_Summary_Модель АгроГард на 5 лет" xfId="720" xr:uid="{098AF47F-0EC2-4F70-9807-F220BA695FE4}"/>
    <cellStyle name="_Final_Book_010301_Summary_НИК-09" xfId="721" xr:uid="{23503E9E-FE58-43ED-B172-1033E89F685C}"/>
    <cellStyle name="_Final_Book_010301_Summary_раст.-факт" xfId="722" xr:uid="{27CF3E35-06F7-4293-8282-58B3540FB64F}"/>
    <cellStyle name="_Final_Book_010301_Summary_Растениеводство форма( АГМ)" xfId="723" xr:uid="{B91DBFE6-225F-4178-AF24-3C1C9CA7C0D2}"/>
    <cellStyle name="_Final_Book_010301_Summary_Свод по Агрохоолдингу  (в т.ч КБН  )" xfId="724" xr:uid="{AE859F92-FD05-40CA-9050-2DF9351D40B6}"/>
    <cellStyle name="_Final_Book_010301_Summary_ТК-2011 АГМ+транспорт" xfId="725" xr:uid="{9F562BC7-C9D1-4495-B83E-E9C9A541D453}"/>
    <cellStyle name="_Final_Book_010301_Summary_Форма по растениеводству (Акционеры) ИЛЧ" xfId="726" xr:uid="{C4EBCED2-7DB9-480A-97DE-7630DFF95462}"/>
    <cellStyle name="_Final_Book_010301_Tax_form_1кв_3" xfId="727" xr:uid="{3A18BDFC-B4CC-4326-A2F6-53CD72E4C07D}"/>
    <cellStyle name="_Final_Book_010301_Tax_form_1кв_3 1" xfId="728" xr:uid="{7A5E2B0E-00C1-4950-BD27-130158CF17CE}"/>
    <cellStyle name="_Final_Book_010301_Tax_form_1кв_3 1_Копия Растениеводство форма(Акционеры)" xfId="729" xr:uid="{9A0A40D6-6573-461B-8596-2828E4579C5B}"/>
    <cellStyle name="_Final_Book_010301_Tax_form_1кв_3 1_М( ЗАР)" xfId="730" xr:uid="{1CCD96C6-7EAF-45CA-B8CA-2CED04B8475A}"/>
    <cellStyle name="_Final_Book_010301_Tax_form_1кв_3 1_Модель АгроГард на 5 лет" xfId="731" xr:uid="{C86EBFD6-F77B-46F9-93FD-E69DD0305999}"/>
    <cellStyle name="_Final_Book_010301_Tax_form_1кв_3 1_раст.-факт" xfId="732" xr:uid="{378D8318-F114-45BE-8836-7CD056E2C718}"/>
    <cellStyle name="_Final_Book_010301_Tax_form_1кв_3 1_Растениеводство форма( АГМ)" xfId="733" xr:uid="{BCE5E0FE-2175-4B24-85C5-923B3EFC2E57}"/>
    <cellStyle name="_Final_Book_010301_Tax_form_1кв_3 1_Свод по Агрохоолдингу  (в т.ч КБН  )" xfId="734" xr:uid="{68A06632-5D69-4D73-B351-8E4A2D5C9DF7}"/>
    <cellStyle name="_Final_Book_010301_Tax_form_1кв_3 1_Форма по растениеводству (Акционеры) ИЛЧ" xfId="735" xr:uid="{54B65601-DAA9-4CE8-9FF9-0E669AEDA85B}"/>
    <cellStyle name="_Final_Book_010301_Tax_form_1кв_3 2" xfId="736" xr:uid="{55E2A6ED-39F9-428C-93D3-6B35E651E38C}"/>
    <cellStyle name="_Final_Book_010301_Tax_form_1кв_3 2_Копия Растениеводство форма(Акционеры)" xfId="737" xr:uid="{A9F343E7-03D7-496F-BE03-1045F8847A14}"/>
    <cellStyle name="_Final_Book_010301_Tax_form_1кв_3 2_М( ЗАР)" xfId="738" xr:uid="{4335A74B-4B7D-471E-9A61-ABD3BB829211}"/>
    <cellStyle name="_Final_Book_010301_Tax_form_1кв_3 2_Модель АгроГард на 5 лет" xfId="739" xr:uid="{8C409283-2ECB-4C67-A05F-08A4B75B9627}"/>
    <cellStyle name="_Final_Book_010301_Tax_form_1кв_3 2_раст.-факт" xfId="740" xr:uid="{669C441F-3532-4E22-9313-3A5136F38904}"/>
    <cellStyle name="_Final_Book_010301_Tax_form_1кв_3 2_Растениеводство форма( АГМ)" xfId="741" xr:uid="{DDECD28B-3343-4193-A5DA-DE4031FC7133}"/>
    <cellStyle name="_Final_Book_010301_Tax_form_1кв_3 2_Свод по Агрохоолдингу  (в т.ч КБН  )" xfId="742" xr:uid="{EA859CE9-01E2-4DAB-A5F4-A6BDA0F18883}"/>
    <cellStyle name="_Final_Book_010301_Tax_form_1кв_3 2_Форма по растениеводству (Акционеры) ИЛЧ" xfId="743" xr:uid="{82C22CA9-69A2-4214-9702-8E709C314512}"/>
    <cellStyle name="_Final_Book_010301_Tax_form_1кв_3 3" xfId="744" xr:uid="{3184E7FC-436A-4ED8-8298-C806D05FE230}"/>
    <cellStyle name="_Final_Book_010301_Tax_form_1кв_3 3_Копия Растениеводство форма(Акционеры)" xfId="745" xr:uid="{F63A85CA-0E30-4B11-B1F4-6C05DCDFACCC}"/>
    <cellStyle name="_Final_Book_010301_Tax_form_1кв_3 3_М( ЗАР)" xfId="746" xr:uid="{D962621C-5538-4659-9F46-82C9F479DF18}"/>
    <cellStyle name="_Final_Book_010301_Tax_form_1кв_3 3_Модель АгроГард на 5 лет" xfId="747" xr:uid="{905C4668-29B2-4208-843C-9BCD425AAF47}"/>
    <cellStyle name="_Final_Book_010301_Tax_form_1кв_3 3_раст.-факт" xfId="748" xr:uid="{D8D03DF3-3605-43EF-8BD3-ACA1F84253D0}"/>
    <cellStyle name="_Final_Book_010301_Tax_form_1кв_3 3_Растениеводство форма( АГМ)" xfId="749" xr:uid="{F1BA2EA2-E046-41A7-A4C3-B46490CE72C2}"/>
    <cellStyle name="_Final_Book_010301_Tax_form_1кв_3 3_Свод по Агрохоолдингу  (в т.ч КБН  )" xfId="750" xr:uid="{43B9578B-9411-4C5C-B0DC-DFD58A680B44}"/>
    <cellStyle name="_Final_Book_010301_Tax_form_1кв_3 3_Форма по растениеводству (Акционеры) ИЛЧ" xfId="751" xr:uid="{16BDA9FD-175F-4BBB-BF30-7F09B16D700F}"/>
    <cellStyle name="_Final_Book_010301_Tax_form_1кв_3_АГМ" xfId="752" xr:uid="{AA8B3542-C16C-4CED-A3C9-4427BBD2412F}"/>
    <cellStyle name="_Final_Book_010301_Tax_form_1кв_3_Копия Растениеводство форма(Акционеры)" xfId="753" xr:uid="{C923CB66-3C3D-4E55-9AF6-43957DB08227}"/>
    <cellStyle name="_Final_Book_010301_Tax_form_1кв_3_М( ЗАР)" xfId="754" xr:uid="{4D58C101-93A7-4E78-90B3-8ABBE6A0D873}"/>
    <cellStyle name="_Final_Book_010301_Tax_form_1кв_3_Модель АгроГард на 5 лет" xfId="755" xr:uid="{2FB2EFED-9C76-4265-97CF-4394BB3360DC}"/>
    <cellStyle name="_Final_Book_010301_Tax_form_1кв_3_НИК-09" xfId="756" xr:uid="{7F4483DA-7B90-456B-8F93-AFF094F3314C}"/>
    <cellStyle name="_Final_Book_010301_Tax_form_1кв_3_раст.-факт" xfId="757" xr:uid="{4D89D428-1792-4B23-A509-960B701CDAD9}"/>
    <cellStyle name="_Final_Book_010301_Tax_form_1кв_3_Растениеводство форма( АГМ)" xfId="758" xr:uid="{AE5187F7-D401-4BC4-877E-7B22774ECF05}"/>
    <cellStyle name="_Final_Book_010301_Tax_form_1кв_3_Свод по Агрохоолдингу  (в т.ч КБН  )" xfId="759" xr:uid="{B318E96B-B55F-43C2-9F51-32941C934AB0}"/>
    <cellStyle name="_Final_Book_010301_Tax_form_1кв_3_ТК-2011 АГМ+транспорт" xfId="760" xr:uid="{D2CAB0FC-CF3D-41EF-9DB0-2D16551E2785}"/>
    <cellStyle name="_Final_Book_010301_Tax_form_1кв_3_Форма по растениеводству (Акционеры) ИЛЧ" xfId="761" xr:uid="{6FFFFD16-51CB-421E-A5BF-A8E305D8D126}"/>
    <cellStyle name="_Final_Book_010301_АГМ" xfId="762" xr:uid="{83E60342-6EDB-45A4-9DD9-2D6B72BF2AC0}"/>
    <cellStyle name="_Final_Book_010301_БКЭ" xfId="763" xr:uid="{584674D3-4061-472E-94FC-A9258B6C110B}"/>
    <cellStyle name="_Final_Book_010301_БКЭ 1" xfId="764" xr:uid="{AB523EB2-2C4E-40EE-948E-670866984DDD}"/>
    <cellStyle name="_Final_Book_010301_БКЭ 1_Копия Растениеводство форма(Акционеры)" xfId="765" xr:uid="{A4699954-172F-4505-9C1D-0E5AD3CDE244}"/>
    <cellStyle name="_Final_Book_010301_БКЭ 1_М( ЗАР)" xfId="766" xr:uid="{6FB227C1-381F-4C44-91E4-E4882A71D2AB}"/>
    <cellStyle name="_Final_Book_010301_БКЭ 1_Модель АгроГард на 5 лет" xfId="767" xr:uid="{78A3A3E2-7D22-4D40-8C2E-11ECB904A003}"/>
    <cellStyle name="_Final_Book_010301_БКЭ 1_раст.-факт" xfId="768" xr:uid="{F1BFD4F7-CFD8-41EE-B105-D60BD1AE15B1}"/>
    <cellStyle name="_Final_Book_010301_БКЭ 1_Растениеводство форма( АГМ)" xfId="769" xr:uid="{0FDAD695-C548-4337-827F-01F4C4F72518}"/>
    <cellStyle name="_Final_Book_010301_БКЭ 1_Свод по Агрохоолдингу  (в т.ч КБН  )" xfId="770" xr:uid="{0905A955-9B35-419B-9D77-D7455BF3CA45}"/>
    <cellStyle name="_Final_Book_010301_БКЭ 1_Форма по растениеводству (Акционеры) ИЛЧ" xfId="771" xr:uid="{AE7C37D2-B71B-4C69-B816-59B9EF955AFB}"/>
    <cellStyle name="_Final_Book_010301_БКЭ 2" xfId="772" xr:uid="{A8FEE9B8-B948-4EE2-AA95-E457A8B62083}"/>
    <cellStyle name="_Final_Book_010301_БКЭ 2_Копия Растениеводство форма(Акционеры)" xfId="773" xr:uid="{943E7173-23FB-47A9-82BF-0E840F49EEC6}"/>
    <cellStyle name="_Final_Book_010301_БКЭ 2_М( ЗАР)" xfId="774" xr:uid="{D5E5AC40-5131-45D4-9088-73A9B711E73B}"/>
    <cellStyle name="_Final_Book_010301_БКЭ 2_Модель АгроГард на 5 лет" xfId="775" xr:uid="{34AF6752-D51D-4561-9D7C-18B7E3E71547}"/>
    <cellStyle name="_Final_Book_010301_БКЭ 2_раст.-факт" xfId="776" xr:uid="{A35FB538-1CBB-4ECD-BEF8-70DD125A7701}"/>
    <cellStyle name="_Final_Book_010301_БКЭ 2_Растениеводство форма( АГМ)" xfId="777" xr:uid="{3A729F40-F679-4217-B321-C803EB7D73A1}"/>
    <cellStyle name="_Final_Book_010301_БКЭ 2_Свод по Агрохоолдингу  (в т.ч КБН  )" xfId="778" xr:uid="{946578B4-90C3-44AF-9248-E1B2FA540B02}"/>
    <cellStyle name="_Final_Book_010301_БКЭ 2_Форма по растениеводству (Акционеры) ИЛЧ" xfId="779" xr:uid="{1669A03D-B13C-4AD3-9B1D-81C411BB16E1}"/>
    <cellStyle name="_Final_Book_010301_БКЭ 3" xfId="780" xr:uid="{E4072702-2C22-4A4A-8457-9DCB23C70DEB}"/>
    <cellStyle name="_Final_Book_010301_БКЭ 3_Копия Растениеводство форма(Акционеры)" xfId="781" xr:uid="{133990BD-D381-4D6D-96BA-DAD0385A058A}"/>
    <cellStyle name="_Final_Book_010301_БКЭ 3_М( ЗАР)" xfId="782" xr:uid="{CF43D6A1-DC02-4F5B-A0EA-9701B418D8A9}"/>
    <cellStyle name="_Final_Book_010301_БКЭ 3_Модель АгроГард на 5 лет" xfId="783" xr:uid="{92D393DE-8AA5-4C0A-A7E4-C7BCCDDC8428}"/>
    <cellStyle name="_Final_Book_010301_БКЭ 3_раст.-факт" xfId="784" xr:uid="{CE1F3CC4-7CAF-44C8-91C9-FC61C471C900}"/>
    <cellStyle name="_Final_Book_010301_БКЭ 3_Растениеводство форма( АГМ)" xfId="785" xr:uid="{72F589E0-E601-422B-8F77-EE5681269589}"/>
    <cellStyle name="_Final_Book_010301_БКЭ 3_Свод по Агрохоолдингу  (в т.ч КБН  )" xfId="786" xr:uid="{7AE6F052-BA9D-4238-A75D-8B8348B153E8}"/>
    <cellStyle name="_Final_Book_010301_БКЭ 3_Форма по растениеводству (Акционеры) ИЛЧ" xfId="787" xr:uid="{A576EED8-3750-4C78-A838-FA08D789F021}"/>
    <cellStyle name="_Final_Book_010301_БКЭ_АГМ" xfId="788" xr:uid="{6123230E-0EB2-4EC2-B4B4-FF3FAE565EF4}"/>
    <cellStyle name="_Final_Book_010301_БКЭ_Копия Растениеводство форма(Акционеры)" xfId="789" xr:uid="{4CAFA763-8281-4F35-9D2B-8C90A6DF1B54}"/>
    <cellStyle name="_Final_Book_010301_БКЭ_М( ЗАР)" xfId="790" xr:uid="{8AA8660F-22B9-48A2-9BE3-3CEE4549B025}"/>
    <cellStyle name="_Final_Book_010301_БКЭ_Модель АгроГард на 5 лет" xfId="791" xr:uid="{C31AD9C3-2179-44C4-901B-715A8E04B5C2}"/>
    <cellStyle name="_Final_Book_010301_БКЭ_НИК-09" xfId="792" xr:uid="{9F4EFC47-E0B3-4BDE-B098-E163E09FD89B}"/>
    <cellStyle name="_Final_Book_010301_БКЭ_раст.-факт" xfId="793" xr:uid="{2FBC8DAD-D06A-4714-B873-02C8AB506332}"/>
    <cellStyle name="_Final_Book_010301_БКЭ_Растениеводство форма( АГМ)" xfId="794" xr:uid="{A2E0000D-C3EC-4A91-A006-9CCA88B0DAC6}"/>
    <cellStyle name="_Final_Book_010301_БКЭ_Свод по Агрохоолдингу  (в т.ч КБН  )" xfId="795" xr:uid="{00C375CD-221B-49A3-817E-69A85D695CBD}"/>
    <cellStyle name="_Final_Book_010301_БКЭ_ТК-2011 АГМ+транспорт" xfId="796" xr:uid="{60D02F2D-A295-4828-92C8-9516EC3684A9}"/>
    <cellStyle name="_Final_Book_010301_БКЭ_Форма по растениеводству (Акционеры) ИЛЧ" xfId="797" xr:uid="{4E599364-BA37-4048-91AB-AB5B3F2D0ED5}"/>
    <cellStyle name="_Final_Book_010301_Копия Растениеводство форма(Акционеры)" xfId="798" xr:uid="{05654308-189A-4D1E-846F-D00091E73873}"/>
    <cellStyle name="_Final_Book_010301_М( ЗАР)" xfId="799" xr:uid="{35C22702-0E5D-408C-93C2-A3EB77470CA4}"/>
    <cellStyle name="_Final_Book_010301_Модель АгроГард на 5 лет" xfId="800" xr:uid="{959EDAA5-E84C-4942-BC7D-043017FF851A}"/>
    <cellStyle name="_Final_Book_010301_НИК-09" xfId="801" xr:uid="{44CA8137-4F41-42DF-881D-A68303439777}"/>
    <cellStyle name="_Final_Book_010301_раст.-факт" xfId="802" xr:uid="{B8AE6A05-600D-458B-9181-5C98539EBC50}"/>
    <cellStyle name="_Final_Book_010301_Растениеводство форма( АГМ)" xfId="803" xr:uid="{C12AB17A-AA7B-4FE2-807D-4DF80063A814}"/>
    <cellStyle name="_Final_Book_010301_Свод по Агрохоолдингу  (в т.ч КБН  )" xfId="804" xr:uid="{9D749D26-F93F-4171-9F77-A115B986935B}"/>
    <cellStyle name="_Final_Book_010301_ТК-2011 АГМ+транспорт" xfId="805" xr:uid="{51CA5C9F-3E21-4290-A90E-3B4373069FFE}"/>
    <cellStyle name="_Final_Book_010301_Форма по растениеводству (Акционеры) ИЛЧ" xfId="806" xr:uid="{F452B048-A545-46FC-AAF9-B99566BE58DC}"/>
    <cellStyle name="_New_Sofi" xfId="807" xr:uid="{E5C57E64-5ED1-4889-90B5-BA7060CF6278}"/>
    <cellStyle name="_New_Sofi 1" xfId="808" xr:uid="{7729B9B5-3B70-4870-BCED-FE4DA01F28D4}"/>
    <cellStyle name="_New_Sofi 1_Копия Растениеводство форма(Акционеры)" xfId="809" xr:uid="{918A3CC6-D647-41D7-8D30-2047926BE9A2}"/>
    <cellStyle name="_New_Sofi 1_М( ЗАР)" xfId="810" xr:uid="{D032BE27-AB00-46A9-B238-364F5494CAEB}"/>
    <cellStyle name="_New_Sofi 1_Модель АгроГард на 5 лет" xfId="811" xr:uid="{2C16D549-FB29-4FFE-8BDD-B03CA6C387D7}"/>
    <cellStyle name="_New_Sofi 1_раст.-факт" xfId="812" xr:uid="{E575BE53-5FE6-47B2-8331-4356EECF8BDF}"/>
    <cellStyle name="_New_Sofi 1_Растениеводство форма( АГМ)" xfId="813" xr:uid="{FE3C73A4-7AB7-43A3-9CD6-56D947A32612}"/>
    <cellStyle name="_New_Sofi 1_Свод по Агрохоолдингу  (в т.ч КБН  )" xfId="814" xr:uid="{56455E8E-A256-4C32-AA02-04CFF0EBFBAA}"/>
    <cellStyle name="_New_Sofi 1_Форма по растениеводству (Акционеры) ИЛЧ" xfId="815" xr:uid="{CF5C01C8-3984-421C-B309-42BAAD200A01}"/>
    <cellStyle name="_New_Sofi 2" xfId="816" xr:uid="{58A0FBE1-E91E-4941-B982-346401A7A968}"/>
    <cellStyle name="_New_Sofi 2_Копия Растениеводство форма(Акционеры)" xfId="817" xr:uid="{24C77403-A762-41C5-B0B5-89003764BA8A}"/>
    <cellStyle name="_New_Sofi 2_М( ЗАР)" xfId="818" xr:uid="{0627A5EA-755E-491E-A37F-FEB7980C2CBD}"/>
    <cellStyle name="_New_Sofi 2_Модель АгроГард на 5 лет" xfId="819" xr:uid="{31732B75-3A7B-4B79-9902-ACE969E4D417}"/>
    <cellStyle name="_New_Sofi 2_раст.-факт" xfId="820" xr:uid="{A7FEF6CC-20CD-4FD4-B299-953E189F7274}"/>
    <cellStyle name="_New_Sofi 2_Растениеводство форма( АГМ)" xfId="821" xr:uid="{FDC3C02D-FFCD-4286-A780-2FF35EC093E5}"/>
    <cellStyle name="_New_Sofi 2_Свод по Агрохоолдингу  (в т.ч КБН  )" xfId="822" xr:uid="{0540C0F7-E7F5-4442-A197-42F5D4E88C49}"/>
    <cellStyle name="_New_Sofi 2_Форма по растениеводству (Акционеры) ИЛЧ" xfId="823" xr:uid="{19CFE384-7C8C-4500-A61F-4769B3301DA7}"/>
    <cellStyle name="_New_Sofi 3" xfId="824" xr:uid="{66219723-78FB-420D-BD35-2916018E89CD}"/>
    <cellStyle name="_New_Sofi 3_Копия Растениеводство форма(Акционеры)" xfId="825" xr:uid="{8ABA37B0-5081-4202-922B-8E97224BB79C}"/>
    <cellStyle name="_New_Sofi 3_М( ЗАР)" xfId="826" xr:uid="{9F0F23B7-23CD-4F28-8090-1EC82056BF00}"/>
    <cellStyle name="_New_Sofi 3_Модель АгроГард на 5 лет" xfId="827" xr:uid="{FAFA5941-98DB-4EB4-9DAB-AE930FEFEA14}"/>
    <cellStyle name="_New_Sofi 3_раст.-факт" xfId="828" xr:uid="{F0A7B680-DFB3-472D-9178-DA8D3B82CA5B}"/>
    <cellStyle name="_New_Sofi 3_Растениеводство форма( АГМ)" xfId="829" xr:uid="{9CCFF639-4217-4756-BE6A-90C4C9CD5BEF}"/>
    <cellStyle name="_New_Sofi 3_Свод по Агрохоолдингу  (в т.ч КБН  )" xfId="830" xr:uid="{4D182251-9C66-4AE9-80AB-4553BC614079}"/>
    <cellStyle name="_New_Sofi 3_Форма по растениеводству (Акционеры) ИЛЧ" xfId="831" xr:uid="{6E4B70ED-0A9D-4731-A0F7-130321CE30E2}"/>
    <cellStyle name="_New_Sofi_FFF" xfId="832" xr:uid="{C1C0CECE-C86D-4056-A7AB-01ADBA92B731}"/>
    <cellStyle name="_New_Sofi_FFF 1" xfId="833" xr:uid="{D98A0730-4FA3-4567-9AE8-A19A4112CE71}"/>
    <cellStyle name="_New_Sofi_FFF 1_Копия Растениеводство форма(Акционеры)" xfId="834" xr:uid="{9F36A486-3BC9-430B-AF1F-36F3DD736A21}"/>
    <cellStyle name="_New_Sofi_FFF 1_М( ЗАР)" xfId="835" xr:uid="{2CE5BAEB-1355-4E30-A5E4-AB22F11B64C8}"/>
    <cellStyle name="_New_Sofi_FFF 1_Модель АгроГард на 5 лет" xfId="836" xr:uid="{C9690AD6-3587-4C48-AB4A-B6E0FC65F177}"/>
    <cellStyle name="_New_Sofi_FFF 1_раст.-факт" xfId="837" xr:uid="{94970E58-4964-44A8-BF3A-7CF2E2863BE7}"/>
    <cellStyle name="_New_Sofi_FFF 1_Растениеводство форма( АГМ)" xfId="838" xr:uid="{B4BBD51F-6781-4DD0-A0A9-6C0B1FDE50A2}"/>
    <cellStyle name="_New_Sofi_FFF 1_Свод по Агрохоолдингу  (в т.ч КБН  )" xfId="839" xr:uid="{0E0C0CA5-24F2-475D-8FA3-1DC7C6E7F74A}"/>
    <cellStyle name="_New_Sofi_FFF 1_Форма по растениеводству (Акционеры) ИЛЧ" xfId="840" xr:uid="{8CBA05DE-4B1E-401A-8E23-F6734C495462}"/>
    <cellStyle name="_New_Sofi_FFF 2" xfId="841" xr:uid="{9D2BB145-B5FE-4579-8B43-EA054F47435D}"/>
    <cellStyle name="_New_Sofi_FFF 2_Копия Растениеводство форма(Акционеры)" xfId="842" xr:uid="{D2BFDA2A-F599-4FA2-8F3E-B7D85B1F0ABC}"/>
    <cellStyle name="_New_Sofi_FFF 2_М( ЗАР)" xfId="843" xr:uid="{E165ED55-FBB5-4503-9C1B-E223B50974CB}"/>
    <cellStyle name="_New_Sofi_FFF 2_Модель АгроГард на 5 лет" xfId="844" xr:uid="{4438B8DB-17EE-49B7-BE21-BC410C3F4CA3}"/>
    <cellStyle name="_New_Sofi_FFF 2_раст.-факт" xfId="845" xr:uid="{EE272E2B-ED22-4D4A-80F0-927825E4F387}"/>
    <cellStyle name="_New_Sofi_FFF 2_Растениеводство форма( АГМ)" xfId="846" xr:uid="{C46A297E-91FE-49DD-A7CD-B8F37B8DDCD8}"/>
    <cellStyle name="_New_Sofi_FFF 2_Свод по Агрохоолдингу  (в т.ч КБН  )" xfId="847" xr:uid="{55C4ED10-C61D-49ED-A186-BCE333FAA8E0}"/>
    <cellStyle name="_New_Sofi_FFF 2_Форма по растениеводству (Акционеры) ИЛЧ" xfId="848" xr:uid="{6CACEDEA-659D-4E74-9E5D-DD6C94601F1C}"/>
    <cellStyle name="_New_Sofi_FFF 3" xfId="849" xr:uid="{17F1822B-792B-40A8-8B55-7CD01A5028A8}"/>
    <cellStyle name="_New_Sofi_FFF 3_Копия Растениеводство форма(Акционеры)" xfId="850" xr:uid="{3B9E6FCC-EA53-4CA8-85D5-DD9EDC0A1442}"/>
    <cellStyle name="_New_Sofi_FFF 3_М( ЗАР)" xfId="851" xr:uid="{B96BDC37-C4B2-4941-B5A0-2492D448B4B8}"/>
    <cellStyle name="_New_Sofi_FFF 3_Модель АгроГард на 5 лет" xfId="852" xr:uid="{22ADB7F0-0705-4FE9-BB70-FFA863607936}"/>
    <cellStyle name="_New_Sofi_FFF 3_раст.-факт" xfId="853" xr:uid="{A466B51F-C9FE-4BC9-BED6-76ED33501511}"/>
    <cellStyle name="_New_Sofi_FFF 3_Растениеводство форма( АГМ)" xfId="854" xr:uid="{5089969F-2E35-42F2-9765-F46FE7DC9DB3}"/>
    <cellStyle name="_New_Sofi_FFF 3_Свод по Агрохоолдингу  (в т.ч КБН  )" xfId="855" xr:uid="{9EB431A9-417C-45B4-91CB-FB20FD742EDF}"/>
    <cellStyle name="_New_Sofi_FFF 3_Форма по растениеводству (Акционеры) ИЛЧ" xfId="856" xr:uid="{B8B784FE-1756-4224-B3D7-76AC00DD2DD9}"/>
    <cellStyle name="_New_Sofi_FFF_АГМ" xfId="857" xr:uid="{A9EF25DB-52B7-4799-8BEF-DC24B4AE82F7}"/>
    <cellStyle name="_New_Sofi_FFF_Копия Растениеводство форма(Акционеры)" xfId="858" xr:uid="{828C9A55-FFE1-4AF5-9186-8191E671940C}"/>
    <cellStyle name="_New_Sofi_FFF_М( ЗАР)" xfId="859" xr:uid="{28A85543-6836-4113-A618-52A2110D24E3}"/>
    <cellStyle name="_New_Sofi_FFF_Модель АгроГард на 5 лет" xfId="860" xr:uid="{9B47AC00-ED4A-48B8-B08E-24CCCA58D518}"/>
    <cellStyle name="_New_Sofi_FFF_НИК-09" xfId="861" xr:uid="{F4F23E6A-545C-479B-858E-4CA97B1FAEE9}"/>
    <cellStyle name="_New_Sofi_FFF_раст.-факт" xfId="862" xr:uid="{689A21B9-09E3-48E9-90E7-1A6749672BC3}"/>
    <cellStyle name="_New_Sofi_FFF_Растениеводство форма( АГМ)" xfId="863" xr:uid="{6454512B-3F57-4551-8422-033CDC5163D3}"/>
    <cellStyle name="_New_Sofi_FFF_Свод по Агрохоолдингу  (в т.ч КБН  )" xfId="864" xr:uid="{27804BB8-9984-4AA8-BD27-08120D817FB5}"/>
    <cellStyle name="_New_Sofi_FFF_ТК-2011 АГМ+транспорт" xfId="865" xr:uid="{BA841D8E-B6FC-4BCD-A58B-98E93EDAF8F8}"/>
    <cellStyle name="_New_Sofi_FFF_Форма по растениеводству (Акционеры) ИЛЧ" xfId="866" xr:uid="{4BAE91E6-9562-467E-8491-E45613172946}"/>
    <cellStyle name="_New_Sofi_New Form10_2" xfId="867" xr:uid="{83966C81-92A1-45CA-B6BB-CC5BA51EC0FA}"/>
    <cellStyle name="_New_Sofi_New Form10_2 1" xfId="868" xr:uid="{3CC2B6F2-6A0D-4063-B95A-EB6E80F07BBE}"/>
    <cellStyle name="_New_Sofi_New Form10_2 1_Копия Растениеводство форма(Акционеры)" xfId="869" xr:uid="{52B89E6F-448E-413B-9115-153BCFA26C83}"/>
    <cellStyle name="_New_Sofi_New Form10_2 1_М( ЗАР)" xfId="870" xr:uid="{E52A58FE-2E35-4E26-A16A-A3E5BDE9A0FB}"/>
    <cellStyle name="_New_Sofi_New Form10_2 1_Модель АгроГард на 5 лет" xfId="871" xr:uid="{46456E13-E60B-4693-867F-F1CB72B0AA22}"/>
    <cellStyle name="_New_Sofi_New Form10_2 1_раст.-факт" xfId="872" xr:uid="{C1E1DBCB-099E-498D-9ED4-C9FD220DDEF1}"/>
    <cellStyle name="_New_Sofi_New Form10_2 1_Растениеводство форма( АГМ)" xfId="873" xr:uid="{A7066D16-AAA9-4D53-8AF9-37269EC51C75}"/>
    <cellStyle name="_New_Sofi_New Form10_2 1_Свод по Агрохоолдингу  (в т.ч КБН  )" xfId="874" xr:uid="{FCC8B2D4-A767-460C-B09C-CD525768767A}"/>
    <cellStyle name="_New_Sofi_New Form10_2 1_Форма по растениеводству (Акционеры) ИЛЧ" xfId="875" xr:uid="{F08A2928-8FDE-49A0-AF8E-CFDF012E94E3}"/>
    <cellStyle name="_New_Sofi_New Form10_2 2" xfId="876" xr:uid="{2238776C-CBC8-4BDE-8C51-029E0379C97E}"/>
    <cellStyle name="_New_Sofi_New Form10_2 2_Копия Растениеводство форма(Акционеры)" xfId="877" xr:uid="{1975BBF6-EFDB-48B3-9FB0-E63BCD5F0B94}"/>
    <cellStyle name="_New_Sofi_New Form10_2 2_М( ЗАР)" xfId="878" xr:uid="{C6736A9D-8BB6-49B8-AFE5-AD46B05FE013}"/>
    <cellStyle name="_New_Sofi_New Form10_2 2_Модель АгроГард на 5 лет" xfId="879" xr:uid="{6F2687F8-4707-4362-B720-E14B7C95B57A}"/>
    <cellStyle name="_New_Sofi_New Form10_2 2_раст.-факт" xfId="880" xr:uid="{4F59C84E-AA9F-49B8-AB03-D2631786E94B}"/>
    <cellStyle name="_New_Sofi_New Form10_2 2_Растениеводство форма( АГМ)" xfId="881" xr:uid="{C447343F-1FBF-43FD-A386-D56E735B1EC1}"/>
    <cellStyle name="_New_Sofi_New Form10_2 2_Свод по Агрохоолдингу  (в т.ч КБН  )" xfId="882" xr:uid="{FE3E6CFF-08D1-442E-B547-032232003597}"/>
    <cellStyle name="_New_Sofi_New Form10_2 2_Форма по растениеводству (Акционеры) ИЛЧ" xfId="883" xr:uid="{EF3CF770-49F2-49C5-B3AB-3E1F86EC63DA}"/>
    <cellStyle name="_New_Sofi_New Form10_2 3" xfId="884" xr:uid="{1EEA50AC-2A25-44CA-BF0F-2D85C3940ACE}"/>
    <cellStyle name="_New_Sofi_New Form10_2 3_Копия Растениеводство форма(Акционеры)" xfId="885" xr:uid="{6EFF6495-B3BF-4513-B77A-521D8B15402B}"/>
    <cellStyle name="_New_Sofi_New Form10_2 3_М( ЗАР)" xfId="886" xr:uid="{8F12DB56-DCE3-4CE4-8843-0A44CDC6D711}"/>
    <cellStyle name="_New_Sofi_New Form10_2 3_Модель АгроГард на 5 лет" xfId="887" xr:uid="{AB1E049E-3E2F-43BD-A168-82613C9F7A99}"/>
    <cellStyle name="_New_Sofi_New Form10_2 3_раст.-факт" xfId="888" xr:uid="{C4EDE892-2C7F-4899-8282-EA49025E425F}"/>
    <cellStyle name="_New_Sofi_New Form10_2 3_Растениеводство форма( АГМ)" xfId="889" xr:uid="{2F8D0AA5-5CD9-40E2-8929-3B6F127EA927}"/>
    <cellStyle name="_New_Sofi_New Form10_2 3_Свод по Агрохоолдингу  (в т.ч КБН  )" xfId="890" xr:uid="{5AA78099-1690-4FDC-AB9A-FD3BF582CA7E}"/>
    <cellStyle name="_New_Sofi_New Form10_2 3_Форма по растениеводству (Акционеры) ИЛЧ" xfId="891" xr:uid="{3B9A9034-B01C-45A1-9CEC-5FF2A3579E9C}"/>
    <cellStyle name="_New_Sofi_New Form10_2_АГМ" xfId="892" xr:uid="{3A402A2B-99B5-46A0-A166-5FB3084B3483}"/>
    <cellStyle name="_New_Sofi_New Form10_2_Копия Растениеводство форма(Акционеры)" xfId="893" xr:uid="{34B3A6E4-122D-4397-A694-1838DF8D6009}"/>
    <cellStyle name="_New_Sofi_New Form10_2_М( ЗАР)" xfId="894" xr:uid="{86A3E552-70E3-493B-90FF-564F3844C1A4}"/>
    <cellStyle name="_New_Sofi_New Form10_2_Модель АгроГард на 5 лет" xfId="895" xr:uid="{7EB4FEE6-B92D-490A-8A66-CD9EAFA6DABD}"/>
    <cellStyle name="_New_Sofi_New Form10_2_НИК-09" xfId="896" xr:uid="{26E77EDD-86AB-4F25-9962-553DA13F7879}"/>
    <cellStyle name="_New_Sofi_New Form10_2_раст.-факт" xfId="897" xr:uid="{20E11FA4-884C-4AC6-AEF2-201E6197A750}"/>
    <cellStyle name="_New_Sofi_New Form10_2_Растениеводство форма( АГМ)" xfId="898" xr:uid="{51FE210F-6695-4D95-9216-6DFB32746E4E}"/>
    <cellStyle name="_New_Sofi_New Form10_2_Свод по Агрохоолдингу  (в т.ч КБН  )" xfId="899" xr:uid="{261A7408-FC6D-4253-8C6C-CEF421A1601C}"/>
    <cellStyle name="_New_Sofi_New Form10_2_ТК-2011 АГМ+транспорт" xfId="900" xr:uid="{F68CFB89-C9B0-43FD-84F1-4D3FA372EF58}"/>
    <cellStyle name="_New_Sofi_New Form10_2_Форма по растениеводству (Акционеры) ИЛЧ" xfId="901" xr:uid="{A967916D-1A7F-4144-B626-00512D7BEE3B}"/>
    <cellStyle name="_New_Sofi_Nsi" xfId="902" xr:uid="{610A2984-1FCC-45F5-AE86-03204FA1657C}"/>
    <cellStyle name="_New_Sofi_Nsi 1" xfId="903" xr:uid="{E624D77A-7791-415D-AD05-D9138B29BF82}"/>
    <cellStyle name="_New_Sofi_Nsi 1_Копия Растениеводство форма(Акционеры)" xfId="904" xr:uid="{0A6C6C83-3C97-4FB4-9870-6C0116E44FFA}"/>
    <cellStyle name="_New_Sofi_Nsi 1_М( ЗАР)" xfId="905" xr:uid="{F296BCEF-61A7-4E3C-AEA7-757DC0C5F6EA}"/>
    <cellStyle name="_New_Sofi_Nsi 1_Модель АгроГард на 5 лет" xfId="906" xr:uid="{AC7FF9FB-E003-4BDB-97F7-5095134A76E3}"/>
    <cellStyle name="_New_Sofi_Nsi 1_раст.-факт" xfId="907" xr:uid="{1441DBC6-E689-4AF5-8BF9-4B2761AC1AE1}"/>
    <cellStyle name="_New_Sofi_Nsi 1_Растениеводство форма( АГМ)" xfId="908" xr:uid="{3BB8CFDE-3C80-45B7-9BD3-EC7CDEE21BB1}"/>
    <cellStyle name="_New_Sofi_Nsi 1_Свод по Агрохоолдингу  (в т.ч КБН  )" xfId="909" xr:uid="{B54F1330-49DE-4276-A527-7B8642C7614C}"/>
    <cellStyle name="_New_Sofi_Nsi 1_Форма по растениеводству (Акционеры) ИЛЧ" xfId="910" xr:uid="{538E23CB-3C5A-4C04-BA96-957958DE056D}"/>
    <cellStyle name="_New_Sofi_Nsi 2" xfId="911" xr:uid="{0431A2B5-90F3-40C5-88B2-2F3CAD972585}"/>
    <cellStyle name="_New_Sofi_Nsi 2_Копия Растениеводство форма(Акционеры)" xfId="912" xr:uid="{3EB0870C-BF0D-4CFB-ADC7-1E56B922FAEB}"/>
    <cellStyle name="_New_Sofi_Nsi 2_М( ЗАР)" xfId="913" xr:uid="{56AB958E-BB1B-4496-94DE-5E4EADAAFE4B}"/>
    <cellStyle name="_New_Sofi_Nsi 2_Модель АгроГард на 5 лет" xfId="914" xr:uid="{B81FE889-1B59-4F57-B288-9821BBADD6CC}"/>
    <cellStyle name="_New_Sofi_Nsi 2_раст.-факт" xfId="915" xr:uid="{3B5D40A7-F592-4079-8FD4-A02E309A70BD}"/>
    <cellStyle name="_New_Sofi_Nsi 2_Растениеводство форма( АГМ)" xfId="916" xr:uid="{95C13736-A0FE-43E2-9F0C-E94CE8D4A838}"/>
    <cellStyle name="_New_Sofi_Nsi 2_Свод по Агрохоолдингу  (в т.ч КБН  )" xfId="917" xr:uid="{A395A34B-F31C-4AC9-9CFF-CAF666903EB4}"/>
    <cellStyle name="_New_Sofi_Nsi 2_Форма по растениеводству (Акционеры) ИЛЧ" xfId="918" xr:uid="{B3A4E2DB-2638-43BE-9B40-9CB7278442B6}"/>
    <cellStyle name="_New_Sofi_Nsi 3" xfId="919" xr:uid="{261D74CB-2EF1-4553-8DC6-850B4A907F94}"/>
    <cellStyle name="_New_Sofi_Nsi 3_Копия Растениеводство форма(Акционеры)" xfId="920" xr:uid="{97216662-0050-49C2-8C3F-B47F8F351003}"/>
    <cellStyle name="_New_Sofi_Nsi 3_М( ЗАР)" xfId="921" xr:uid="{201E6AAF-B545-47DC-942A-02C25FE82612}"/>
    <cellStyle name="_New_Sofi_Nsi 3_Модель АгроГард на 5 лет" xfId="922" xr:uid="{91900080-2091-45C7-9550-F4B746AA9B41}"/>
    <cellStyle name="_New_Sofi_Nsi 3_раст.-факт" xfId="923" xr:uid="{CE5B0FA3-2CC7-4110-9EE6-3AE675B0E787}"/>
    <cellStyle name="_New_Sofi_Nsi 3_Растениеводство форма( АГМ)" xfId="924" xr:uid="{93FBD7E2-A2A1-407B-BB41-E78D7541D277}"/>
    <cellStyle name="_New_Sofi_Nsi 3_Свод по Агрохоолдингу  (в т.ч КБН  )" xfId="925" xr:uid="{86D1B85B-9D64-4D50-A438-A0B842C69A4F}"/>
    <cellStyle name="_New_Sofi_Nsi 3_Форма по растениеводству (Акционеры) ИЛЧ" xfId="926" xr:uid="{A8909F09-F7D6-4EE9-AEFD-E6D773DE951A}"/>
    <cellStyle name="_New_Sofi_Nsi_1" xfId="927" xr:uid="{F876A5C6-80BD-41BE-998C-FB63E15631A5}"/>
    <cellStyle name="_New_Sofi_Nsi_1 1" xfId="928" xr:uid="{43168143-B4D1-479F-9BAA-A50F0316E1B5}"/>
    <cellStyle name="_New_Sofi_Nsi_1 1_Копия Растениеводство форма(Акционеры)" xfId="929" xr:uid="{B4B7BB96-7B52-4483-85A5-78FD4B202D90}"/>
    <cellStyle name="_New_Sofi_Nsi_1 1_М( ЗАР)" xfId="930" xr:uid="{AD1198AA-FBFE-4D3C-8D37-D03F2D05D073}"/>
    <cellStyle name="_New_Sofi_Nsi_1 1_Модель АгроГард на 5 лет" xfId="931" xr:uid="{81663D5A-6F6D-4A7A-AAB3-BB2CF0E0EAD8}"/>
    <cellStyle name="_New_Sofi_Nsi_1 1_раст.-факт" xfId="932" xr:uid="{2B13E99F-0AA9-4418-977E-A90C5A73A668}"/>
    <cellStyle name="_New_Sofi_Nsi_1 1_Растениеводство форма( АГМ)" xfId="933" xr:uid="{0B8574C5-AF44-431B-BE9B-F18104CED4D3}"/>
    <cellStyle name="_New_Sofi_Nsi_1 1_Свод по Агрохоолдингу  (в т.ч КБН  )" xfId="934" xr:uid="{42826E12-F127-4D45-8126-F437F4745F11}"/>
    <cellStyle name="_New_Sofi_Nsi_1 1_Форма по растениеводству (Акционеры) ИЛЧ" xfId="935" xr:uid="{B9B7BCE2-4BF5-4538-9DCE-82E5291A32EC}"/>
    <cellStyle name="_New_Sofi_Nsi_1 2" xfId="936" xr:uid="{7CCBEF7B-C39B-418E-B1D0-E5EAE8B1E2E6}"/>
    <cellStyle name="_New_Sofi_Nsi_1 2_Копия Растениеводство форма(Акционеры)" xfId="937" xr:uid="{A38A3C56-4ED1-410E-A532-ADCDACD831E8}"/>
    <cellStyle name="_New_Sofi_Nsi_1 2_М( ЗАР)" xfId="938" xr:uid="{7BE5A3A3-0CA3-4C64-AC07-73AF9F225B56}"/>
    <cellStyle name="_New_Sofi_Nsi_1 2_Модель АгроГард на 5 лет" xfId="939" xr:uid="{6920A4FE-AE8A-409C-8CDE-6FB0BB1123F1}"/>
    <cellStyle name="_New_Sofi_Nsi_1 2_раст.-факт" xfId="940" xr:uid="{E6BCA6C8-D277-453C-8911-D50241641455}"/>
    <cellStyle name="_New_Sofi_Nsi_1 2_Растениеводство форма( АГМ)" xfId="941" xr:uid="{37677B6B-17BC-4266-8225-14072FE00648}"/>
    <cellStyle name="_New_Sofi_Nsi_1 2_Свод по Агрохоолдингу  (в т.ч КБН  )" xfId="942" xr:uid="{5195A7A5-DDB7-4271-BFB0-E563BD27A2DA}"/>
    <cellStyle name="_New_Sofi_Nsi_1 2_Форма по растениеводству (Акционеры) ИЛЧ" xfId="943" xr:uid="{6E75DB8F-42EF-4BAC-A457-FFEF56D899B3}"/>
    <cellStyle name="_New_Sofi_Nsi_1 3" xfId="944" xr:uid="{B4A98992-D504-42F3-B7FD-82B8EAB50B05}"/>
    <cellStyle name="_New_Sofi_Nsi_1 3_Копия Растениеводство форма(Акционеры)" xfId="945" xr:uid="{7868E552-2F6B-4677-9AC1-AE50516F4A5F}"/>
    <cellStyle name="_New_Sofi_Nsi_1 3_М( ЗАР)" xfId="946" xr:uid="{74D931E3-118E-43F0-9A95-C6DA49A1BCE9}"/>
    <cellStyle name="_New_Sofi_Nsi_1 3_Модель АгроГард на 5 лет" xfId="947" xr:uid="{C2E43454-D14A-43D0-A772-8C7F98B6E69D}"/>
    <cellStyle name="_New_Sofi_Nsi_1 3_раст.-факт" xfId="948" xr:uid="{B8DC96C7-75BB-4039-B38E-0352625A9289}"/>
    <cellStyle name="_New_Sofi_Nsi_1 3_Растениеводство форма( АГМ)" xfId="949" xr:uid="{57343ECC-F192-4078-AA9F-2B68A2E3514A}"/>
    <cellStyle name="_New_Sofi_Nsi_1 3_Свод по Агрохоолдингу  (в т.ч КБН  )" xfId="950" xr:uid="{20CC6CCB-F201-4523-85BF-04F13BEDFF8D}"/>
    <cellStyle name="_New_Sofi_Nsi_1 3_Форма по растениеводству (Акционеры) ИЛЧ" xfId="951" xr:uid="{E066CFCB-58BE-44C6-88E7-0C0A757B154B}"/>
    <cellStyle name="_New_Sofi_Nsi_1_АГМ" xfId="952" xr:uid="{8B1F8B18-4EF1-4BEF-9236-5210C9A505B1}"/>
    <cellStyle name="_New_Sofi_Nsi_1_Копия Растениеводство форма(Акционеры)" xfId="953" xr:uid="{4ED67D84-AC3A-4474-A3B9-3329DAFC86B8}"/>
    <cellStyle name="_New_Sofi_Nsi_1_М( ЗАР)" xfId="954" xr:uid="{E8271363-5590-4C9F-A32A-FB4EAD6D55AF}"/>
    <cellStyle name="_New_Sofi_Nsi_1_Модель АгроГард на 5 лет" xfId="955" xr:uid="{49351A5D-567E-4880-BDC8-7D4616BBC2A2}"/>
    <cellStyle name="_New_Sofi_Nsi_1_НИК-09" xfId="956" xr:uid="{C3044A72-5614-4EB9-B968-458AE223C92E}"/>
    <cellStyle name="_New_Sofi_Nsi_1_раст.-факт" xfId="957" xr:uid="{C29E117F-C294-482B-A881-E1CC6E5CD1FA}"/>
    <cellStyle name="_New_Sofi_Nsi_1_Растениеводство форма( АГМ)" xfId="958" xr:uid="{B64C15C1-B7D5-4931-9077-BE9F68F95527}"/>
    <cellStyle name="_New_Sofi_Nsi_1_Свод по Агрохоолдингу  (в т.ч КБН  )" xfId="959" xr:uid="{A165BCAB-A7D4-41E7-9948-D64354E3C507}"/>
    <cellStyle name="_New_Sofi_Nsi_1_ТК-2011 АГМ+транспорт" xfId="960" xr:uid="{3CB99E15-75A4-40B0-99AE-7668134E1EA1}"/>
    <cellStyle name="_New_Sofi_Nsi_1_Форма по растениеводству (Акционеры) ИЛЧ" xfId="961" xr:uid="{32A52717-7EDD-411C-AC2F-FB6B577016FC}"/>
    <cellStyle name="_New_Sofi_Nsi_139" xfId="962" xr:uid="{711C46D2-7921-4E18-9809-EA4D23C3168C}"/>
    <cellStyle name="_New_Sofi_Nsi_139 1" xfId="963" xr:uid="{3BA12AD0-B8EE-4660-B080-03BED6B0ECF9}"/>
    <cellStyle name="_New_Sofi_Nsi_139 1_Копия Растениеводство форма(Акционеры)" xfId="964" xr:uid="{7C820F92-B171-455F-9F71-30DC79C53B10}"/>
    <cellStyle name="_New_Sofi_Nsi_139 1_М( ЗАР)" xfId="965" xr:uid="{1F8E8546-1896-446A-9A6E-7CB9F7D2A53C}"/>
    <cellStyle name="_New_Sofi_Nsi_139 1_Модель АгроГард на 5 лет" xfId="966" xr:uid="{C76898BD-CEA3-4C13-BB02-1B67F7326F14}"/>
    <cellStyle name="_New_Sofi_Nsi_139 1_раст.-факт" xfId="967" xr:uid="{26C3F5A4-99E9-4DE6-B67F-E2B95ADAEA1F}"/>
    <cellStyle name="_New_Sofi_Nsi_139 1_Растениеводство форма( АГМ)" xfId="968" xr:uid="{06B56A49-1DFD-4548-A3EF-77E3CF04EC00}"/>
    <cellStyle name="_New_Sofi_Nsi_139 1_Свод по Агрохоолдингу  (в т.ч КБН  )" xfId="969" xr:uid="{F851E102-7D02-478C-A33E-744ECAE01F77}"/>
    <cellStyle name="_New_Sofi_Nsi_139 1_Форма по растениеводству (Акционеры) ИЛЧ" xfId="970" xr:uid="{4C24CE22-C56C-480F-8C90-4DA5BA9F6D06}"/>
    <cellStyle name="_New_Sofi_Nsi_139 2" xfId="971" xr:uid="{E0B44483-7C56-4A2F-88AC-A454600E721B}"/>
    <cellStyle name="_New_Sofi_Nsi_139 2_Копия Растениеводство форма(Акционеры)" xfId="972" xr:uid="{96F6DC86-4049-46C4-B8DB-0A44DA77ED1C}"/>
    <cellStyle name="_New_Sofi_Nsi_139 2_М( ЗАР)" xfId="973" xr:uid="{7705215C-8132-46F2-9C81-8C5409B647C7}"/>
    <cellStyle name="_New_Sofi_Nsi_139 2_Модель АгроГард на 5 лет" xfId="974" xr:uid="{9AD02B16-91D5-4CC4-B65C-2C5C1BF56006}"/>
    <cellStyle name="_New_Sofi_Nsi_139 2_раст.-факт" xfId="975" xr:uid="{D967AF56-1F7E-4C2A-B531-BCC18BBA7DFA}"/>
    <cellStyle name="_New_Sofi_Nsi_139 2_Растениеводство форма( АГМ)" xfId="976" xr:uid="{6FFF2C9B-798F-4910-A85C-8662B61971C6}"/>
    <cellStyle name="_New_Sofi_Nsi_139 2_Свод по Агрохоолдингу  (в т.ч КБН  )" xfId="977" xr:uid="{C4A2D3AA-2E1E-4E72-B6B7-EE4997AE35A8}"/>
    <cellStyle name="_New_Sofi_Nsi_139 2_Форма по растениеводству (Акционеры) ИЛЧ" xfId="978" xr:uid="{C9A7ADE0-96DC-486E-90E4-636970D06B15}"/>
    <cellStyle name="_New_Sofi_Nsi_139 3" xfId="979" xr:uid="{2D59C574-D4E9-40A0-BF5D-CD4A8B91A100}"/>
    <cellStyle name="_New_Sofi_Nsi_139 3_Копия Растениеводство форма(Акционеры)" xfId="980" xr:uid="{162C1F66-61D8-4039-A8FA-5C2C77E5BA20}"/>
    <cellStyle name="_New_Sofi_Nsi_139 3_М( ЗАР)" xfId="981" xr:uid="{2FB3D7E6-9339-46E7-BF3F-7B319416E7B7}"/>
    <cellStyle name="_New_Sofi_Nsi_139 3_Модель АгроГард на 5 лет" xfId="982" xr:uid="{2A0448CB-999E-4291-9D88-FF362C855B7C}"/>
    <cellStyle name="_New_Sofi_Nsi_139 3_раст.-факт" xfId="983" xr:uid="{E2E840AA-FA9A-47B2-8EBB-DF9E61516F96}"/>
    <cellStyle name="_New_Sofi_Nsi_139 3_Растениеводство форма( АГМ)" xfId="984" xr:uid="{388F3E98-DFF3-4AD7-B94A-7BD9AE0572B1}"/>
    <cellStyle name="_New_Sofi_Nsi_139 3_Свод по Агрохоолдингу  (в т.ч КБН  )" xfId="985" xr:uid="{727B7A85-A9F2-472F-85BE-90984687D528}"/>
    <cellStyle name="_New_Sofi_Nsi_139 3_Форма по растениеводству (Акционеры) ИЛЧ" xfId="986" xr:uid="{BF53FD36-32B3-4A00-B6C5-6E469CAEA4C5}"/>
    <cellStyle name="_New_Sofi_Nsi_139_АГМ" xfId="987" xr:uid="{104EBDEC-CCBE-46C6-A844-A75ACC529696}"/>
    <cellStyle name="_New_Sofi_Nsi_139_Копия Растениеводство форма(Акционеры)" xfId="988" xr:uid="{7A4DE353-9BC8-4BB6-B9C9-B1D29C13A74F}"/>
    <cellStyle name="_New_Sofi_Nsi_139_М( ЗАР)" xfId="989" xr:uid="{8400776D-486D-442A-84DF-C2FA62D74A19}"/>
    <cellStyle name="_New_Sofi_Nsi_139_Модель АгроГард на 5 лет" xfId="990" xr:uid="{0275E56B-C21C-41A4-8464-5577EC40D2ED}"/>
    <cellStyle name="_New_Sofi_Nsi_139_НИК-09" xfId="991" xr:uid="{98490138-97BB-4349-8F89-4591985CDA5E}"/>
    <cellStyle name="_New_Sofi_Nsi_139_раст.-факт" xfId="992" xr:uid="{A6D6C8CD-A250-4E93-981C-246AF988C9B1}"/>
    <cellStyle name="_New_Sofi_Nsi_139_Растениеводство форма( АГМ)" xfId="993" xr:uid="{CE1FF245-5843-4A92-8614-ABD382C26EF3}"/>
    <cellStyle name="_New_Sofi_Nsi_139_Свод по Агрохоолдингу  (в т.ч КБН  )" xfId="994" xr:uid="{EAE23B60-32C6-460F-9C1B-DF9BAA305DFA}"/>
    <cellStyle name="_New_Sofi_Nsi_139_ТК-2011 АГМ+транспорт" xfId="995" xr:uid="{283B94E2-3DEE-4979-BE76-78EFD4E7D709}"/>
    <cellStyle name="_New_Sofi_Nsi_139_Форма по растениеводству (Акционеры) ИЛЧ" xfId="996" xr:uid="{04D15097-131C-4AFF-B547-E922BEBDC7D8}"/>
    <cellStyle name="_New_Sofi_Nsi_140" xfId="997" xr:uid="{5AB9E036-8FDE-4CAF-B1D1-DDAC98B0C24A}"/>
    <cellStyle name="_New_Sofi_Nsi_140 1" xfId="998" xr:uid="{C87444C9-B737-4D42-B7E3-480B3DE90A86}"/>
    <cellStyle name="_New_Sofi_Nsi_140 1_Копия Растениеводство форма(Акционеры)" xfId="999" xr:uid="{432FDA1C-6DB0-4E9B-B95D-59ECFA3492C5}"/>
    <cellStyle name="_New_Sofi_Nsi_140 1_М( ЗАР)" xfId="1000" xr:uid="{5BDF7307-7AB6-421C-82E5-156510E94764}"/>
    <cellStyle name="_New_Sofi_Nsi_140 1_Модель АгроГард на 5 лет" xfId="1001" xr:uid="{891B626B-B16E-4EF5-88FB-09D963EEC004}"/>
    <cellStyle name="_New_Sofi_Nsi_140 1_раст.-факт" xfId="1002" xr:uid="{0603595B-4AFA-409A-8703-2A7707221E15}"/>
    <cellStyle name="_New_Sofi_Nsi_140 1_Растениеводство форма( АГМ)" xfId="1003" xr:uid="{FB9F1704-54B1-481A-90F8-271008D1245C}"/>
    <cellStyle name="_New_Sofi_Nsi_140 1_Свод по Агрохоолдингу  (в т.ч КБН  )" xfId="1004" xr:uid="{DFEEF323-A61A-45F2-BB44-E7775A47E353}"/>
    <cellStyle name="_New_Sofi_Nsi_140 1_Форма по растениеводству (Акционеры) ИЛЧ" xfId="1005" xr:uid="{261486A9-9348-462D-96CC-DF40FBCCF351}"/>
    <cellStyle name="_New_Sofi_Nsi_140 2" xfId="1006" xr:uid="{C35F89CB-6485-4F2E-B0BD-A03173F7BDDA}"/>
    <cellStyle name="_New_Sofi_Nsi_140 2_Копия Растениеводство форма(Акционеры)" xfId="1007" xr:uid="{295EDCE6-732D-4B2C-A37F-6FD0254872ED}"/>
    <cellStyle name="_New_Sofi_Nsi_140 2_М( ЗАР)" xfId="1008" xr:uid="{88530B96-4A61-4448-B92D-C358E0DD139F}"/>
    <cellStyle name="_New_Sofi_Nsi_140 2_Модель АгроГард на 5 лет" xfId="1009" xr:uid="{F3481F7E-A170-4839-9528-5F7FE673003C}"/>
    <cellStyle name="_New_Sofi_Nsi_140 2_раст.-факт" xfId="1010" xr:uid="{291B87C5-AFF7-4C5D-A66A-38E12059A150}"/>
    <cellStyle name="_New_Sofi_Nsi_140 2_Растениеводство форма( АГМ)" xfId="1011" xr:uid="{7AA448FC-BD14-4848-8682-08E6B2D31E89}"/>
    <cellStyle name="_New_Sofi_Nsi_140 2_Свод по Агрохоолдингу  (в т.ч КБН  )" xfId="1012" xr:uid="{D6410DB3-4EA0-4D44-952A-8F5A955E7C03}"/>
    <cellStyle name="_New_Sofi_Nsi_140 2_Форма по растениеводству (Акционеры) ИЛЧ" xfId="1013" xr:uid="{C5EECC20-4FDF-420E-A25E-A50B7A47B7D7}"/>
    <cellStyle name="_New_Sofi_Nsi_140 3" xfId="1014" xr:uid="{73A9929D-4AD8-4B98-A905-341D0D70E1A3}"/>
    <cellStyle name="_New_Sofi_Nsi_140 3_Копия Растениеводство форма(Акционеры)" xfId="1015" xr:uid="{79224BEC-FEB9-4449-A558-B8A22A1D5AE4}"/>
    <cellStyle name="_New_Sofi_Nsi_140 3_М( ЗАР)" xfId="1016" xr:uid="{85FD84F1-BDA4-402F-B948-6957FBC9452A}"/>
    <cellStyle name="_New_Sofi_Nsi_140 3_Модель АгроГард на 5 лет" xfId="1017" xr:uid="{A9345FA4-EA37-4185-8B98-9E4AD393D8A9}"/>
    <cellStyle name="_New_Sofi_Nsi_140 3_раст.-факт" xfId="1018" xr:uid="{9C3F496B-11A9-4256-974D-85D99F39EBAF}"/>
    <cellStyle name="_New_Sofi_Nsi_140 3_Растениеводство форма( АГМ)" xfId="1019" xr:uid="{48F993B3-176D-4CA3-A115-433E2525C37C}"/>
    <cellStyle name="_New_Sofi_Nsi_140 3_Свод по Агрохоолдингу  (в т.ч КБН  )" xfId="1020" xr:uid="{59E76C37-DB16-4F21-A520-8F76B03AA3EE}"/>
    <cellStyle name="_New_Sofi_Nsi_140 3_Форма по растениеводству (Акционеры) ИЛЧ" xfId="1021" xr:uid="{547471BA-0B1D-45FB-AFBA-CC40F2D768CC}"/>
    <cellStyle name="_New_Sofi_Nsi_140(Зах)" xfId="1022" xr:uid="{64F40F5A-F6C9-4475-8E7A-FC1897EE1997}"/>
    <cellStyle name="_New_Sofi_Nsi_140(Зах) 1" xfId="1023" xr:uid="{31C0D330-CE0F-4F98-A74F-8EAFE10009FA}"/>
    <cellStyle name="_New_Sofi_Nsi_140(Зах) 1_Копия Растениеводство форма(Акционеры)" xfId="1024" xr:uid="{FDF19F7A-77A8-4CAB-A9DA-671F4348CA46}"/>
    <cellStyle name="_New_Sofi_Nsi_140(Зах) 1_М( ЗАР)" xfId="1025" xr:uid="{2F50647C-626F-4F4F-9DB6-D8E0F872FD2F}"/>
    <cellStyle name="_New_Sofi_Nsi_140(Зах) 1_Модель АгроГард на 5 лет" xfId="1026" xr:uid="{322C9DCE-F577-490E-A9E7-E42E098DDDA4}"/>
    <cellStyle name="_New_Sofi_Nsi_140(Зах) 1_раст.-факт" xfId="1027" xr:uid="{55E6D42D-3018-4448-8A31-FBA37061F5BB}"/>
    <cellStyle name="_New_Sofi_Nsi_140(Зах) 1_Растениеводство форма( АГМ)" xfId="1028" xr:uid="{A1FBEE2E-8D41-4B00-A03F-37FC44CE9607}"/>
    <cellStyle name="_New_Sofi_Nsi_140(Зах) 1_Свод по Агрохоолдингу  (в т.ч КБН  )" xfId="1029" xr:uid="{7E424575-37A3-45BD-80F0-52FC334ADB7C}"/>
    <cellStyle name="_New_Sofi_Nsi_140(Зах) 1_Форма по растениеводству (Акционеры) ИЛЧ" xfId="1030" xr:uid="{547C8570-593A-4205-9F58-8A887EFCD270}"/>
    <cellStyle name="_New_Sofi_Nsi_140(Зах) 2" xfId="1031" xr:uid="{CF97702B-9EBB-40E5-BF75-AABFFCDB8446}"/>
    <cellStyle name="_New_Sofi_Nsi_140(Зах) 2_Копия Растениеводство форма(Акционеры)" xfId="1032" xr:uid="{71062AD5-DB23-4579-8EF1-217C87CC5ED0}"/>
    <cellStyle name="_New_Sofi_Nsi_140(Зах) 2_М( ЗАР)" xfId="1033" xr:uid="{7579C85E-2997-493E-BB04-0850098D2A1D}"/>
    <cellStyle name="_New_Sofi_Nsi_140(Зах) 2_Модель АгроГард на 5 лет" xfId="1034" xr:uid="{8613272C-4817-4072-8055-F9D05D5D3A57}"/>
    <cellStyle name="_New_Sofi_Nsi_140(Зах) 2_раст.-факт" xfId="1035" xr:uid="{7A1E7A17-C07E-4CC8-BB08-B32DD95D6857}"/>
    <cellStyle name="_New_Sofi_Nsi_140(Зах) 2_Растениеводство форма( АГМ)" xfId="1036" xr:uid="{8B52D86F-5D69-4A1C-AFEC-2931B63AF6A3}"/>
    <cellStyle name="_New_Sofi_Nsi_140(Зах) 2_Свод по Агрохоолдингу  (в т.ч КБН  )" xfId="1037" xr:uid="{B34034C0-A0C4-419B-A4C2-FC11F7166556}"/>
    <cellStyle name="_New_Sofi_Nsi_140(Зах) 2_Форма по растениеводству (Акционеры) ИЛЧ" xfId="1038" xr:uid="{27D6DEC5-156B-4E2B-B357-E179D96BBF23}"/>
    <cellStyle name="_New_Sofi_Nsi_140(Зах) 3" xfId="1039" xr:uid="{9F42FACA-E416-447C-A31E-57A577F47D69}"/>
    <cellStyle name="_New_Sofi_Nsi_140(Зах) 3_Копия Растениеводство форма(Акционеры)" xfId="1040" xr:uid="{19701494-F78F-4C53-AE03-2610BE685F95}"/>
    <cellStyle name="_New_Sofi_Nsi_140(Зах) 3_М( ЗАР)" xfId="1041" xr:uid="{4A92ED01-7F83-4576-9A9D-CB0491A5C3EC}"/>
    <cellStyle name="_New_Sofi_Nsi_140(Зах) 3_Модель АгроГард на 5 лет" xfId="1042" xr:uid="{DD1289E9-8268-4624-B1A2-F06693D0DC5D}"/>
    <cellStyle name="_New_Sofi_Nsi_140(Зах) 3_раст.-факт" xfId="1043" xr:uid="{97D6ED99-339C-4EB6-AB2B-E4F93818FA90}"/>
    <cellStyle name="_New_Sofi_Nsi_140(Зах) 3_Растениеводство форма( АГМ)" xfId="1044" xr:uid="{B728C799-287F-44E1-846C-DB267535F85F}"/>
    <cellStyle name="_New_Sofi_Nsi_140(Зах) 3_Свод по Агрохоолдингу  (в т.ч КБН  )" xfId="1045" xr:uid="{5D953C2D-3EB6-47F5-9D64-5DDE376337D2}"/>
    <cellStyle name="_New_Sofi_Nsi_140(Зах) 3_Форма по растениеводству (Акционеры) ИЛЧ" xfId="1046" xr:uid="{C5C5EE1E-862A-4818-83F9-2A41868698F5}"/>
    <cellStyle name="_New_Sofi_Nsi_140(Зах)_АГМ" xfId="1047" xr:uid="{01DFC279-42D3-4C95-B623-7A4973A0FC80}"/>
    <cellStyle name="_New_Sofi_Nsi_140(Зах)_Копия Растениеводство форма(Акционеры)" xfId="1048" xr:uid="{900CE8B5-9847-40A8-B2A4-8DCDF644A343}"/>
    <cellStyle name="_New_Sofi_Nsi_140(Зах)_М( ЗАР)" xfId="1049" xr:uid="{73FBC3C7-6919-4370-B2D2-100BB3E4238E}"/>
    <cellStyle name="_New_Sofi_Nsi_140(Зах)_Модель АгроГард на 5 лет" xfId="1050" xr:uid="{8DBD4B23-C0E7-4C1F-9EE3-E412E1BC8138}"/>
    <cellStyle name="_New_Sofi_Nsi_140(Зах)_НИК-09" xfId="1051" xr:uid="{F8698CA1-741A-4E2F-968E-9D26322BF626}"/>
    <cellStyle name="_New_Sofi_Nsi_140(Зах)_раст.-факт" xfId="1052" xr:uid="{94972355-D1CF-49E0-9781-8D07257C149E}"/>
    <cellStyle name="_New_Sofi_Nsi_140(Зах)_Растениеводство форма( АГМ)" xfId="1053" xr:uid="{102585F7-8F9C-48C8-9C53-5517928890AC}"/>
    <cellStyle name="_New_Sofi_Nsi_140(Зах)_Свод по Агрохоолдингу  (в т.ч КБН  )" xfId="1054" xr:uid="{383F3B15-FF71-41C2-802B-2FD17F498186}"/>
    <cellStyle name="_New_Sofi_Nsi_140(Зах)_ТК-2011 АГМ+транспорт" xfId="1055" xr:uid="{F1062F7E-FB62-4B67-93F5-507A36589136}"/>
    <cellStyle name="_New_Sofi_Nsi_140(Зах)_Форма по растениеводству (Акционеры) ИЛЧ" xfId="1056" xr:uid="{75E8FBD7-7575-4E97-AF3B-F68F594D4132}"/>
    <cellStyle name="_New_Sofi_Nsi_140_mod" xfId="1057" xr:uid="{2A2001DB-8E30-4E7E-93D0-109790A226AF}"/>
    <cellStyle name="_New_Sofi_Nsi_140_mod 1" xfId="1058" xr:uid="{4416B2E1-8A1A-473D-A2FD-444310AEF362}"/>
    <cellStyle name="_New_Sofi_Nsi_140_mod 1_Копия Растениеводство форма(Акционеры)" xfId="1059" xr:uid="{17F3F598-B542-4CA1-A84A-EF725E22C3AC}"/>
    <cellStyle name="_New_Sofi_Nsi_140_mod 1_М( ЗАР)" xfId="1060" xr:uid="{85EFEE30-573E-4B05-9BE8-6DFB9328CD96}"/>
    <cellStyle name="_New_Sofi_Nsi_140_mod 1_Модель АгроГард на 5 лет" xfId="1061" xr:uid="{DC4CA782-8B05-4031-9B2E-2595CF7A7C8E}"/>
    <cellStyle name="_New_Sofi_Nsi_140_mod 1_раст.-факт" xfId="1062" xr:uid="{76EBDF71-C57E-445B-AC41-2A4925ECE571}"/>
    <cellStyle name="_New_Sofi_Nsi_140_mod 1_Растениеводство форма( АГМ)" xfId="1063" xr:uid="{11A16FAC-E0FB-47B5-A966-263B8FC7ED37}"/>
    <cellStyle name="_New_Sofi_Nsi_140_mod 1_Свод по Агрохоолдингу  (в т.ч КБН  )" xfId="1064" xr:uid="{9619DED2-2434-4138-9C8C-FBC0989C8CA2}"/>
    <cellStyle name="_New_Sofi_Nsi_140_mod 1_Форма по растениеводству (Акционеры) ИЛЧ" xfId="1065" xr:uid="{6CF9CD13-E205-46B8-ABCE-FD53E1B33BF0}"/>
    <cellStyle name="_New_Sofi_Nsi_140_mod 2" xfId="1066" xr:uid="{B98DD599-A8DA-4558-BD3F-E380DC4CC526}"/>
    <cellStyle name="_New_Sofi_Nsi_140_mod 2_Копия Растениеводство форма(Акционеры)" xfId="1067" xr:uid="{16320B43-4676-4BAB-9D7D-75787A53AC80}"/>
    <cellStyle name="_New_Sofi_Nsi_140_mod 2_М( ЗАР)" xfId="1068" xr:uid="{BD71A0F5-EB6C-4AE4-9FD3-FC54D8FF96DE}"/>
    <cellStyle name="_New_Sofi_Nsi_140_mod 2_Модель АгроГард на 5 лет" xfId="1069" xr:uid="{89883927-126C-4C07-B0B5-F0842E903E87}"/>
    <cellStyle name="_New_Sofi_Nsi_140_mod 2_раст.-факт" xfId="1070" xr:uid="{8EE9199D-5A6C-4120-B611-1CD921CBA50A}"/>
    <cellStyle name="_New_Sofi_Nsi_140_mod 2_Растениеводство форма( АГМ)" xfId="1071" xr:uid="{1505FC5A-1B69-4EAB-A971-A992E47C72EF}"/>
    <cellStyle name="_New_Sofi_Nsi_140_mod 2_Свод по Агрохоолдингу  (в т.ч КБН  )" xfId="1072" xr:uid="{95F36174-77A2-4864-AE08-386F6B665141}"/>
    <cellStyle name="_New_Sofi_Nsi_140_mod 2_Форма по растениеводству (Акционеры) ИЛЧ" xfId="1073" xr:uid="{14192E40-06CA-48AF-83A9-96021C0EEAAE}"/>
    <cellStyle name="_New_Sofi_Nsi_140_mod 3" xfId="1074" xr:uid="{86D00A6D-487B-4A2D-B041-8B3A6181608A}"/>
    <cellStyle name="_New_Sofi_Nsi_140_mod 3_Копия Растениеводство форма(Акционеры)" xfId="1075" xr:uid="{459C16CE-8F94-4163-9844-B6D6599430FD}"/>
    <cellStyle name="_New_Sofi_Nsi_140_mod 3_М( ЗАР)" xfId="1076" xr:uid="{C19712DD-2B85-4DB0-8BE4-B0B104BD7167}"/>
    <cellStyle name="_New_Sofi_Nsi_140_mod 3_Модель АгроГард на 5 лет" xfId="1077" xr:uid="{39369759-8E3E-4B71-9CB1-DB7E7D7068D1}"/>
    <cellStyle name="_New_Sofi_Nsi_140_mod 3_раст.-факт" xfId="1078" xr:uid="{836877B3-CDFE-4E64-91FF-4DB84C7F25F7}"/>
    <cellStyle name="_New_Sofi_Nsi_140_mod 3_Растениеводство форма( АГМ)" xfId="1079" xr:uid="{7FF1092B-B016-4366-A140-8DE3C4C54F2D}"/>
    <cellStyle name="_New_Sofi_Nsi_140_mod 3_Свод по Агрохоолдингу  (в т.ч КБН  )" xfId="1080" xr:uid="{B8171402-8DE7-4657-9A4F-5409616E6D57}"/>
    <cellStyle name="_New_Sofi_Nsi_140_mod 3_Форма по растениеводству (Акционеры) ИЛЧ" xfId="1081" xr:uid="{04880CE0-8FE9-4B0F-BE59-67D53C59C0F1}"/>
    <cellStyle name="_New_Sofi_Nsi_140_mod_АГМ" xfId="1082" xr:uid="{26AAED98-B293-4088-8935-5B7F2799E280}"/>
    <cellStyle name="_New_Sofi_Nsi_140_mod_Копия Растениеводство форма(Акционеры)" xfId="1083" xr:uid="{553DBFCE-6830-429F-872F-FCDCF03B1A01}"/>
    <cellStyle name="_New_Sofi_Nsi_140_mod_М( ЗАР)" xfId="1084" xr:uid="{0E171368-BD79-49EE-8E91-30CA1E7E35AB}"/>
    <cellStyle name="_New_Sofi_Nsi_140_mod_Модель АгроГард на 5 лет" xfId="1085" xr:uid="{5A113928-0383-4A81-B749-984220C6076B}"/>
    <cellStyle name="_New_Sofi_Nsi_140_mod_НИК-09" xfId="1086" xr:uid="{2F9CA96E-A056-40C8-863B-CEFF47E5E635}"/>
    <cellStyle name="_New_Sofi_Nsi_140_mod_раст.-факт" xfId="1087" xr:uid="{594D785D-DDCA-49B7-AADE-3D0010EC0900}"/>
    <cellStyle name="_New_Sofi_Nsi_140_mod_Растениеводство форма( АГМ)" xfId="1088" xr:uid="{C748AFA4-FA62-4A68-AC28-AA495D2687A3}"/>
    <cellStyle name="_New_Sofi_Nsi_140_mod_Свод по Агрохоолдингу  (в т.ч КБН  )" xfId="1089" xr:uid="{C096A8B6-0D06-41D9-BAC9-06A6D00DCFEB}"/>
    <cellStyle name="_New_Sofi_Nsi_140_mod_ТК-2011 АГМ+транспорт" xfId="1090" xr:uid="{68BDBF4B-EE32-40AD-8130-0D82E944F4FE}"/>
    <cellStyle name="_New_Sofi_Nsi_140_mod_Форма по растениеводству (Акционеры) ИЛЧ" xfId="1091" xr:uid="{71AADAD4-A189-40C4-B471-B1FC56BD2F19}"/>
    <cellStyle name="_New_Sofi_Nsi_140_АГМ" xfId="1092" xr:uid="{5140BBB5-4671-4EC7-A058-4989B707DA11}"/>
    <cellStyle name="_New_Sofi_Nsi_140_Копия Растениеводство форма(Акционеры)" xfId="1093" xr:uid="{8292382E-2D84-4E77-BC8C-3AE809CA08EE}"/>
    <cellStyle name="_New_Sofi_Nsi_140_М( ЗАР)" xfId="1094" xr:uid="{A02E5B88-3A3B-4C2B-87E4-F9ABC99660AA}"/>
    <cellStyle name="_New_Sofi_Nsi_140_Модель АгроГард на 5 лет" xfId="1095" xr:uid="{4526ED08-C785-454A-A0DB-9C32DE2A0D95}"/>
    <cellStyle name="_New_Sofi_Nsi_140_НИК-09" xfId="1096" xr:uid="{0CD6258B-3738-4FBF-A3A6-25BEEC5E3917}"/>
    <cellStyle name="_New_Sofi_Nsi_140_раст.-факт" xfId="1097" xr:uid="{413EE924-B673-4EB2-9F67-544CE139C435}"/>
    <cellStyle name="_New_Sofi_Nsi_140_Растениеводство форма( АГМ)" xfId="1098" xr:uid="{C48F55D4-D1ED-4E9C-ABE7-D2F70E9F2329}"/>
    <cellStyle name="_New_Sofi_Nsi_140_Свод по Агрохоолдингу  (в т.ч КБН  )" xfId="1099" xr:uid="{24C17F0A-DBAC-4117-BBDA-D04690F97DF3}"/>
    <cellStyle name="_New_Sofi_Nsi_140_ТК-2011 АГМ+транспорт" xfId="1100" xr:uid="{E157A6A2-1A3F-4063-96D7-966F2BAE4660}"/>
    <cellStyle name="_New_Sofi_Nsi_140_Форма по растениеводству (Акционеры) ИЛЧ" xfId="1101" xr:uid="{1EA9CF85-738F-4FD2-9F93-C1F7569923D1}"/>
    <cellStyle name="_New_Sofi_Nsi_АГМ" xfId="1102" xr:uid="{9ACE56CB-5F80-4B5D-A1A4-CE388965AE93}"/>
    <cellStyle name="_New_Sofi_Nsi_Копия Растениеводство форма(Акционеры)" xfId="1103" xr:uid="{B2518303-BC37-4843-990B-365F103D18CF}"/>
    <cellStyle name="_New_Sofi_Nsi_М( ЗАР)" xfId="1104" xr:uid="{9A07CA60-1912-45AA-A8EF-B11D2BEAC03B}"/>
    <cellStyle name="_New_Sofi_Nsi_Модель АгроГард на 5 лет" xfId="1105" xr:uid="{AD43478F-1DA5-471B-A583-BFEEC3A7D270}"/>
    <cellStyle name="_New_Sofi_Nsi_НИК-09" xfId="1106" xr:uid="{B5B05426-CE92-4FB8-B1FE-0B2B81E69010}"/>
    <cellStyle name="_New_Sofi_Nsi_раст.-факт" xfId="1107" xr:uid="{D6712185-0716-43F5-9FFD-C160A7B0C564}"/>
    <cellStyle name="_New_Sofi_Nsi_Растениеводство форма( АГМ)" xfId="1108" xr:uid="{6833D2B3-7F8E-4337-8376-C2DF324D821E}"/>
    <cellStyle name="_New_Sofi_Nsi_Свод по Агрохоолдингу  (в т.ч КБН  )" xfId="1109" xr:uid="{2F00FE4C-B127-4C3E-BF51-AB10BB13508D}"/>
    <cellStyle name="_New_Sofi_Nsi_ТК-2011 АГМ+транспорт" xfId="1110" xr:uid="{0D0CA6BF-F527-4654-AE79-9154958A2B32}"/>
    <cellStyle name="_New_Sofi_Nsi_Форма по растениеводству (Акционеры) ИЛЧ" xfId="1111" xr:uid="{BD254C8F-69C0-4BC9-B716-955466CFAE34}"/>
    <cellStyle name="_New_Sofi_Summary" xfId="1112" xr:uid="{A5DBBF28-D9D8-4A9E-9F7B-F1FB37F99DD1}"/>
    <cellStyle name="_New_Sofi_Summary 1" xfId="1113" xr:uid="{6CF6552B-84A9-4215-A15E-695B72988C8F}"/>
    <cellStyle name="_New_Sofi_Summary 1_Копия Растениеводство форма(Акционеры)" xfId="1114" xr:uid="{71E87696-0EA1-4B7E-8325-4B309074D06D}"/>
    <cellStyle name="_New_Sofi_Summary 1_М( ЗАР)" xfId="1115" xr:uid="{39739E5F-57B4-445B-849D-B7777720F9B5}"/>
    <cellStyle name="_New_Sofi_Summary 1_Модель АгроГард на 5 лет" xfId="1116" xr:uid="{FBBB2E7A-2DB7-40A9-8B8C-47F1A4A4BEA5}"/>
    <cellStyle name="_New_Sofi_Summary 1_раст.-факт" xfId="1117" xr:uid="{0DD73CDA-0456-407D-852E-7C46AECF0806}"/>
    <cellStyle name="_New_Sofi_Summary 1_Растениеводство форма( АГМ)" xfId="1118" xr:uid="{9222B96B-1E3D-43B8-BCA5-4A8CB3CC0F9A}"/>
    <cellStyle name="_New_Sofi_Summary 1_Свод по Агрохоолдингу  (в т.ч КБН  )" xfId="1119" xr:uid="{43E86B49-F3D1-47BE-992F-EA7B8C1AD7E9}"/>
    <cellStyle name="_New_Sofi_Summary 1_Форма по растениеводству (Акционеры) ИЛЧ" xfId="1120" xr:uid="{C19FF213-2A41-4ABA-A025-1F7DDE1FA553}"/>
    <cellStyle name="_New_Sofi_Summary 2" xfId="1121" xr:uid="{1EE63D6D-3485-45FD-9D0C-A4BF0D8A96F7}"/>
    <cellStyle name="_New_Sofi_Summary 2_Копия Растениеводство форма(Акционеры)" xfId="1122" xr:uid="{2DB1442E-8241-45CF-AF16-B4888A336FA2}"/>
    <cellStyle name="_New_Sofi_Summary 2_М( ЗАР)" xfId="1123" xr:uid="{9348C380-74BC-430A-8471-2C7134056B7C}"/>
    <cellStyle name="_New_Sofi_Summary 2_Модель АгроГард на 5 лет" xfId="1124" xr:uid="{5542A989-A7A5-486C-933E-4534013500D7}"/>
    <cellStyle name="_New_Sofi_Summary 2_раст.-факт" xfId="1125" xr:uid="{57D942EC-EC2F-466B-BC72-504896079AC6}"/>
    <cellStyle name="_New_Sofi_Summary 2_Растениеводство форма( АГМ)" xfId="1126" xr:uid="{447FB32C-2926-47EE-B67A-2229BFDD6870}"/>
    <cellStyle name="_New_Sofi_Summary 2_Свод по Агрохоолдингу  (в т.ч КБН  )" xfId="1127" xr:uid="{42B63BE9-D814-48B7-B763-93DA889A0570}"/>
    <cellStyle name="_New_Sofi_Summary 2_Форма по растениеводству (Акционеры) ИЛЧ" xfId="1128" xr:uid="{E66AE84D-8BD8-48D0-ADDA-26C9B6EDCB40}"/>
    <cellStyle name="_New_Sofi_Summary 3" xfId="1129" xr:uid="{74A0FB41-2FC0-4270-8C5B-5C78FE9562CE}"/>
    <cellStyle name="_New_Sofi_Summary 3_Копия Растениеводство форма(Акционеры)" xfId="1130" xr:uid="{97C1C4EA-E7D8-41E3-8E73-C0B02C428FE6}"/>
    <cellStyle name="_New_Sofi_Summary 3_М( ЗАР)" xfId="1131" xr:uid="{77ED341E-700F-4E3F-BBC8-9DFAA622856A}"/>
    <cellStyle name="_New_Sofi_Summary 3_Модель АгроГард на 5 лет" xfId="1132" xr:uid="{33AD1FA2-2C79-4BE2-8EEA-8385698ECCB3}"/>
    <cellStyle name="_New_Sofi_Summary 3_раст.-факт" xfId="1133" xr:uid="{B25A78E2-434B-479C-AEB0-7D5FA5274285}"/>
    <cellStyle name="_New_Sofi_Summary 3_Растениеводство форма( АГМ)" xfId="1134" xr:uid="{382085B2-7FA2-49F6-9FF4-CCF0B432A856}"/>
    <cellStyle name="_New_Sofi_Summary 3_Свод по Агрохоолдингу  (в т.ч КБН  )" xfId="1135" xr:uid="{A783DA9B-2D07-4E6C-A3CB-5E452F2EC4FF}"/>
    <cellStyle name="_New_Sofi_Summary 3_Форма по растениеводству (Акционеры) ИЛЧ" xfId="1136" xr:uid="{8B3440DE-5216-4587-9B5A-FA5EDA7AA421}"/>
    <cellStyle name="_New_Sofi_Summary_АГМ" xfId="1137" xr:uid="{9E6E4954-C8F8-4D7C-823B-AD32E846529E}"/>
    <cellStyle name="_New_Sofi_Summary_Копия Растениеводство форма(Акционеры)" xfId="1138" xr:uid="{EFF3F978-0053-47E2-9D28-2BBBA43F32B5}"/>
    <cellStyle name="_New_Sofi_Summary_М( ЗАР)" xfId="1139" xr:uid="{2F99B0E9-D19C-4B32-B577-E82330E9F3B7}"/>
    <cellStyle name="_New_Sofi_Summary_Модель АгроГард на 5 лет" xfId="1140" xr:uid="{E38AD5EE-FA1E-4964-B647-615377B1C24D}"/>
    <cellStyle name="_New_Sofi_Summary_НИК-09" xfId="1141" xr:uid="{7A4C76C3-4F4B-40F2-848C-464421428547}"/>
    <cellStyle name="_New_Sofi_Summary_раст.-факт" xfId="1142" xr:uid="{6DBE9EE7-88BA-4DE2-8603-915D08A3B01B}"/>
    <cellStyle name="_New_Sofi_Summary_Растениеводство форма( АГМ)" xfId="1143" xr:uid="{0808BD0C-CDCB-4D55-811B-C7C130CA2CA5}"/>
    <cellStyle name="_New_Sofi_Summary_Свод по Агрохоолдингу  (в т.ч КБН  )" xfId="1144" xr:uid="{1960E3A3-C667-48DF-9D77-CF3B42D50D9D}"/>
    <cellStyle name="_New_Sofi_Summary_ТК-2011 АГМ+транспорт" xfId="1145" xr:uid="{EDA30E44-334D-4C41-B018-ECA049405E2A}"/>
    <cellStyle name="_New_Sofi_Summary_Форма по растениеводству (Акционеры) ИЛЧ" xfId="1146" xr:uid="{38835A09-517F-4B39-9343-7BD6D8B370D7}"/>
    <cellStyle name="_New_Sofi_Tax_form_1кв_3" xfId="1147" xr:uid="{4274AB33-57B2-4742-A096-B2B8F1DD6780}"/>
    <cellStyle name="_New_Sofi_Tax_form_1кв_3 1" xfId="1148" xr:uid="{07F7616D-CE18-4F02-810A-2DDF872687B7}"/>
    <cellStyle name="_New_Sofi_Tax_form_1кв_3 1_Копия Растениеводство форма(Акционеры)" xfId="1149" xr:uid="{27E0EC53-3FEA-4ABF-97B1-FF02D61A88D0}"/>
    <cellStyle name="_New_Sofi_Tax_form_1кв_3 1_М( ЗАР)" xfId="1150" xr:uid="{DA1D7710-E8EB-4815-B5CF-B2019C391051}"/>
    <cellStyle name="_New_Sofi_Tax_form_1кв_3 1_Модель АгроГард на 5 лет" xfId="1151" xr:uid="{A1A4DE2B-AD0F-4320-8969-B91D87BE73FF}"/>
    <cellStyle name="_New_Sofi_Tax_form_1кв_3 1_раст.-факт" xfId="1152" xr:uid="{1414ACBB-CB3A-4437-8E29-1C9C86B405B2}"/>
    <cellStyle name="_New_Sofi_Tax_form_1кв_3 1_Растениеводство форма( АГМ)" xfId="1153" xr:uid="{9812FD19-10BF-4B60-91FE-3D1826920D18}"/>
    <cellStyle name="_New_Sofi_Tax_form_1кв_3 1_Свод по Агрохоолдингу  (в т.ч КБН  )" xfId="1154" xr:uid="{0A31AD2A-F359-4288-82AE-1EBA819A4794}"/>
    <cellStyle name="_New_Sofi_Tax_form_1кв_3 1_Форма по растениеводству (Акционеры) ИЛЧ" xfId="1155" xr:uid="{59B0FF4A-92FE-49BE-AB45-39616BA73C3C}"/>
    <cellStyle name="_New_Sofi_Tax_form_1кв_3 2" xfId="1156" xr:uid="{88EE3E18-DD2F-4DDF-8938-2647FB1E381C}"/>
    <cellStyle name="_New_Sofi_Tax_form_1кв_3 2_Копия Растениеводство форма(Акционеры)" xfId="1157" xr:uid="{6AD54C8D-61FB-4563-8737-E147039039B2}"/>
    <cellStyle name="_New_Sofi_Tax_form_1кв_3 2_М( ЗАР)" xfId="1158" xr:uid="{5D44039A-FBBE-4838-8F44-ADA188D1D3E7}"/>
    <cellStyle name="_New_Sofi_Tax_form_1кв_3 2_Модель АгроГард на 5 лет" xfId="1159" xr:uid="{88251544-C943-48B1-A75C-B04A62A10565}"/>
    <cellStyle name="_New_Sofi_Tax_form_1кв_3 2_раст.-факт" xfId="1160" xr:uid="{9C76523D-C76F-4073-8E81-21A539C1D134}"/>
    <cellStyle name="_New_Sofi_Tax_form_1кв_3 2_Растениеводство форма( АГМ)" xfId="1161" xr:uid="{C765C36B-5172-410B-8028-91D384CA43B7}"/>
    <cellStyle name="_New_Sofi_Tax_form_1кв_3 2_Свод по Агрохоолдингу  (в т.ч КБН  )" xfId="1162" xr:uid="{D0312BB9-7EE3-46F8-92AF-D8D76705DB10}"/>
    <cellStyle name="_New_Sofi_Tax_form_1кв_3 2_Форма по растениеводству (Акционеры) ИЛЧ" xfId="1163" xr:uid="{6CFC2469-32BE-4951-91B7-0067DEAFE04F}"/>
    <cellStyle name="_New_Sofi_Tax_form_1кв_3 3" xfId="1164" xr:uid="{05CF753B-2C83-4481-A07D-D38A7FCE458C}"/>
    <cellStyle name="_New_Sofi_Tax_form_1кв_3 3_Копия Растениеводство форма(Акционеры)" xfId="1165" xr:uid="{8746164F-4713-4DC7-B842-D0F08E465FC1}"/>
    <cellStyle name="_New_Sofi_Tax_form_1кв_3 3_М( ЗАР)" xfId="1166" xr:uid="{D585591F-EB8D-4AD7-88C8-428E584EC7FA}"/>
    <cellStyle name="_New_Sofi_Tax_form_1кв_3 3_Модель АгроГард на 5 лет" xfId="1167" xr:uid="{ABEABE36-07A8-4A26-AFF5-C9E7D9F59FAA}"/>
    <cellStyle name="_New_Sofi_Tax_form_1кв_3 3_раст.-факт" xfId="1168" xr:uid="{354DDBC2-0015-4AAA-929D-204FEA408216}"/>
    <cellStyle name="_New_Sofi_Tax_form_1кв_3 3_Растениеводство форма( АГМ)" xfId="1169" xr:uid="{554D72FF-2966-4E03-AC43-E37B8A6920D9}"/>
    <cellStyle name="_New_Sofi_Tax_form_1кв_3 3_Свод по Агрохоолдингу  (в т.ч КБН  )" xfId="1170" xr:uid="{DF420CB6-F9CA-4C23-8699-F51661A85DBA}"/>
    <cellStyle name="_New_Sofi_Tax_form_1кв_3 3_Форма по растениеводству (Акционеры) ИЛЧ" xfId="1171" xr:uid="{9051B668-B5BB-496B-9D1B-AF6E532B24E2}"/>
    <cellStyle name="_New_Sofi_Tax_form_1кв_3_АГМ" xfId="1172" xr:uid="{7D7A236D-DDCE-4D33-8D3A-14E40128FD91}"/>
    <cellStyle name="_New_Sofi_Tax_form_1кв_3_Копия Растениеводство форма(Акционеры)" xfId="1173" xr:uid="{390241DC-CB2A-406F-B70A-A12E10FDC459}"/>
    <cellStyle name="_New_Sofi_Tax_form_1кв_3_М( ЗАР)" xfId="1174" xr:uid="{735A0517-DAD3-4BD6-AFE3-B59E1AEE0272}"/>
    <cellStyle name="_New_Sofi_Tax_form_1кв_3_Модель АгроГард на 5 лет" xfId="1175" xr:uid="{13B06E11-7CD5-4E56-8276-F6566B001E6A}"/>
    <cellStyle name="_New_Sofi_Tax_form_1кв_3_НИК-09" xfId="1176" xr:uid="{26E816E3-8295-43B4-9E80-3B570D925947}"/>
    <cellStyle name="_New_Sofi_Tax_form_1кв_3_раст.-факт" xfId="1177" xr:uid="{25516CE8-C36B-4E09-BE7E-51B74B6FFF2B}"/>
    <cellStyle name="_New_Sofi_Tax_form_1кв_3_Растениеводство форма( АГМ)" xfId="1178" xr:uid="{7C94B757-24C5-418E-83BC-048F9A80C9EF}"/>
    <cellStyle name="_New_Sofi_Tax_form_1кв_3_Свод по Агрохоолдингу  (в т.ч КБН  )" xfId="1179" xr:uid="{EAE5B0BC-F76F-4A83-A99D-15D552BD5FB0}"/>
    <cellStyle name="_New_Sofi_Tax_form_1кв_3_ТК-2011 АГМ+транспорт" xfId="1180" xr:uid="{B419B978-C645-4106-A21D-E498CB3FFB27}"/>
    <cellStyle name="_New_Sofi_Tax_form_1кв_3_Форма по растениеводству (Акционеры) ИЛЧ" xfId="1181" xr:uid="{C99EFD39-AB8A-4853-8F54-C3F608AD535E}"/>
    <cellStyle name="_New_Sofi_АГМ" xfId="1182" xr:uid="{0B6B4931-2D08-48D3-9130-E191D345C22D}"/>
    <cellStyle name="_New_Sofi_БКЭ" xfId="1183" xr:uid="{F7DF0DCA-08AB-428B-BC35-A48742D94C35}"/>
    <cellStyle name="_New_Sofi_БКЭ 1" xfId="1184" xr:uid="{A25D92FF-480E-4791-94E9-D553F128B4A5}"/>
    <cellStyle name="_New_Sofi_БКЭ 1_Копия Растениеводство форма(Акционеры)" xfId="1185" xr:uid="{F21163A6-731C-4A9C-A5A3-5206B3FC00EB}"/>
    <cellStyle name="_New_Sofi_БКЭ 1_М( ЗАР)" xfId="1186" xr:uid="{360DED36-FF87-43F5-B82C-61C7772EA6AB}"/>
    <cellStyle name="_New_Sofi_БКЭ 1_Модель АгроГард на 5 лет" xfId="1187" xr:uid="{FCD249C8-E055-4099-8E22-9E1C14A5D1A8}"/>
    <cellStyle name="_New_Sofi_БКЭ 1_раст.-факт" xfId="1188" xr:uid="{0DD11860-9EA2-428F-A4C5-C81B35E8379C}"/>
    <cellStyle name="_New_Sofi_БКЭ 1_Растениеводство форма( АГМ)" xfId="1189" xr:uid="{C6BB6E42-16E9-47D7-88B6-97A439EF130D}"/>
    <cellStyle name="_New_Sofi_БКЭ 1_Свод по Агрохоолдингу  (в т.ч КБН  )" xfId="1190" xr:uid="{CE485F21-988C-42E8-B9F6-A724268B2EBC}"/>
    <cellStyle name="_New_Sofi_БКЭ 1_Форма по растениеводству (Акционеры) ИЛЧ" xfId="1191" xr:uid="{8C503458-1C7C-487E-9BA6-80D40EA9DFB5}"/>
    <cellStyle name="_New_Sofi_БКЭ 2" xfId="1192" xr:uid="{E3EC164D-86B0-4B43-A65A-F77839020D7E}"/>
    <cellStyle name="_New_Sofi_БКЭ 2_Копия Растениеводство форма(Акционеры)" xfId="1193" xr:uid="{4CE1319A-6CA4-4169-9E12-4DADF51C3D8D}"/>
    <cellStyle name="_New_Sofi_БКЭ 2_М( ЗАР)" xfId="1194" xr:uid="{DCBDB96E-A330-4522-9725-DEE5E763F55F}"/>
    <cellStyle name="_New_Sofi_БКЭ 2_Модель АгроГард на 5 лет" xfId="1195" xr:uid="{C5341281-0AC6-4747-AA79-D8BC64807A6B}"/>
    <cellStyle name="_New_Sofi_БКЭ 2_раст.-факт" xfId="1196" xr:uid="{9B46E586-4932-40F4-8B12-22257A6C07FE}"/>
    <cellStyle name="_New_Sofi_БКЭ 2_Растениеводство форма( АГМ)" xfId="1197" xr:uid="{D29444DB-35B3-499B-A028-D873C97821B9}"/>
    <cellStyle name="_New_Sofi_БКЭ 2_Свод по Агрохоолдингу  (в т.ч КБН  )" xfId="1198" xr:uid="{C302C439-F8B7-4212-928F-93F09004B568}"/>
    <cellStyle name="_New_Sofi_БКЭ 2_Форма по растениеводству (Акционеры) ИЛЧ" xfId="1199" xr:uid="{30CEEC92-389F-40A7-90BC-28656DC0DFDE}"/>
    <cellStyle name="_New_Sofi_БКЭ 3" xfId="1200" xr:uid="{ED2B39D5-F35D-4E66-9705-2BE9BC33C0C5}"/>
    <cellStyle name="_New_Sofi_БКЭ 3_Копия Растениеводство форма(Акционеры)" xfId="1201" xr:uid="{31ADB27A-9A81-4B89-BB7F-9623134C5083}"/>
    <cellStyle name="_New_Sofi_БКЭ 3_М( ЗАР)" xfId="1202" xr:uid="{9D9802A3-00AE-4E2F-AA5C-A8EC0F0D019F}"/>
    <cellStyle name="_New_Sofi_БКЭ 3_Модель АгроГард на 5 лет" xfId="1203" xr:uid="{FAD686F2-D8BF-412E-910B-CAFBB90BBB2C}"/>
    <cellStyle name="_New_Sofi_БКЭ 3_раст.-факт" xfId="1204" xr:uid="{A3C8DBC3-5636-4753-9B33-557F05AFE699}"/>
    <cellStyle name="_New_Sofi_БКЭ 3_Растениеводство форма( АГМ)" xfId="1205" xr:uid="{582CD434-A0D9-43C2-9600-E8BE54F77066}"/>
    <cellStyle name="_New_Sofi_БКЭ 3_Свод по Агрохоолдингу  (в т.ч КБН  )" xfId="1206" xr:uid="{D2AFCB7F-9AC3-4DFA-8596-7615901CCA56}"/>
    <cellStyle name="_New_Sofi_БКЭ 3_Форма по растениеводству (Акционеры) ИЛЧ" xfId="1207" xr:uid="{4BCCF531-F56C-45DF-929A-1DAA115F496C}"/>
    <cellStyle name="_New_Sofi_БКЭ_АГМ" xfId="1208" xr:uid="{7BD2CC08-061F-4113-A10C-AD3B7A34C813}"/>
    <cellStyle name="_New_Sofi_БКЭ_Копия Растениеводство форма(Акционеры)" xfId="1209" xr:uid="{11BBE27D-4973-408C-BCF3-53FFF79B583D}"/>
    <cellStyle name="_New_Sofi_БКЭ_М( ЗАР)" xfId="1210" xr:uid="{CCCF0CD5-348A-46A9-BD89-31E218D6BF34}"/>
    <cellStyle name="_New_Sofi_БКЭ_Модель АгроГард на 5 лет" xfId="1211" xr:uid="{12F4CFF0-F50A-4476-B6E8-0DF256895636}"/>
    <cellStyle name="_New_Sofi_БКЭ_НИК-09" xfId="1212" xr:uid="{9BE5BE65-E4F3-4517-9F8C-6F80100AFB8C}"/>
    <cellStyle name="_New_Sofi_БКЭ_раст.-факт" xfId="1213" xr:uid="{BE30F610-553D-4DF7-8BC3-5D95784B7A5C}"/>
    <cellStyle name="_New_Sofi_БКЭ_Растениеводство форма( АГМ)" xfId="1214" xr:uid="{31B5E15D-281E-450D-87B7-F9BE0AE58D03}"/>
    <cellStyle name="_New_Sofi_БКЭ_Свод по Агрохоолдингу  (в т.ч КБН  )" xfId="1215" xr:uid="{A3D805BB-C6D1-488C-94D3-5D163A1DDB8D}"/>
    <cellStyle name="_New_Sofi_БКЭ_ТК-2011 АГМ+транспорт" xfId="1216" xr:uid="{83FF3822-3715-43D5-BED2-32182ABF1C95}"/>
    <cellStyle name="_New_Sofi_БКЭ_Форма по растениеводству (Акционеры) ИЛЧ" xfId="1217" xr:uid="{BB2A3DD7-CC07-4CE4-9B74-0882D3917A0F}"/>
    <cellStyle name="_New_Sofi_Копия Растениеводство форма(Акционеры)" xfId="1218" xr:uid="{421626AC-0380-49B8-ADF2-811C19432CF3}"/>
    <cellStyle name="_New_Sofi_М( ЗАР)" xfId="1219" xr:uid="{7FDB9525-B5B6-4A4D-82FD-D277AB0DC98C}"/>
    <cellStyle name="_New_Sofi_Модель АгроГард на 5 лет" xfId="1220" xr:uid="{D8752E05-F896-404F-B85F-42EAAA4BF2BC}"/>
    <cellStyle name="_New_Sofi_НИК-09" xfId="1221" xr:uid="{6DD2D31D-5FFF-4F58-A8D6-E77D797D95B5}"/>
    <cellStyle name="_New_Sofi_раст.-факт" xfId="1222" xr:uid="{1076607C-B9FB-40E3-9CF7-C65324F4C537}"/>
    <cellStyle name="_New_Sofi_Растениеводство форма( АГМ)" xfId="1223" xr:uid="{6C7BCA19-7B9D-44AD-B43A-ED5C59CE6026}"/>
    <cellStyle name="_New_Sofi_Свод по Агрохоолдингу  (в т.ч КБН  )" xfId="1224" xr:uid="{4F297DE8-BEC2-42F0-953C-1ABF8C1690F8}"/>
    <cellStyle name="_New_Sofi_ТК-2011 АГМ+транспорт" xfId="1225" xr:uid="{3A0460B8-8847-4268-B902-1BCF03A34FAF}"/>
    <cellStyle name="_New_Sofi_Форма по растениеводству (Акционеры) ИЛЧ" xfId="1226" xr:uid="{5702FA76-905B-4A72-B690-9F6764EACF5A}"/>
    <cellStyle name="_Nsi" xfId="1227" xr:uid="{B210F61D-7B05-4565-A2A3-DF6AE4689378}"/>
    <cellStyle name="_Nsi 1" xfId="1228" xr:uid="{8A3D36D6-6D71-4BA2-97DC-13A065BD2D07}"/>
    <cellStyle name="_Nsi 1_Копия Растениеводство форма(Акционеры)" xfId="1229" xr:uid="{ACD04CA3-3E51-4453-B373-DEF947AC3238}"/>
    <cellStyle name="_Nsi 1_М( ЗАР)" xfId="1230" xr:uid="{2AFF5FD7-729E-4B7D-BC29-6B1143A7D09D}"/>
    <cellStyle name="_Nsi 1_Модель АгроГард на 5 лет" xfId="1231" xr:uid="{7F7CD227-49A9-4C74-B9EE-6AB24F593A03}"/>
    <cellStyle name="_Nsi 1_раст.-факт" xfId="1232" xr:uid="{8011DA18-529D-44A3-9E2D-1F47D4B8D578}"/>
    <cellStyle name="_Nsi 1_Растениеводство форма( АГМ)" xfId="1233" xr:uid="{9628080D-48AC-427C-B924-24E75E02BFE8}"/>
    <cellStyle name="_Nsi 1_Свод по Агрохоолдингу  (в т.ч КБН  )" xfId="1234" xr:uid="{2FF8812D-B154-4040-A87C-1FD7FB9A7DEE}"/>
    <cellStyle name="_Nsi 1_Форма по растениеводству (Акционеры) ИЛЧ" xfId="1235" xr:uid="{8CBD831C-B6B5-4150-828E-E59CB9F258BA}"/>
    <cellStyle name="_Nsi 2" xfId="1236" xr:uid="{EDCA1460-DB35-4BD4-AB38-C948AF2D94C7}"/>
    <cellStyle name="_Nsi 2_Копия Растениеводство форма(Акционеры)" xfId="1237" xr:uid="{BC4B04B8-9A82-4ED6-B6FF-60D3AA57F23F}"/>
    <cellStyle name="_Nsi 2_М( ЗАР)" xfId="1238" xr:uid="{D3AB632B-6616-4C4F-AEEA-94164D5014F2}"/>
    <cellStyle name="_Nsi 2_Модель АгроГард на 5 лет" xfId="1239" xr:uid="{39737064-97DA-4951-878D-CF445E0BFB9F}"/>
    <cellStyle name="_Nsi 2_раст.-факт" xfId="1240" xr:uid="{EB8431A9-F6B6-417A-B057-7F6BD09F712B}"/>
    <cellStyle name="_Nsi 2_Растениеводство форма( АГМ)" xfId="1241" xr:uid="{CE3BC563-597D-4C7E-9876-4CC08CA38EE8}"/>
    <cellStyle name="_Nsi 2_Свод по Агрохоолдингу  (в т.ч КБН  )" xfId="1242" xr:uid="{BFEE2D01-DC78-4491-BA2C-5AAD1776BDCF}"/>
    <cellStyle name="_Nsi 2_Форма по растениеводству (Акционеры) ИЛЧ" xfId="1243" xr:uid="{210F9CD0-CC2F-4705-8203-9B35A5D76777}"/>
    <cellStyle name="_Nsi 3" xfId="1244" xr:uid="{D6871DAA-76BA-4A45-9079-D96245A1A1EE}"/>
    <cellStyle name="_Nsi 3_Копия Растениеводство форма(Акционеры)" xfId="1245" xr:uid="{657DED25-7E36-4EEC-86DD-F3576B75F405}"/>
    <cellStyle name="_Nsi 3_М( ЗАР)" xfId="1246" xr:uid="{5CE58CA4-3694-45AC-9475-09F762646278}"/>
    <cellStyle name="_Nsi 3_Модель АгроГард на 5 лет" xfId="1247" xr:uid="{12F49799-D043-4A9B-8E15-2F2E0BD50063}"/>
    <cellStyle name="_Nsi 3_раст.-факт" xfId="1248" xr:uid="{D7B03D54-45C6-49C7-91FF-C3D3961150F8}"/>
    <cellStyle name="_Nsi 3_Растениеводство форма( АГМ)" xfId="1249" xr:uid="{EA84AE20-F99E-405A-9419-C973360D0F05}"/>
    <cellStyle name="_Nsi 3_Свод по Агрохоолдингу  (в т.ч КБН  )" xfId="1250" xr:uid="{B9DA3AB2-7149-4352-A191-BA04D394BE97}"/>
    <cellStyle name="_Nsi 3_Форма по растениеводству (Акционеры) ИЛЧ" xfId="1251" xr:uid="{1AD64438-E0DE-4F1F-9586-1F88C1914374}"/>
    <cellStyle name="_Nsi_АГМ" xfId="1252" xr:uid="{591F1728-BAB9-4C25-B60C-8728833E9856}"/>
    <cellStyle name="_Nsi_Копия Растениеводство форма(Акционеры)" xfId="1253" xr:uid="{83D47E57-9E24-44C6-ABCB-7BA3473C9FD7}"/>
    <cellStyle name="_Nsi_М( ЗАР)" xfId="1254" xr:uid="{72C42949-DF6B-49AB-98A1-27B922D53EB0}"/>
    <cellStyle name="_Nsi_Модель АгроГард на 5 лет" xfId="1255" xr:uid="{8308534A-7F15-49E8-BAC0-F22316A83DCE}"/>
    <cellStyle name="_Nsi_НИК-09" xfId="1256" xr:uid="{C9493297-9584-4D00-9D1F-942C1DA87C84}"/>
    <cellStyle name="_Nsi_раст.-факт" xfId="1257" xr:uid="{E708CE0B-6E0B-4EEA-A643-0D6D30152A4C}"/>
    <cellStyle name="_Nsi_Растениеводство форма( АГМ)" xfId="1258" xr:uid="{B7E4685B-2E47-427C-920E-0529E5DDB07E}"/>
    <cellStyle name="_Nsi_Свод по Агрохоолдингу  (в т.ч КБН  )" xfId="1259" xr:uid="{0D4DB581-3159-418E-8D7B-1A68740E84B1}"/>
    <cellStyle name="_Nsi_ТК-2011 АГМ+транспорт" xfId="1260" xr:uid="{C2F46496-15E9-48AB-B986-5028FD04ED2D}"/>
    <cellStyle name="_Nsi_Форма по растениеводству (Акционеры) ИЛЧ" xfId="1261" xr:uid="{0E499F58-D741-4B83-85EB-FD7CD7E2913F}"/>
    <cellStyle name="_Книга3" xfId="1262" xr:uid="{62041E43-0216-474D-8F74-BB6C081B60C2}"/>
    <cellStyle name="_Книга3 1" xfId="1263" xr:uid="{68B87CC6-1ACD-48B7-8DC2-C946FF74C1CB}"/>
    <cellStyle name="_Книга3 1_Копия Растениеводство форма(Акционеры)" xfId="1264" xr:uid="{5A54DE80-C30E-4F87-B584-6A6EDF0F6725}"/>
    <cellStyle name="_Книга3 1_М( ЗАР)" xfId="1265" xr:uid="{76D1BB7F-6E6F-49FE-8690-6EB38F2E282D}"/>
    <cellStyle name="_Книга3 1_Модель АгроГард на 5 лет" xfId="1266" xr:uid="{32FCE953-9222-444A-9C67-052E7CE806EE}"/>
    <cellStyle name="_Книга3 1_раст.-факт" xfId="1267" xr:uid="{FDDB90A1-C43E-4EFA-AF0C-F2DD291DC467}"/>
    <cellStyle name="_Книга3 1_Растениеводство форма( АГМ)" xfId="1268" xr:uid="{5084B761-8005-40DB-BA72-96F032FFB42D}"/>
    <cellStyle name="_Книга3 1_Свод по Агрохоолдингу  (в т.ч КБН  )" xfId="1269" xr:uid="{336B20F9-DCD7-4A80-B827-884C715D9543}"/>
    <cellStyle name="_Книга3 1_Форма по растениеводству (Акционеры) ИЛЧ" xfId="1270" xr:uid="{F79BEB56-2602-4B71-BF78-2A0C5CAD2FF3}"/>
    <cellStyle name="_Книга3 2" xfId="1271" xr:uid="{B2D116FF-81E3-4241-8CB5-30FEE3A42D1C}"/>
    <cellStyle name="_Книга3 2_Копия Растениеводство форма(Акционеры)" xfId="1272" xr:uid="{FF436F68-24C1-4F80-92CA-D200C8651C0B}"/>
    <cellStyle name="_Книга3 2_М( ЗАР)" xfId="1273" xr:uid="{5655D84E-6082-4A9E-BE44-C5B842A6E21C}"/>
    <cellStyle name="_Книга3 2_Модель АгроГард на 5 лет" xfId="1274" xr:uid="{C9B287E0-F11D-4CA0-A848-8DF5533304ED}"/>
    <cellStyle name="_Книга3 2_раст.-факт" xfId="1275" xr:uid="{17EFFBF0-9283-4677-B364-0E1BD2BE5BC8}"/>
    <cellStyle name="_Книга3 2_Растениеводство форма( АГМ)" xfId="1276" xr:uid="{F63108CF-34FC-4AD6-8930-EF43F61B8738}"/>
    <cellStyle name="_Книга3 2_Свод по Агрохоолдингу  (в т.ч КБН  )" xfId="1277" xr:uid="{654C7744-4835-4716-B555-3B480A7A16D1}"/>
    <cellStyle name="_Книга3 2_Форма по растениеводству (Акционеры) ИЛЧ" xfId="1278" xr:uid="{AD96EBA9-F678-4BD7-9C7F-1400C028D74D}"/>
    <cellStyle name="_Книга3 3" xfId="1279" xr:uid="{B2212D08-8BDC-4545-BA32-A4B0E1395C19}"/>
    <cellStyle name="_Книга3 3_Копия Растениеводство форма(Акционеры)" xfId="1280" xr:uid="{2FEE23A7-27AE-43C2-B45E-504FFED6CA5D}"/>
    <cellStyle name="_Книга3 3_М( ЗАР)" xfId="1281" xr:uid="{300BDC7D-A005-4475-91D5-1172051EF93E}"/>
    <cellStyle name="_Книга3 3_Модель АгроГард на 5 лет" xfId="1282" xr:uid="{B8137228-2631-461D-8889-48B4CD611F75}"/>
    <cellStyle name="_Книга3 3_раст.-факт" xfId="1283" xr:uid="{5A4831CB-FD4B-4D67-8CF2-AC4CF007E58C}"/>
    <cellStyle name="_Книга3 3_Растениеводство форма( АГМ)" xfId="1284" xr:uid="{AC0EFBA9-136A-4286-B056-EC0D13EDCAA4}"/>
    <cellStyle name="_Книга3 3_Свод по Агрохоолдингу  (в т.ч КБН  )" xfId="1285" xr:uid="{1FFCA9FD-94AE-4A49-AAED-27F48BDC5278}"/>
    <cellStyle name="_Книга3 3_Форма по растениеводству (Акционеры) ИЛЧ" xfId="1286" xr:uid="{F9FE57E4-EE19-4893-B1E5-1708854E2738}"/>
    <cellStyle name="_Книга3_New Form10_2" xfId="1287" xr:uid="{3F49EB09-8123-4AA8-891B-46C851F6D51A}"/>
    <cellStyle name="_Книга3_New Form10_2 1" xfId="1288" xr:uid="{B5E279EE-26D4-429D-839D-8D1C7662CE79}"/>
    <cellStyle name="_Книга3_New Form10_2 1_Копия Растениеводство форма(Акционеры)" xfId="1289" xr:uid="{0F1E7325-4E03-4E33-9B91-9B47F0598B8D}"/>
    <cellStyle name="_Книга3_New Form10_2 1_М( ЗАР)" xfId="1290" xr:uid="{E52C7B8B-1094-467B-BB0C-9771B2583197}"/>
    <cellStyle name="_Книга3_New Form10_2 1_Модель АгроГард на 5 лет" xfId="1291" xr:uid="{D5AE63A9-4624-40AE-92F7-D6A9D2AE342A}"/>
    <cellStyle name="_Книга3_New Form10_2 1_раст.-факт" xfId="1292" xr:uid="{53190D12-B5E0-43D1-8940-9B2EAF638F95}"/>
    <cellStyle name="_Книга3_New Form10_2 1_Растениеводство форма( АГМ)" xfId="1293" xr:uid="{6AE5BD87-43D2-41A7-90C1-8C2A539C6F50}"/>
    <cellStyle name="_Книга3_New Form10_2 1_Свод по Агрохоолдингу  (в т.ч КБН  )" xfId="1294" xr:uid="{A30A1832-FD2A-46D9-A437-41C07E159F2F}"/>
    <cellStyle name="_Книга3_New Form10_2 1_Форма по растениеводству (Акционеры) ИЛЧ" xfId="1295" xr:uid="{AC7EB2AF-EA90-40F9-AAD7-444FCE4FDA44}"/>
    <cellStyle name="_Книга3_New Form10_2 2" xfId="1296" xr:uid="{D7ABE4C8-C20F-4F19-A141-6C669F2E5FD1}"/>
    <cellStyle name="_Книга3_New Form10_2 2_Копия Растениеводство форма(Акционеры)" xfId="1297" xr:uid="{03A8C841-0189-4A5D-A1E2-359752B439A4}"/>
    <cellStyle name="_Книга3_New Form10_2 2_М( ЗАР)" xfId="1298" xr:uid="{73062030-FCBE-4DA2-B28D-E6A84BCB96A6}"/>
    <cellStyle name="_Книга3_New Form10_2 2_Модель АгроГард на 5 лет" xfId="1299" xr:uid="{0D77FF37-71BE-4DEB-8601-64690D00BF64}"/>
    <cellStyle name="_Книга3_New Form10_2 2_раст.-факт" xfId="1300" xr:uid="{EBBA6FF7-E6CB-4C59-9926-C9E29202EB30}"/>
    <cellStyle name="_Книга3_New Form10_2 2_Растениеводство форма( АГМ)" xfId="1301" xr:uid="{061AF712-A882-486D-9874-284DCF6987AA}"/>
    <cellStyle name="_Книга3_New Form10_2 2_Свод по Агрохоолдингу  (в т.ч КБН  )" xfId="1302" xr:uid="{FD52651C-5F74-40BB-B7C4-9E5D1243B2F4}"/>
    <cellStyle name="_Книга3_New Form10_2 2_Форма по растениеводству (Акционеры) ИЛЧ" xfId="1303" xr:uid="{943A965B-172E-4E5B-BFB8-7F7928F4C29B}"/>
    <cellStyle name="_Книга3_New Form10_2 3" xfId="1304" xr:uid="{A8CF4531-AE91-4B02-96A5-BF13BF2042C1}"/>
    <cellStyle name="_Книга3_New Form10_2 3_Копия Растениеводство форма(Акционеры)" xfId="1305" xr:uid="{162F7E0E-2175-4958-BE59-1BAEE4745F86}"/>
    <cellStyle name="_Книга3_New Form10_2 3_М( ЗАР)" xfId="1306" xr:uid="{8AF6E2F0-40D7-4A4C-B4BA-9B24F2EED28D}"/>
    <cellStyle name="_Книга3_New Form10_2 3_Модель АгроГард на 5 лет" xfId="1307" xr:uid="{29D631D0-0C47-4F79-815C-50D5FEB080DA}"/>
    <cellStyle name="_Книга3_New Form10_2 3_раст.-факт" xfId="1308" xr:uid="{B2FF4B9A-DB39-4FAE-AD79-7FF06FB94DF2}"/>
    <cellStyle name="_Книга3_New Form10_2 3_Растениеводство форма( АГМ)" xfId="1309" xr:uid="{22D5CE0E-46ED-4738-8A48-992C45F27890}"/>
    <cellStyle name="_Книга3_New Form10_2 3_Свод по Агрохоолдингу  (в т.ч КБН  )" xfId="1310" xr:uid="{FD04A151-DF07-430F-A932-776477E81807}"/>
    <cellStyle name="_Книга3_New Form10_2 3_Форма по растениеводству (Акционеры) ИЛЧ" xfId="1311" xr:uid="{BD2182BE-8145-42C3-89B9-DA763C679B31}"/>
    <cellStyle name="_Книга3_New Form10_2_АГМ" xfId="1312" xr:uid="{80AE5AAA-B706-4C25-AD4E-1EA2ABD4E648}"/>
    <cellStyle name="_Книга3_New Form10_2_Копия Растениеводство форма(Акционеры)" xfId="1313" xr:uid="{66390355-AB94-4FFE-BF55-ACD2F2A699C0}"/>
    <cellStyle name="_Книга3_New Form10_2_М( ЗАР)" xfId="1314" xr:uid="{6D1AC4E2-33E7-4F38-ACA9-F60F8CDF6278}"/>
    <cellStyle name="_Книга3_New Form10_2_Модель АгроГард на 5 лет" xfId="1315" xr:uid="{E02DD372-29BC-47BD-B1D3-3B61E62D6ABA}"/>
    <cellStyle name="_Книга3_New Form10_2_НИК-09" xfId="1316" xr:uid="{A89D9EE3-331B-43CE-9B4C-296DBB9D055E}"/>
    <cellStyle name="_Книга3_New Form10_2_раст.-факт" xfId="1317" xr:uid="{E1240986-B414-4572-A3F4-AEA5E44E7460}"/>
    <cellStyle name="_Книга3_New Form10_2_Растениеводство форма( АГМ)" xfId="1318" xr:uid="{8ADE33BF-F48E-4C1B-9A0D-9B948F855462}"/>
    <cellStyle name="_Книга3_New Form10_2_Свод по Агрохоолдингу  (в т.ч КБН  )" xfId="1319" xr:uid="{29BB80D2-F8B7-4057-BDB8-5367EA04BD31}"/>
    <cellStyle name="_Книга3_New Form10_2_ТК-2011 АГМ+транспорт" xfId="1320" xr:uid="{6605322E-37B4-4861-B539-3783D26E91F9}"/>
    <cellStyle name="_Книга3_New Form10_2_Форма по растениеводству (Акционеры) ИЛЧ" xfId="1321" xr:uid="{0A1C50F0-2E9D-47A2-BFF4-4BEAA5381353}"/>
    <cellStyle name="_Книга3_Nsi" xfId="1322" xr:uid="{F3C7826F-8AEC-4DA5-84F8-C0219AC3DE80}"/>
    <cellStyle name="_Книга3_Nsi 1" xfId="1323" xr:uid="{90B209D5-D321-4D5A-A25C-28CB24CB7D5E}"/>
    <cellStyle name="_Книга3_Nsi 1_Копия Растениеводство форма(Акционеры)" xfId="1324" xr:uid="{6EEE7F8D-1F0F-40D5-8B6F-E06882648807}"/>
    <cellStyle name="_Книга3_Nsi 1_М( ЗАР)" xfId="1325" xr:uid="{9B6A1925-2DBD-4665-9FD0-9EBFE9B7824E}"/>
    <cellStyle name="_Книга3_Nsi 1_Модель АгроГард на 5 лет" xfId="1326" xr:uid="{159D2A61-8385-441F-9351-BE06D1245DD2}"/>
    <cellStyle name="_Книга3_Nsi 1_раст.-факт" xfId="1327" xr:uid="{D25F1C2D-4F97-4522-B1CD-4596A8822673}"/>
    <cellStyle name="_Книга3_Nsi 1_Растениеводство форма( АГМ)" xfId="1328" xr:uid="{A282FB68-7B38-46C2-AF24-83B5CC6AD47E}"/>
    <cellStyle name="_Книга3_Nsi 1_Свод по Агрохоолдингу  (в т.ч КБН  )" xfId="1329" xr:uid="{7519FBE3-E013-4934-8E3C-D76427268A68}"/>
    <cellStyle name="_Книга3_Nsi 1_Форма по растениеводству (Акционеры) ИЛЧ" xfId="1330" xr:uid="{4831CCD6-CC64-499C-BCE1-0BE07D5A9734}"/>
    <cellStyle name="_Книга3_Nsi 2" xfId="1331" xr:uid="{189F932C-6630-4EAC-A8A1-D6BCC8014F8D}"/>
    <cellStyle name="_Книга3_Nsi 2_Копия Растениеводство форма(Акционеры)" xfId="1332" xr:uid="{E73B2AED-A43C-4C71-8AA8-4F0B710B7FAC}"/>
    <cellStyle name="_Книга3_Nsi 2_М( ЗАР)" xfId="1333" xr:uid="{8CF47976-9084-4DCF-AE27-D9364200816E}"/>
    <cellStyle name="_Книга3_Nsi 2_Модель АгроГард на 5 лет" xfId="1334" xr:uid="{E4BC9FD3-C05A-4042-9652-1A726C3CADD9}"/>
    <cellStyle name="_Книга3_Nsi 2_раст.-факт" xfId="1335" xr:uid="{820A7919-3120-4B26-8FD3-52E522524441}"/>
    <cellStyle name="_Книга3_Nsi 2_Растениеводство форма( АГМ)" xfId="1336" xr:uid="{9E0C57A8-CEAF-4D53-9CB5-0F2BC94F4EB8}"/>
    <cellStyle name="_Книга3_Nsi 2_Свод по Агрохоолдингу  (в т.ч КБН  )" xfId="1337" xr:uid="{57E44D19-1B3F-492B-8C81-A99627FC07BC}"/>
    <cellStyle name="_Книга3_Nsi 2_Форма по растениеводству (Акционеры) ИЛЧ" xfId="1338" xr:uid="{6B79796B-C3DC-4090-AE98-3EAC5A29047B}"/>
    <cellStyle name="_Книга3_Nsi 3" xfId="1339" xr:uid="{E6E82737-C0BB-461C-9EAD-549DF1225D95}"/>
    <cellStyle name="_Книга3_Nsi 3_Копия Растениеводство форма(Акционеры)" xfId="1340" xr:uid="{70D68357-8076-4463-91DB-8D261B855FD9}"/>
    <cellStyle name="_Книга3_Nsi 3_М( ЗАР)" xfId="1341" xr:uid="{9A16577C-2EC9-4135-B8E9-146BB3E3787A}"/>
    <cellStyle name="_Книга3_Nsi 3_Модель АгроГард на 5 лет" xfId="1342" xr:uid="{1BA58B6A-3AA1-446B-84B2-62C1782365B0}"/>
    <cellStyle name="_Книга3_Nsi 3_раст.-факт" xfId="1343" xr:uid="{5375B182-9EB8-441E-8E29-F227753CCD53}"/>
    <cellStyle name="_Книга3_Nsi 3_Растениеводство форма( АГМ)" xfId="1344" xr:uid="{CA9687F6-DCDD-4B3B-BFE8-0280503B98BE}"/>
    <cellStyle name="_Книга3_Nsi 3_Свод по Агрохоолдингу  (в т.ч КБН  )" xfId="1345" xr:uid="{4039AADA-6109-49EF-84D7-0D56EAFBF17C}"/>
    <cellStyle name="_Книга3_Nsi 3_Форма по растениеводству (Акционеры) ИЛЧ" xfId="1346" xr:uid="{40509505-797A-422C-8665-B0FD45FF7B57}"/>
    <cellStyle name="_Книга3_Nsi_1" xfId="1347" xr:uid="{0A1DC6C5-8C94-432A-A3A4-98E0C909EA58}"/>
    <cellStyle name="_Книга3_Nsi_1 1" xfId="1348" xr:uid="{78F70D94-D227-4352-B88A-D86CA03764F3}"/>
    <cellStyle name="_Книга3_Nsi_1 1_Копия Растениеводство форма(Акционеры)" xfId="1349" xr:uid="{7A531196-9516-4AE4-A01B-D9FA9833A9D9}"/>
    <cellStyle name="_Книга3_Nsi_1 1_М( ЗАР)" xfId="1350" xr:uid="{5467668F-7D46-4DB3-8A5B-8BD466390B2E}"/>
    <cellStyle name="_Книга3_Nsi_1 1_Модель АгроГард на 5 лет" xfId="1351" xr:uid="{26D626BD-8A95-4E99-8783-FDF29FC15018}"/>
    <cellStyle name="_Книга3_Nsi_1 1_раст.-факт" xfId="1352" xr:uid="{627B5283-F37C-43ED-A727-240DCB998F44}"/>
    <cellStyle name="_Книга3_Nsi_1 1_Растениеводство форма( АГМ)" xfId="1353" xr:uid="{D2759E12-78FE-452D-A0D1-2A9DAD096661}"/>
    <cellStyle name="_Книга3_Nsi_1 1_Свод по Агрохоолдингу  (в т.ч КБН  )" xfId="1354" xr:uid="{95709FE7-54C5-4520-BF44-B9331DFD1BE6}"/>
    <cellStyle name="_Книга3_Nsi_1 1_Форма по растениеводству (Акционеры) ИЛЧ" xfId="1355" xr:uid="{13E2BFEF-4F85-4025-8078-1857E5BF2C7B}"/>
    <cellStyle name="_Книга3_Nsi_1 2" xfId="1356" xr:uid="{10F817AF-3406-41A0-A679-E11B1F9D67BB}"/>
    <cellStyle name="_Книга3_Nsi_1 2_Копия Растениеводство форма(Акционеры)" xfId="1357" xr:uid="{30828119-66F7-4398-84F3-6D909B52111E}"/>
    <cellStyle name="_Книга3_Nsi_1 2_М( ЗАР)" xfId="1358" xr:uid="{7E0F401B-A0ED-4544-AF11-276B30D16A08}"/>
    <cellStyle name="_Книга3_Nsi_1 2_Модель АгроГард на 5 лет" xfId="1359" xr:uid="{E141F1B8-1DD9-42CE-92EB-202837FF98E3}"/>
    <cellStyle name="_Книга3_Nsi_1 2_раст.-факт" xfId="1360" xr:uid="{00E460CC-3CCB-4302-BF75-EE21576F6C47}"/>
    <cellStyle name="_Книга3_Nsi_1 2_Растениеводство форма( АГМ)" xfId="1361" xr:uid="{F65A8E49-F21F-4609-A4D3-FC3998F2205A}"/>
    <cellStyle name="_Книга3_Nsi_1 2_Свод по Агрохоолдингу  (в т.ч КБН  )" xfId="1362" xr:uid="{73CC755A-9086-4A8D-9F62-37F19A221B70}"/>
    <cellStyle name="_Книга3_Nsi_1 2_Форма по растениеводству (Акционеры) ИЛЧ" xfId="1363" xr:uid="{4409A078-8604-49F7-8C7D-39171E536DAF}"/>
    <cellStyle name="_Книга3_Nsi_1 3" xfId="1364" xr:uid="{9FA7FD2F-F2B6-4ED0-ACA4-1BAB15B387D4}"/>
    <cellStyle name="_Книга3_Nsi_1 3_Копия Растениеводство форма(Акционеры)" xfId="1365" xr:uid="{6DDE21F7-D16E-4616-9F3F-8126D649542A}"/>
    <cellStyle name="_Книга3_Nsi_1 3_М( ЗАР)" xfId="1366" xr:uid="{F32F0F50-F86A-4EC9-9847-CCA5C97C4823}"/>
    <cellStyle name="_Книга3_Nsi_1 3_Модель АгроГард на 5 лет" xfId="1367" xr:uid="{C20D7BD9-BAB7-4C39-896F-4C609C6A0979}"/>
    <cellStyle name="_Книга3_Nsi_1 3_раст.-факт" xfId="1368" xr:uid="{66A6E00D-2759-4B08-A65A-C0FD9126181B}"/>
    <cellStyle name="_Книга3_Nsi_1 3_Растениеводство форма( АГМ)" xfId="1369" xr:uid="{61507615-6367-4A04-91E3-F31C19653399}"/>
    <cellStyle name="_Книга3_Nsi_1 3_Свод по Агрохоолдингу  (в т.ч КБН  )" xfId="1370" xr:uid="{C1D78706-FA48-42E2-A383-E8B06B8CE6E7}"/>
    <cellStyle name="_Книга3_Nsi_1 3_Форма по растениеводству (Акционеры) ИЛЧ" xfId="1371" xr:uid="{59ABBDE5-0122-4886-9F4F-BDF87E631B94}"/>
    <cellStyle name="_Книга3_Nsi_1_АГМ" xfId="1372" xr:uid="{E986B2B5-D740-4E68-BA48-B952133C1AA3}"/>
    <cellStyle name="_Книга3_Nsi_1_Копия Растениеводство форма(Акционеры)" xfId="1373" xr:uid="{E574A6C1-763D-4056-98BC-E8443CCA17CC}"/>
    <cellStyle name="_Книга3_Nsi_1_М( ЗАР)" xfId="1374" xr:uid="{63CACF65-B987-4852-B1E4-A36CCF952132}"/>
    <cellStyle name="_Книга3_Nsi_1_Модель АгроГард на 5 лет" xfId="1375" xr:uid="{E4472E17-6D31-4235-9961-734748C0951F}"/>
    <cellStyle name="_Книга3_Nsi_1_НИК-09" xfId="1376" xr:uid="{B9826941-B674-4505-A39C-775CF561CCCE}"/>
    <cellStyle name="_Книга3_Nsi_1_раст.-факт" xfId="1377" xr:uid="{AC22A829-86DB-478D-B443-3AC3BDCD987C}"/>
    <cellStyle name="_Книга3_Nsi_1_Растениеводство форма( АГМ)" xfId="1378" xr:uid="{CF30ED86-790F-4A7E-9748-AB95B5D10C44}"/>
    <cellStyle name="_Книга3_Nsi_1_Свод по Агрохоолдингу  (в т.ч КБН  )" xfId="1379" xr:uid="{BDC66D48-24E8-46C3-8D80-56AE8306F24F}"/>
    <cellStyle name="_Книга3_Nsi_1_ТК-2011 АГМ+транспорт" xfId="1380" xr:uid="{EC997715-8688-47C4-87E6-C6E344027CBE}"/>
    <cellStyle name="_Книга3_Nsi_1_Форма по растениеводству (Акционеры) ИЛЧ" xfId="1381" xr:uid="{D352CFBC-6AC5-4724-B133-66F8C0EF9C1F}"/>
    <cellStyle name="_Книга3_Nsi_139" xfId="1382" xr:uid="{1840E293-9199-4B25-AB56-A978C8434F40}"/>
    <cellStyle name="_Книга3_Nsi_139 1" xfId="1383" xr:uid="{8B487B4B-9ECA-42F6-9447-CFE8B58D2465}"/>
    <cellStyle name="_Книга3_Nsi_139 1_Копия Растениеводство форма(Акционеры)" xfId="1384" xr:uid="{F739E5C6-82D5-497F-9650-34AF042EA44E}"/>
    <cellStyle name="_Книга3_Nsi_139 1_М( ЗАР)" xfId="1385" xr:uid="{5ABC858A-CF2B-46F1-9BED-18166F1D11C6}"/>
    <cellStyle name="_Книга3_Nsi_139 1_Модель АгроГард на 5 лет" xfId="1386" xr:uid="{FB9BCE61-92EE-427C-B00D-4DC230C00EFC}"/>
    <cellStyle name="_Книга3_Nsi_139 1_раст.-факт" xfId="1387" xr:uid="{051D700A-60C0-4D6F-A59A-7BEDA72B3D5C}"/>
    <cellStyle name="_Книга3_Nsi_139 1_Растениеводство форма( АГМ)" xfId="1388" xr:uid="{4672C839-56F8-4808-AC49-4F61472B7E74}"/>
    <cellStyle name="_Книга3_Nsi_139 1_Свод по Агрохоолдингу  (в т.ч КБН  )" xfId="1389" xr:uid="{EB62B246-AE96-47CB-8FC5-8530BE250D8F}"/>
    <cellStyle name="_Книга3_Nsi_139 1_Форма по растениеводству (Акционеры) ИЛЧ" xfId="1390" xr:uid="{6A79BB32-C4BE-4288-8F9B-F4870DEE635D}"/>
    <cellStyle name="_Книга3_Nsi_139 2" xfId="1391" xr:uid="{73C352D1-0F6C-421D-84D6-400323F6E822}"/>
    <cellStyle name="_Книга3_Nsi_139 2_Копия Растениеводство форма(Акционеры)" xfId="1392" xr:uid="{31CC37FD-FA1E-47CB-A454-88D643A3B2B2}"/>
    <cellStyle name="_Книга3_Nsi_139 2_М( ЗАР)" xfId="1393" xr:uid="{6CA08D3F-D783-4BFC-AEFF-530FCA3C4E1B}"/>
    <cellStyle name="_Книга3_Nsi_139 2_Модель АгроГард на 5 лет" xfId="1394" xr:uid="{77C02CF6-3292-4A32-A7C4-E428BBAF00A7}"/>
    <cellStyle name="_Книга3_Nsi_139 2_раст.-факт" xfId="1395" xr:uid="{58B4A3FF-014D-40FE-AED7-ADAC8AA26628}"/>
    <cellStyle name="_Книга3_Nsi_139 2_Растениеводство форма( АГМ)" xfId="1396" xr:uid="{1713818C-039F-47B9-9B84-A6C21DD0A05B}"/>
    <cellStyle name="_Книга3_Nsi_139 2_Свод по Агрохоолдингу  (в т.ч КБН  )" xfId="1397" xr:uid="{D1EC7BDA-F8B8-4561-98FE-FA07F18C3497}"/>
    <cellStyle name="_Книга3_Nsi_139 2_Форма по растениеводству (Акционеры) ИЛЧ" xfId="1398" xr:uid="{2CB8C5D8-F4FA-45F4-8211-8A6B0CF9FA20}"/>
    <cellStyle name="_Книга3_Nsi_139 3" xfId="1399" xr:uid="{757C0BF4-C6F3-4022-812B-486EA9BFBFC9}"/>
    <cellStyle name="_Книга3_Nsi_139 3_Копия Растениеводство форма(Акционеры)" xfId="1400" xr:uid="{2F9BEEDE-12D0-435A-BDC7-BDE4708169B1}"/>
    <cellStyle name="_Книга3_Nsi_139 3_М( ЗАР)" xfId="1401" xr:uid="{FE1C8B42-50CC-4F38-BA01-DB7A966B8C16}"/>
    <cellStyle name="_Книга3_Nsi_139 3_Модель АгроГард на 5 лет" xfId="1402" xr:uid="{4BA29F74-BA56-4746-9D83-914F1D2EADBC}"/>
    <cellStyle name="_Книга3_Nsi_139 3_раст.-факт" xfId="1403" xr:uid="{BB179357-EEC0-4BD8-A03B-55884B14AF09}"/>
    <cellStyle name="_Книга3_Nsi_139 3_Растениеводство форма( АГМ)" xfId="1404" xr:uid="{EF1393FE-F1BD-439D-BEE1-5EDB2C078C27}"/>
    <cellStyle name="_Книга3_Nsi_139 3_Свод по Агрохоолдингу  (в т.ч КБН  )" xfId="1405" xr:uid="{15870267-F293-48FB-8C49-FFAC4EE811E3}"/>
    <cellStyle name="_Книга3_Nsi_139 3_Форма по растениеводству (Акционеры) ИЛЧ" xfId="1406" xr:uid="{2E5EA72A-C32F-4B0F-A415-3F28AC93A8E1}"/>
    <cellStyle name="_Книга3_Nsi_139_АГМ" xfId="1407" xr:uid="{47A44ED2-D262-4B81-8506-4D30914B7CAA}"/>
    <cellStyle name="_Книга3_Nsi_139_Копия Растениеводство форма(Акционеры)" xfId="1408" xr:uid="{828F601A-EB35-4C12-BD81-E084D0CCBC6C}"/>
    <cellStyle name="_Книга3_Nsi_139_М( ЗАР)" xfId="1409" xr:uid="{4A55E937-0192-49BD-9DE1-2B904AC81768}"/>
    <cellStyle name="_Книга3_Nsi_139_Модель АгроГард на 5 лет" xfId="1410" xr:uid="{3FDDEFF8-E970-4384-8538-800A5C689B74}"/>
    <cellStyle name="_Книга3_Nsi_139_НИК-09" xfId="1411" xr:uid="{D9E15F91-2AA7-482A-BF4A-C40F7817FF2B}"/>
    <cellStyle name="_Книга3_Nsi_139_раст.-факт" xfId="1412" xr:uid="{DC002FD0-0E66-4FC3-B67F-8665F4B892C4}"/>
    <cellStyle name="_Книга3_Nsi_139_Растениеводство форма( АГМ)" xfId="1413" xr:uid="{2528379B-9A94-4F3E-A308-234CEE80D5DD}"/>
    <cellStyle name="_Книга3_Nsi_139_Свод по Агрохоолдингу  (в т.ч КБН  )" xfId="1414" xr:uid="{66E31F5A-3B47-4821-9865-CA7A28D518E7}"/>
    <cellStyle name="_Книга3_Nsi_139_ТК-2011 АГМ+транспорт" xfId="1415" xr:uid="{9B76D447-66E2-4CAC-AD4F-4C27C298EA06}"/>
    <cellStyle name="_Книга3_Nsi_139_Форма по растениеводству (Акционеры) ИЛЧ" xfId="1416" xr:uid="{797F98D4-17FF-44C3-82FC-4368CF5CACF7}"/>
    <cellStyle name="_Книга3_Nsi_140" xfId="1417" xr:uid="{DA613DCE-AEDF-4A12-BD3E-97F543650D0F}"/>
    <cellStyle name="_Книга3_Nsi_140 1" xfId="1418" xr:uid="{2802D884-74FC-428D-B619-5A59019B3293}"/>
    <cellStyle name="_Книга3_Nsi_140 1_Копия Растениеводство форма(Акционеры)" xfId="1419" xr:uid="{E09F0890-369C-4D1D-A301-9FD986430A95}"/>
    <cellStyle name="_Книга3_Nsi_140 1_М( ЗАР)" xfId="1420" xr:uid="{2AF538BC-C4AF-474A-AFC0-4B9A1DDF156E}"/>
    <cellStyle name="_Книга3_Nsi_140 1_Модель АгроГард на 5 лет" xfId="1421" xr:uid="{6B8A7042-F65B-4CA3-A0B8-79D17A66CB68}"/>
    <cellStyle name="_Книга3_Nsi_140 1_раст.-факт" xfId="1422" xr:uid="{BCF151BF-6185-4552-B420-49C82716EAF3}"/>
    <cellStyle name="_Книга3_Nsi_140 1_Растениеводство форма( АГМ)" xfId="1423" xr:uid="{8792314B-6488-4AA9-8948-1D805227F944}"/>
    <cellStyle name="_Книга3_Nsi_140 1_Свод по Агрохоолдингу  (в т.ч КБН  )" xfId="1424" xr:uid="{D390EE5C-626B-4E4B-92C3-D016D19EE24E}"/>
    <cellStyle name="_Книга3_Nsi_140 1_Форма по растениеводству (Акционеры) ИЛЧ" xfId="1425" xr:uid="{EA8A3D5D-FA03-4EEC-84DC-2B00D31D36C5}"/>
    <cellStyle name="_Книга3_Nsi_140 2" xfId="1426" xr:uid="{9092CF8E-17A6-4F0F-9EE1-B2DC40477554}"/>
    <cellStyle name="_Книга3_Nsi_140 2_Копия Растениеводство форма(Акционеры)" xfId="1427" xr:uid="{5BD0E3B9-6464-4916-8EBB-E856CCEEE06E}"/>
    <cellStyle name="_Книга3_Nsi_140 2_М( ЗАР)" xfId="1428" xr:uid="{EE642231-E49D-400D-8B95-9E63D4032993}"/>
    <cellStyle name="_Книга3_Nsi_140 2_Модель АгроГард на 5 лет" xfId="1429" xr:uid="{9197A075-380B-4C9B-9704-B2E95EC41627}"/>
    <cellStyle name="_Книга3_Nsi_140 2_раст.-факт" xfId="1430" xr:uid="{6689DEDA-D279-4C35-A75B-423B09B72793}"/>
    <cellStyle name="_Книга3_Nsi_140 2_Растениеводство форма( АГМ)" xfId="1431" xr:uid="{4DBA2237-DE6F-4CAA-A068-601595E63864}"/>
    <cellStyle name="_Книга3_Nsi_140 2_Свод по Агрохоолдингу  (в т.ч КБН  )" xfId="1432" xr:uid="{E2E0881D-0097-48F1-A689-18D3406817DB}"/>
    <cellStyle name="_Книга3_Nsi_140 2_Форма по растениеводству (Акционеры) ИЛЧ" xfId="1433" xr:uid="{588428BC-B23D-45B4-A38B-065DAE3F5AF0}"/>
    <cellStyle name="_Книга3_Nsi_140 3" xfId="1434" xr:uid="{6FDABE0F-494C-486D-B1D4-202560E34F49}"/>
    <cellStyle name="_Книга3_Nsi_140 3_Копия Растениеводство форма(Акционеры)" xfId="1435" xr:uid="{362B2C52-575E-4E59-92B4-C51B4130A3C3}"/>
    <cellStyle name="_Книга3_Nsi_140 3_М( ЗАР)" xfId="1436" xr:uid="{FF57EB84-A745-4DA5-9039-A2CFA1ECBD71}"/>
    <cellStyle name="_Книга3_Nsi_140 3_Модель АгроГард на 5 лет" xfId="1437" xr:uid="{520E3F4A-58AC-42D8-B1F3-BED7CCFA86F0}"/>
    <cellStyle name="_Книга3_Nsi_140 3_раст.-факт" xfId="1438" xr:uid="{D6B69459-0469-4E3C-A7DC-35BEB3DD3CCC}"/>
    <cellStyle name="_Книга3_Nsi_140 3_Растениеводство форма( АГМ)" xfId="1439" xr:uid="{D61574B1-8F43-4F42-AC2B-EE707B537368}"/>
    <cellStyle name="_Книга3_Nsi_140 3_Свод по Агрохоолдингу  (в т.ч КБН  )" xfId="1440" xr:uid="{2FD3F3E2-34FF-4F3E-9FEC-738190E3C6D3}"/>
    <cellStyle name="_Книга3_Nsi_140 3_Форма по растениеводству (Акционеры) ИЛЧ" xfId="1441" xr:uid="{22E7AF02-8FC4-4732-A824-0B170E240AD7}"/>
    <cellStyle name="_Книга3_Nsi_140(Зах)" xfId="1442" xr:uid="{09526639-08A0-4D49-82B3-653E02BC775B}"/>
    <cellStyle name="_Книга3_Nsi_140(Зах) 1" xfId="1443" xr:uid="{EC8E2B7D-EE67-4AFC-A058-B5FEB9016EAE}"/>
    <cellStyle name="_Книга3_Nsi_140(Зах) 1_Копия Растениеводство форма(Акционеры)" xfId="1444" xr:uid="{46F5A6A9-4354-46D4-B76E-4E5084B9127C}"/>
    <cellStyle name="_Книга3_Nsi_140(Зах) 1_М( ЗАР)" xfId="1445" xr:uid="{04A244A2-4538-4083-99BD-AE46634C6821}"/>
    <cellStyle name="_Книга3_Nsi_140(Зах) 1_Модель АгроГард на 5 лет" xfId="1446" xr:uid="{70556638-6943-4A3D-A1FB-44593AEA1C1A}"/>
    <cellStyle name="_Книга3_Nsi_140(Зах) 1_раст.-факт" xfId="1447" xr:uid="{51D9F839-7E2D-4B45-9392-F00A9F4E0C43}"/>
    <cellStyle name="_Книга3_Nsi_140(Зах) 1_Растениеводство форма( АГМ)" xfId="1448" xr:uid="{B16F4FE6-A8B3-4D5C-AD19-CCD26538FFE9}"/>
    <cellStyle name="_Книга3_Nsi_140(Зах) 1_Свод по Агрохоолдингу  (в т.ч КБН  )" xfId="1449" xr:uid="{C63BE167-7E25-441B-A33C-6E4DF59BE03D}"/>
    <cellStyle name="_Книга3_Nsi_140(Зах) 1_Форма по растениеводству (Акционеры) ИЛЧ" xfId="1450" xr:uid="{18C30C99-8502-46FE-9046-858685951A54}"/>
    <cellStyle name="_Книга3_Nsi_140(Зах) 2" xfId="1451" xr:uid="{84383BE2-D951-4B30-865E-A15EF99E40D4}"/>
    <cellStyle name="_Книга3_Nsi_140(Зах) 2_Копия Растениеводство форма(Акционеры)" xfId="1452" xr:uid="{630A46D3-A886-43A3-99DA-84B8824E7BBE}"/>
    <cellStyle name="_Книга3_Nsi_140(Зах) 2_М( ЗАР)" xfId="1453" xr:uid="{98275BEB-6788-4201-A613-C619BEC1888C}"/>
    <cellStyle name="_Книга3_Nsi_140(Зах) 2_Модель АгроГард на 5 лет" xfId="1454" xr:uid="{BD9FEF92-A10E-44DE-9440-617BADE5B5A8}"/>
    <cellStyle name="_Книга3_Nsi_140(Зах) 2_раст.-факт" xfId="1455" xr:uid="{33A6330E-15DE-4DB6-A8EC-AFBDFF808189}"/>
    <cellStyle name="_Книга3_Nsi_140(Зах) 2_Растениеводство форма( АГМ)" xfId="1456" xr:uid="{01BC8B37-45F0-43F3-ACCA-29DEBABAF51B}"/>
    <cellStyle name="_Книга3_Nsi_140(Зах) 2_Свод по Агрохоолдингу  (в т.ч КБН  )" xfId="1457" xr:uid="{2A1DC0FC-F6A6-4061-AA50-6E453F645D6C}"/>
    <cellStyle name="_Книга3_Nsi_140(Зах) 2_Форма по растениеводству (Акционеры) ИЛЧ" xfId="1458" xr:uid="{E6944A1C-9874-4393-AF6A-7847EC79FCAD}"/>
    <cellStyle name="_Книга3_Nsi_140(Зах) 3" xfId="1459" xr:uid="{BAFD6428-D4F1-4413-8ED5-639F3810CF77}"/>
    <cellStyle name="_Книга3_Nsi_140(Зах) 3_Копия Растениеводство форма(Акционеры)" xfId="1460" xr:uid="{35AA44D9-8CE6-4A11-A9FE-275AD022C4A0}"/>
    <cellStyle name="_Книга3_Nsi_140(Зах) 3_М( ЗАР)" xfId="1461" xr:uid="{DCE28854-69A4-4666-B20D-962329BEC058}"/>
    <cellStyle name="_Книга3_Nsi_140(Зах) 3_Модель АгроГард на 5 лет" xfId="1462" xr:uid="{EF4C6B39-4167-40A7-8B6E-7EA03603E0C5}"/>
    <cellStyle name="_Книга3_Nsi_140(Зах) 3_раст.-факт" xfId="1463" xr:uid="{5540C827-AA9A-4C1D-8486-E606F345B981}"/>
    <cellStyle name="_Книга3_Nsi_140(Зах) 3_Растениеводство форма( АГМ)" xfId="1464" xr:uid="{1ECA8A5B-F187-4E19-9F86-C9B4BF6F7B9C}"/>
    <cellStyle name="_Книга3_Nsi_140(Зах) 3_Свод по Агрохоолдингу  (в т.ч КБН  )" xfId="1465" xr:uid="{90AE065D-449A-4598-9110-8C1BF3A12534}"/>
    <cellStyle name="_Книга3_Nsi_140(Зах) 3_Форма по растениеводству (Акционеры) ИЛЧ" xfId="1466" xr:uid="{85238CBE-BB3C-44E4-A85A-74EBF7BB7FED}"/>
    <cellStyle name="_Книга3_Nsi_140(Зах)_АГМ" xfId="1467" xr:uid="{795A3953-D216-435C-92DC-A6229197508A}"/>
    <cellStyle name="_Книга3_Nsi_140(Зах)_Копия Растениеводство форма(Акционеры)" xfId="1468" xr:uid="{2653C4F5-1113-4E58-B8E0-6AFBCA4C2E41}"/>
    <cellStyle name="_Книга3_Nsi_140(Зах)_М( ЗАР)" xfId="1469" xr:uid="{7BA38957-F7EF-4C04-9E25-5CB11D661D81}"/>
    <cellStyle name="_Книга3_Nsi_140(Зах)_Модель АгроГард на 5 лет" xfId="1470" xr:uid="{4AC5F5F1-F792-4AE0-A274-63A9B32772C9}"/>
    <cellStyle name="_Книга3_Nsi_140(Зах)_НИК-09" xfId="1471" xr:uid="{80614B41-9F37-40A9-B177-998502AAC81F}"/>
    <cellStyle name="_Книга3_Nsi_140(Зах)_раст.-факт" xfId="1472" xr:uid="{25E2878B-0CC1-407D-BFF1-37882AC63C1B}"/>
    <cellStyle name="_Книга3_Nsi_140(Зах)_Растениеводство форма( АГМ)" xfId="1473" xr:uid="{E33F71AC-8BA7-4AD4-92E7-4DE13978E35D}"/>
    <cellStyle name="_Книга3_Nsi_140(Зах)_Свод по Агрохоолдингу  (в т.ч КБН  )" xfId="1474" xr:uid="{9FA305B2-528D-4EC4-85A4-F3603766D67B}"/>
    <cellStyle name="_Книга3_Nsi_140(Зах)_ТК-2011 АГМ+транспорт" xfId="1475" xr:uid="{BF36626A-7239-487A-8D00-3F9B8BD9E26C}"/>
    <cellStyle name="_Книга3_Nsi_140(Зах)_Форма по растениеводству (Акционеры) ИЛЧ" xfId="1476" xr:uid="{8FEBDE1B-42BB-4E8B-851C-D6DA83994B21}"/>
    <cellStyle name="_Книга3_Nsi_140_mod" xfId="1477" xr:uid="{A543E7FF-4A4E-4814-80B0-B4D3908A9607}"/>
    <cellStyle name="_Книга3_Nsi_140_mod 1" xfId="1478" xr:uid="{813D0E7F-5EEA-4688-98E8-C932F49474C3}"/>
    <cellStyle name="_Книга3_Nsi_140_mod 1_Копия Растениеводство форма(Акционеры)" xfId="1479" xr:uid="{AD9B3F75-0C39-43FD-B2DA-CF3FD2F27BA8}"/>
    <cellStyle name="_Книга3_Nsi_140_mod 1_М( ЗАР)" xfId="1480" xr:uid="{268131F3-813E-4ECF-9B28-85D5E275E9D7}"/>
    <cellStyle name="_Книга3_Nsi_140_mod 1_Модель АгроГард на 5 лет" xfId="1481" xr:uid="{B3E786A2-B9AC-45B3-9333-6F04985204F5}"/>
    <cellStyle name="_Книга3_Nsi_140_mod 1_раст.-факт" xfId="1482" xr:uid="{D231B9F5-139B-4B57-8762-435EB681C292}"/>
    <cellStyle name="_Книга3_Nsi_140_mod 1_Растениеводство форма( АГМ)" xfId="1483" xr:uid="{45CBADEB-1CB9-43E5-98C9-D27719F3E445}"/>
    <cellStyle name="_Книга3_Nsi_140_mod 1_Свод по Агрохоолдингу  (в т.ч КБН  )" xfId="1484" xr:uid="{912DB29F-EACA-4639-8C96-D8706FDD4AE6}"/>
    <cellStyle name="_Книга3_Nsi_140_mod 1_Форма по растениеводству (Акционеры) ИЛЧ" xfId="1485" xr:uid="{0A3C026F-C79F-4230-9DFD-D5801D71E9FB}"/>
    <cellStyle name="_Книга3_Nsi_140_mod 2" xfId="1486" xr:uid="{D094C9A4-6C72-4DC6-91E5-1ABADBBE8D52}"/>
    <cellStyle name="_Книга3_Nsi_140_mod 2_Копия Растениеводство форма(Акционеры)" xfId="1487" xr:uid="{1EA812FB-3A40-4116-851C-1196955CC2C5}"/>
    <cellStyle name="_Книга3_Nsi_140_mod 2_М( ЗАР)" xfId="1488" xr:uid="{81E11188-0059-4ABA-9B33-57FD5D627A6C}"/>
    <cellStyle name="_Книга3_Nsi_140_mod 2_Модель АгроГард на 5 лет" xfId="1489" xr:uid="{C5CF4289-2B39-4BEB-8DDF-16F0987EC94E}"/>
    <cellStyle name="_Книга3_Nsi_140_mod 2_раст.-факт" xfId="1490" xr:uid="{B6623244-EA1B-4F9A-A5C0-F30ED68E0D95}"/>
    <cellStyle name="_Книга3_Nsi_140_mod 2_Растениеводство форма( АГМ)" xfId="1491" xr:uid="{199E6232-0DB3-4601-A3CE-B74DE581B1BD}"/>
    <cellStyle name="_Книга3_Nsi_140_mod 2_Свод по Агрохоолдингу  (в т.ч КБН  )" xfId="1492" xr:uid="{446C3193-EF2E-481B-BBDA-D29B3C5502D3}"/>
    <cellStyle name="_Книга3_Nsi_140_mod 2_Форма по растениеводству (Акционеры) ИЛЧ" xfId="1493" xr:uid="{DC23F522-8B56-4B69-9337-C5AABC96C3F2}"/>
    <cellStyle name="_Книга3_Nsi_140_mod 3" xfId="1494" xr:uid="{DAB77079-DF31-430E-9AB1-B8DFA2153F4A}"/>
    <cellStyle name="_Книга3_Nsi_140_mod 3_Копия Растениеводство форма(Акционеры)" xfId="1495" xr:uid="{85795DE8-8A6B-411E-96BB-0841167A98FF}"/>
    <cellStyle name="_Книга3_Nsi_140_mod 3_М( ЗАР)" xfId="1496" xr:uid="{A14BC58E-50E4-4488-85FF-3C560A0D3E38}"/>
    <cellStyle name="_Книга3_Nsi_140_mod 3_Модель АгроГард на 5 лет" xfId="1497" xr:uid="{CFFB47E4-DA82-491A-88B1-531E4C521C0B}"/>
    <cellStyle name="_Книга3_Nsi_140_mod 3_раст.-факт" xfId="1498" xr:uid="{8B77BD0B-AA4F-42F9-B183-31D6A1881A91}"/>
    <cellStyle name="_Книга3_Nsi_140_mod 3_Растениеводство форма( АГМ)" xfId="1499" xr:uid="{E85634CC-C378-4953-B871-7185907DBB23}"/>
    <cellStyle name="_Книга3_Nsi_140_mod 3_Свод по Агрохоолдингу  (в т.ч КБН  )" xfId="1500" xr:uid="{FD3D5E38-576B-4177-AC87-875D488A0AA7}"/>
    <cellStyle name="_Книга3_Nsi_140_mod 3_Форма по растениеводству (Акционеры) ИЛЧ" xfId="1501" xr:uid="{2D96522F-1F9A-4D0E-B888-18EA5489A88E}"/>
    <cellStyle name="_Книга3_Nsi_140_mod_АГМ" xfId="1502" xr:uid="{E05799A2-145D-405B-95D6-852E36B40DC0}"/>
    <cellStyle name="_Книга3_Nsi_140_mod_Копия Растениеводство форма(Акционеры)" xfId="1503" xr:uid="{2E13DA36-3C42-4521-B3AB-6EA9FCD81054}"/>
    <cellStyle name="_Книга3_Nsi_140_mod_М( ЗАР)" xfId="1504" xr:uid="{013DF4C0-05BB-406F-800C-00E90F253D42}"/>
    <cellStyle name="_Книга3_Nsi_140_mod_Модель АгроГард на 5 лет" xfId="1505" xr:uid="{87E3F65D-F218-4F86-B179-4E704924E718}"/>
    <cellStyle name="_Книга3_Nsi_140_mod_НИК-09" xfId="1506" xr:uid="{2C31DB1B-FA35-44CE-8993-3CCA3EE470B5}"/>
    <cellStyle name="_Книга3_Nsi_140_mod_раст.-факт" xfId="1507" xr:uid="{67B79064-B302-463B-AFFB-4A71F55BE42A}"/>
    <cellStyle name="_Книга3_Nsi_140_mod_Растениеводство форма( АГМ)" xfId="1508" xr:uid="{52CBBF25-EC27-4A23-BE3A-DD02D8FAA0FB}"/>
    <cellStyle name="_Книга3_Nsi_140_mod_Свод по Агрохоолдингу  (в т.ч КБН  )" xfId="1509" xr:uid="{0DD3BA67-0C49-48AB-8095-01A7FE39838A}"/>
    <cellStyle name="_Книга3_Nsi_140_mod_ТК-2011 АГМ+транспорт" xfId="1510" xr:uid="{62B97D24-B5AA-4477-BD91-12EE8573B67D}"/>
    <cellStyle name="_Книга3_Nsi_140_mod_Форма по растениеводству (Акционеры) ИЛЧ" xfId="1511" xr:uid="{42CBD376-8C43-48A6-A5B6-645FE6D9744E}"/>
    <cellStyle name="_Книга3_Nsi_140_АГМ" xfId="1512" xr:uid="{4E25413E-0BC7-46F5-9247-C9F1941E9711}"/>
    <cellStyle name="_Книга3_Nsi_140_Копия Растениеводство форма(Акционеры)" xfId="1513" xr:uid="{5B800785-0EDD-4B88-B1F8-9B9C7BC604D1}"/>
    <cellStyle name="_Книга3_Nsi_140_М( ЗАР)" xfId="1514" xr:uid="{CE3F5184-9E4E-4530-9D91-6F3FE958EF1B}"/>
    <cellStyle name="_Книга3_Nsi_140_Модель АгроГард на 5 лет" xfId="1515" xr:uid="{A50AB9EE-4CC3-47DB-A312-DEC83548A5D4}"/>
    <cellStyle name="_Книга3_Nsi_140_НИК-09" xfId="1516" xr:uid="{F612D3C0-74D5-4638-BCB5-FC1F2924E9B1}"/>
    <cellStyle name="_Книга3_Nsi_140_раст.-факт" xfId="1517" xr:uid="{250329D0-F5A4-4474-8D11-1634839F5990}"/>
    <cellStyle name="_Книга3_Nsi_140_Растениеводство форма( АГМ)" xfId="1518" xr:uid="{4360BAB2-62A8-42F8-AC40-0E142AAC5246}"/>
    <cellStyle name="_Книга3_Nsi_140_Свод по Агрохоолдингу  (в т.ч КБН  )" xfId="1519" xr:uid="{7449CFAB-0680-44F4-A6FB-298C9454255E}"/>
    <cellStyle name="_Книга3_Nsi_140_ТК-2011 АГМ+транспорт" xfId="1520" xr:uid="{4B12716C-2D39-4287-BDFD-D174D6317512}"/>
    <cellStyle name="_Книга3_Nsi_140_Форма по растениеводству (Акционеры) ИЛЧ" xfId="1521" xr:uid="{8A7ED7D5-C5DA-45EF-BAD6-14A9A2D2D13C}"/>
    <cellStyle name="_Книга3_Nsi_АГМ" xfId="1522" xr:uid="{6B3C341D-7503-4A52-BF2F-237318BB5DA1}"/>
    <cellStyle name="_Книга3_Nsi_Копия Растениеводство форма(Акционеры)" xfId="1523" xr:uid="{62A9993C-BA6D-4F4E-857B-9B5B70502F87}"/>
    <cellStyle name="_Книга3_Nsi_М( ЗАР)" xfId="1524" xr:uid="{D2654DAE-4D4B-4178-895E-EC88AD674311}"/>
    <cellStyle name="_Книга3_Nsi_Модель АгроГард на 5 лет" xfId="1525" xr:uid="{05FFE4C0-40A4-4A56-A828-604351F78A93}"/>
    <cellStyle name="_Книга3_Nsi_НИК-09" xfId="1526" xr:uid="{CD0C2081-8C81-49EC-B6D5-DF97F7F8B77F}"/>
    <cellStyle name="_Книга3_Nsi_раст.-факт" xfId="1527" xr:uid="{B1992342-6602-4EAD-B561-800BF49BC729}"/>
    <cellStyle name="_Книга3_Nsi_Растениеводство форма( АГМ)" xfId="1528" xr:uid="{35B10164-5DBB-4058-8CD9-1A5C9D08F55A}"/>
    <cellStyle name="_Книга3_Nsi_Свод по Агрохоолдингу  (в т.ч КБН  )" xfId="1529" xr:uid="{31D40A96-6994-420A-B3DA-DCC75AA8FF05}"/>
    <cellStyle name="_Книга3_Nsi_ТК-2011 АГМ+транспорт" xfId="1530" xr:uid="{5FA5E349-68CB-45FD-B116-3EE4CA95E5D1}"/>
    <cellStyle name="_Книга3_Nsi_Форма по растениеводству (Акционеры) ИЛЧ" xfId="1531" xr:uid="{ECAFCDC1-C383-45FB-8A41-C90D913D8E1D}"/>
    <cellStyle name="_Книга3_Summary" xfId="1532" xr:uid="{FE8D8B21-3B2C-44F3-B713-FE357FA86141}"/>
    <cellStyle name="_Книга3_Summary 1" xfId="1533" xr:uid="{5C0BE17D-FB89-44B9-81B4-178F5662EB9F}"/>
    <cellStyle name="_Книга3_Summary 1_Копия Растениеводство форма(Акционеры)" xfId="1534" xr:uid="{059FA0AF-9FC7-4FA3-B2B1-B883C83C4B1E}"/>
    <cellStyle name="_Книга3_Summary 1_М( ЗАР)" xfId="1535" xr:uid="{643B171C-A7EB-4180-ACBC-A590E2E78FA6}"/>
    <cellStyle name="_Книга3_Summary 1_Модель АгроГард на 5 лет" xfId="1536" xr:uid="{90A12910-6D01-495B-9548-5E6520CEADB1}"/>
    <cellStyle name="_Книга3_Summary 1_раст.-факт" xfId="1537" xr:uid="{F3B199CF-FBEA-47F0-BD87-CC5E1494CE3C}"/>
    <cellStyle name="_Книга3_Summary 1_Растениеводство форма( АГМ)" xfId="1538" xr:uid="{85EF36CF-960E-4E16-94EE-B50CC7E9AC5D}"/>
    <cellStyle name="_Книга3_Summary 1_Свод по Агрохоолдингу  (в т.ч КБН  )" xfId="1539" xr:uid="{013B2331-E66A-4039-8093-B90214C493A4}"/>
    <cellStyle name="_Книга3_Summary 1_Форма по растениеводству (Акционеры) ИЛЧ" xfId="1540" xr:uid="{99CAC92D-B7CA-4CF0-9BFE-744855BE044C}"/>
    <cellStyle name="_Книга3_Summary 2" xfId="1541" xr:uid="{C60BC710-A781-43F5-83C4-F89876B2E62C}"/>
    <cellStyle name="_Книга3_Summary 2_Копия Растениеводство форма(Акционеры)" xfId="1542" xr:uid="{AC4206A4-CCFA-47DF-BD2B-D532195531FF}"/>
    <cellStyle name="_Книга3_Summary 2_М( ЗАР)" xfId="1543" xr:uid="{BF75C82A-F8E0-4DF0-AC03-8D370CC33E00}"/>
    <cellStyle name="_Книга3_Summary 2_Модель АгроГард на 5 лет" xfId="1544" xr:uid="{C7BAE0C4-5DF1-4B9D-9494-20F13C995AD8}"/>
    <cellStyle name="_Книга3_Summary 2_раст.-факт" xfId="1545" xr:uid="{6DB57AC2-BF02-4589-8713-7A6FF0D87BFA}"/>
    <cellStyle name="_Книга3_Summary 2_Растениеводство форма( АГМ)" xfId="1546" xr:uid="{23E380A9-09F3-4076-BA4C-9441EBAC3577}"/>
    <cellStyle name="_Книга3_Summary 2_Свод по Агрохоолдингу  (в т.ч КБН  )" xfId="1547" xr:uid="{D595DEDF-F67A-4DFC-BE4D-339F2BFF3B52}"/>
    <cellStyle name="_Книга3_Summary 2_Форма по растениеводству (Акционеры) ИЛЧ" xfId="1548" xr:uid="{480D8854-7204-4423-983B-4EBBE2505FCB}"/>
    <cellStyle name="_Книга3_Summary 3" xfId="1549" xr:uid="{49E4B4DA-17B1-43BA-BFF4-309024F05176}"/>
    <cellStyle name="_Книга3_Summary 3_Копия Растениеводство форма(Акционеры)" xfId="1550" xr:uid="{7F016746-8A90-4C4D-8E08-D4E38104606F}"/>
    <cellStyle name="_Книга3_Summary 3_М( ЗАР)" xfId="1551" xr:uid="{DC3D019A-532C-4CA6-BB3B-E07CFAB3B813}"/>
    <cellStyle name="_Книга3_Summary 3_Модель АгроГард на 5 лет" xfId="1552" xr:uid="{B8E0BB19-9E30-4D46-8CC2-6CABF8A31B82}"/>
    <cellStyle name="_Книга3_Summary 3_раст.-факт" xfId="1553" xr:uid="{7D6F42EE-7A84-4F88-B6F7-3FD4E065FBAD}"/>
    <cellStyle name="_Книга3_Summary 3_Растениеводство форма( АГМ)" xfId="1554" xr:uid="{D8B70641-8069-44FD-92F2-441144B30198}"/>
    <cellStyle name="_Книга3_Summary 3_Свод по Агрохоолдингу  (в т.ч КБН  )" xfId="1555" xr:uid="{F78C802E-128F-406E-9451-6072773EA65C}"/>
    <cellStyle name="_Книга3_Summary 3_Форма по растениеводству (Акционеры) ИЛЧ" xfId="1556" xr:uid="{564E0FFA-EB09-4867-A1F9-A0912778689E}"/>
    <cellStyle name="_Книга3_Summary_АГМ" xfId="1557" xr:uid="{727755B3-AE0A-432E-BEB6-3F4F765979FF}"/>
    <cellStyle name="_Книга3_Summary_Копия Растениеводство форма(Акционеры)" xfId="1558" xr:uid="{2F98B418-E17F-4305-B855-F2FE1063A963}"/>
    <cellStyle name="_Книга3_Summary_М( ЗАР)" xfId="1559" xr:uid="{B237574F-A7D6-45A9-9EC5-0DEA5647DA9B}"/>
    <cellStyle name="_Книга3_Summary_Модель АгроГард на 5 лет" xfId="1560" xr:uid="{4C0ACEE4-B671-44A9-AEB7-2DC4031E5EFC}"/>
    <cellStyle name="_Книга3_Summary_НИК-09" xfId="1561" xr:uid="{AAF48C7A-5504-4684-9EE2-77BBA65327F8}"/>
    <cellStyle name="_Книга3_Summary_раст.-факт" xfId="1562" xr:uid="{71553A8F-2946-4C65-9F46-C4E82380D25C}"/>
    <cellStyle name="_Книга3_Summary_Растениеводство форма( АГМ)" xfId="1563" xr:uid="{E9F316DA-8158-41A9-B634-E0AE91ED21B0}"/>
    <cellStyle name="_Книга3_Summary_Свод по Агрохоолдингу  (в т.ч КБН  )" xfId="1564" xr:uid="{C6B1639D-3C1A-4F98-8D88-B6A7D39CDDDC}"/>
    <cellStyle name="_Книга3_Summary_ТК-2011 АГМ+транспорт" xfId="1565" xr:uid="{9D4F7D83-6ADD-4AE1-82D0-EA68036169A1}"/>
    <cellStyle name="_Книга3_Summary_Форма по растениеводству (Акционеры) ИЛЧ" xfId="1566" xr:uid="{B853C114-F159-4415-BDE3-EEC9C6AF47CA}"/>
    <cellStyle name="_Книга3_Tax_form_1кв_3" xfId="1567" xr:uid="{BBE2BC48-45BF-47B3-8608-063DC801B650}"/>
    <cellStyle name="_Книга3_Tax_form_1кв_3 1" xfId="1568" xr:uid="{900F9B58-F75E-4944-9B00-109B7F5F962A}"/>
    <cellStyle name="_Книга3_Tax_form_1кв_3 1_Копия Растениеводство форма(Акционеры)" xfId="1569" xr:uid="{D04B8F83-69C6-4E92-A953-A0FB900B3715}"/>
    <cellStyle name="_Книга3_Tax_form_1кв_3 1_М( ЗАР)" xfId="1570" xr:uid="{07625168-8172-485C-BEC0-1F98093DC734}"/>
    <cellStyle name="_Книга3_Tax_form_1кв_3 1_Модель АгроГард на 5 лет" xfId="1571" xr:uid="{A1B3B36A-6DEA-4976-9DD3-9D33307CFDF7}"/>
    <cellStyle name="_Книга3_Tax_form_1кв_3 1_раст.-факт" xfId="1572" xr:uid="{A7CCF9B9-4A13-4866-9F8B-15697E0A257D}"/>
    <cellStyle name="_Книга3_Tax_form_1кв_3 1_Растениеводство форма( АГМ)" xfId="1573" xr:uid="{A6AAB992-B934-4BAF-B65F-5A125C578EBB}"/>
    <cellStyle name="_Книга3_Tax_form_1кв_3 1_Свод по Агрохоолдингу  (в т.ч КБН  )" xfId="1574" xr:uid="{0D102302-6CFF-4887-B33E-71859F74076C}"/>
    <cellStyle name="_Книга3_Tax_form_1кв_3 1_Форма по растениеводству (Акционеры) ИЛЧ" xfId="1575" xr:uid="{5C9722D3-3B5C-491A-B46F-D127B41C9814}"/>
    <cellStyle name="_Книга3_Tax_form_1кв_3 2" xfId="1576" xr:uid="{4F350F3D-DCAA-4B96-A5C4-951184593B36}"/>
    <cellStyle name="_Книга3_Tax_form_1кв_3 2_Копия Растениеводство форма(Акционеры)" xfId="1577" xr:uid="{6B868A32-E510-4B95-9C50-17C149C0342B}"/>
    <cellStyle name="_Книга3_Tax_form_1кв_3 2_М( ЗАР)" xfId="1578" xr:uid="{4219BE09-72DC-4B1E-A0EE-DE76CDC37923}"/>
    <cellStyle name="_Книга3_Tax_form_1кв_3 2_Модель АгроГард на 5 лет" xfId="1579" xr:uid="{0C405A18-8065-4FFD-BCFE-819F13F041EA}"/>
    <cellStyle name="_Книга3_Tax_form_1кв_3 2_раст.-факт" xfId="1580" xr:uid="{76DE6F83-5213-467D-A67E-46600AC0BE37}"/>
    <cellStyle name="_Книга3_Tax_form_1кв_3 2_Растениеводство форма( АГМ)" xfId="1581" xr:uid="{AE2EF874-8835-4DBA-8724-0C5118214C76}"/>
    <cellStyle name="_Книга3_Tax_form_1кв_3 2_Свод по Агрохоолдингу  (в т.ч КБН  )" xfId="1582" xr:uid="{9574C621-E4D8-497A-9F58-450D55FA970E}"/>
    <cellStyle name="_Книга3_Tax_form_1кв_3 2_Форма по растениеводству (Акционеры) ИЛЧ" xfId="1583" xr:uid="{3577759D-58B2-4A8D-8812-D13F1E50E5D6}"/>
    <cellStyle name="_Книга3_Tax_form_1кв_3 3" xfId="1584" xr:uid="{107EABBB-E2D6-456F-AF57-A72456C619FB}"/>
    <cellStyle name="_Книга3_Tax_form_1кв_3 3_Копия Растениеводство форма(Акционеры)" xfId="1585" xr:uid="{187566AE-62D8-432B-B0F7-73EC6CFF7A90}"/>
    <cellStyle name="_Книга3_Tax_form_1кв_3 3_М( ЗАР)" xfId="1586" xr:uid="{63F3ECD1-8093-4B4D-BCA6-E4135A5C94B3}"/>
    <cellStyle name="_Книга3_Tax_form_1кв_3 3_Модель АгроГард на 5 лет" xfId="1587" xr:uid="{1469DD5F-3C60-482C-927A-3321B4564400}"/>
    <cellStyle name="_Книга3_Tax_form_1кв_3 3_раст.-факт" xfId="1588" xr:uid="{6685F24E-AF58-4590-A758-643D47C7507F}"/>
    <cellStyle name="_Книга3_Tax_form_1кв_3 3_Растениеводство форма( АГМ)" xfId="1589" xr:uid="{DA77850A-B44B-4728-8F0D-5748D3E046F5}"/>
    <cellStyle name="_Книга3_Tax_form_1кв_3 3_Свод по Агрохоолдингу  (в т.ч КБН  )" xfId="1590" xr:uid="{5F9009A4-B1D2-4AF4-828B-F4D9C75B54F6}"/>
    <cellStyle name="_Книга3_Tax_form_1кв_3 3_Форма по растениеводству (Акционеры) ИЛЧ" xfId="1591" xr:uid="{AAD15208-165C-4D21-9DA1-01B4EE6D987A}"/>
    <cellStyle name="_Книга3_Tax_form_1кв_3_АГМ" xfId="1592" xr:uid="{31667E3B-06A8-4D0B-9315-B298C252AB33}"/>
    <cellStyle name="_Книга3_Tax_form_1кв_3_Копия Растениеводство форма(Акционеры)" xfId="1593" xr:uid="{5C94A5A0-CBB2-4659-869C-FCF62907A411}"/>
    <cellStyle name="_Книга3_Tax_form_1кв_3_М( ЗАР)" xfId="1594" xr:uid="{0D274E68-6963-4C0B-8373-46411476160F}"/>
    <cellStyle name="_Книга3_Tax_form_1кв_3_Модель АгроГард на 5 лет" xfId="1595" xr:uid="{C31AD4A2-772B-4650-81C9-9E9573AB78E4}"/>
    <cellStyle name="_Книга3_Tax_form_1кв_3_НИК-09" xfId="1596" xr:uid="{6BDDF42A-DB97-46F5-9D19-C9CCB66584A1}"/>
    <cellStyle name="_Книга3_Tax_form_1кв_3_раст.-факт" xfId="1597" xr:uid="{02A67318-20DE-4AF1-AB0E-F34DED0A9A47}"/>
    <cellStyle name="_Книга3_Tax_form_1кв_3_Растениеводство форма( АГМ)" xfId="1598" xr:uid="{D0384A3F-F428-461B-8BDE-8979A27AC221}"/>
    <cellStyle name="_Книга3_Tax_form_1кв_3_Свод по Агрохоолдингу  (в т.ч КБН  )" xfId="1599" xr:uid="{D4E2E43B-668C-4597-B21E-B8F31C5B2EA0}"/>
    <cellStyle name="_Книга3_Tax_form_1кв_3_ТК-2011 АГМ+транспорт" xfId="1600" xr:uid="{BD3D7A21-637B-4ECB-9697-3AA7C37608D9}"/>
    <cellStyle name="_Книга3_Tax_form_1кв_3_Форма по растениеводству (Акционеры) ИЛЧ" xfId="1601" xr:uid="{CE7454D3-6667-4ADB-8A6D-FE43C831030C}"/>
    <cellStyle name="_Книга3_АГМ" xfId="1602" xr:uid="{7AB10F76-1D92-40CC-A8BD-0BFB713C8BA6}"/>
    <cellStyle name="_Книга3_БКЭ" xfId="1603" xr:uid="{0EA92AB6-23E1-4A86-BE55-2348A4B54855}"/>
    <cellStyle name="_Книга3_БКЭ 1" xfId="1604" xr:uid="{47AEB268-D865-46D4-95DB-1164C5639AD8}"/>
    <cellStyle name="_Книга3_БКЭ 1_Копия Растениеводство форма(Акционеры)" xfId="1605" xr:uid="{5F272E4E-1772-4C1A-A210-B74A05804CE5}"/>
    <cellStyle name="_Книга3_БКЭ 1_М( ЗАР)" xfId="1606" xr:uid="{BCC21772-CD47-46AE-A0D5-29DDA55CC03D}"/>
    <cellStyle name="_Книга3_БКЭ 1_Модель АгроГард на 5 лет" xfId="1607" xr:uid="{A6346679-4F9D-4B4D-8AE4-72F11B8C9D73}"/>
    <cellStyle name="_Книга3_БКЭ 1_раст.-факт" xfId="1608" xr:uid="{D33870BE-BC73-451F-9880-FAD10993C4C0}"/>
    <cellStyle name="_Книга3_БКЭ 1_Растениеводство форма( АГМ)" xfId="1609" xr:uid="{43CFAF69-4C82-4DA3-9FF2-9F43E0206677}"/>
    <cellStyle name="_Книга3_БКЭ 1_Свод по Агрохоолдингу  (в т.ч КБН  )" xfId="1610" xr:uid="{34635095-F0A6-4B59-BAA6-116CE51DD188}"/>
    <cellStyle name="_Книга3_БКЭ 1_Форма по растениеводству (Акционеры) ИЛЧ" xfId="1611" xr:uid="{55D8C454-7607-4480-88B8-90D4920082D4}"/>
    <cellStyle name="_Книга3_БКЭ 2" xfId="1612" xr:uid="{5F86BA8E-B790-49F7-BB05-819E8D077409}"/>
    <cellStyle name="_Книга3_БКЭ 2_Копия Растениеводство форма(Акционеры)" xfId="1613" xr:uid="{9E3D31CB-167C-4591-A36B-10F74044073E}"/>
    <cellStyle name="_Книга3_БКЭ 2_М( ЗАР)" xfId="1614" xr:uid="{2493A00A-4362-43D9-974A-30CCD23AB4C1}"/>
    <cellStyle name="_Книга3_БКЭ 2_Модель АгроГард на 5 лет" xfId="1615" xr:uid="{CD37CFEF-0BEA-4811-AF19-DD1AC7E50085}"/>
    <cellStyle name="_Книга3_БКЭ 2_раст.-факт" xfId="1616" xr:uid="{E8686CF2-FBA3-4AAA-BB7E-969C3C51BA46}"/>
    <cellStyle name="_Книга3_БКЭ 2_Растениеводство форма( АГМ)" xfId="1617" xr:uid="{FD4E82BF-F685-4D95-98DA-6785B0B9737E}"/>
    <cellStyle name="_Книга3_БКЭ 2_Свод по Агрохоолдингу  (в т.ч КБН  )" xfId="1618" xr:uid="{12260716-26EB-48D8-BA60-70CD0D47D0CB}"/>
    <cellStyle name="_Книга3_БКЭ 2_Форма по растениеводству (Акционеры) ИЛЧ" xfId="1619" xr:uid="{F2C54F20-96BC-498A-B0D4-B514027F5D65}"/>
    <cellStyle name="_Книга3_БКЭ 3" xfId="1620" xr:uid="{259AE27F-BB11-4BD9-A44E-FD785559CE7A}"/>
    <cellStyle name="_Книга3_БКЭ 3_Копия Растениеводство форма(Акционеры)" xfId="1621" xr:uid="{DE037DB5-3138-4186-8343-4239D064FF9F}"/>
    <cellStyle name="_Книга3_БКЭ 3_М( ЗАР)" xfId="1622" xr:uid="{4109553F-C51A-42C3-9873-1C15CA6C0777}"/>
    <cellStyle name="_Книга3_БКЭ 3_Модель АгроГард на 5 лет" xfId="1623" xr:uid="{6705CBF0-6EE8-40E7-9CB9-2BABEE54C899}"/>
    <cellStyle name="_Книга3_БКЭ 3_раст.-факт" xfId="1624" xr:uid="{CAF7CDE7-2D8D-46AF-9BF9-BB918B331A67}"/>
    <cellStyle name="_Книга3_БКЭ 3_Растениеводство форма( АГМ)" xfId="1625" xr:uid="{9CC01724-511E-406A-AC0D-3A4732780B0F}"/>
    <cellStyle name="_Книга3_БКЭ 3_Свод по Агрохоолдингу  (в т.ч КБН  )" xfId="1626" xr:uid="{61D50567-2510-4A64-8635-07081F4F5623}"/>
    <cellStyle name="_Книга3_БКЭ 3_Форма по растениеводству (Акционеры) ИЛЧ" xfId="1627" xr:uid="{A05B5EF0-99F4-4F52-830F-78DBEAEB5758}"/>
    <cellStyle name="_Книга3_БКЭ_АГМ" xfId="1628" xr:uid="{CCB18296-403C-4055-A7A9-54191B5630AD}"/>
    <cellStyle name="_Книга3_БКЭ_Копия Растениеводство форма(Акционеры)" xfId="1629" xr:uid="{BAA1CD12-67EA-4D93-AE3C-8A8401F0A3D1}"/>
    <cellStyle name="_Книга3_БКЭ_М( ЗАР)" xfId="1630" xr:uid="{F41AE81C-4BF0-4927-B581-02407614EA6D}"/>
    <cellStyle name="_Книга3_БКЭ_Модель АгроГард на 5 лет" xfId="1631" xr:uid="{119A38DE-C4B7-4423-823E-87C8065F2106}"/>
    <cellStyle name="_Книга3_БКЭ_НИК-09" xfId="1632" xr:uid="{3A9FF5DD-0115-482F-80DC-66A7EB360300}"/>
    <cellStyle name="_Книга3_БКЭ_раст.-факт" xfId="1633" xr:uid="{68DD5BBD-9E35-4914-AFD7-1214E41BE914}"/>
    <cellStyle name="_Книга3_БКЭ_Растениеводство форма( АГМ)" xfId="1634" xr:uid="{CF7B6F37-3BD4-4D38-B9C2-FB004D291070}"/>
    <cellStyle name="_Книга3_БКЭ_Свод по Агрохоолдингу  (в т.ч КБН  )" xfId="1635" xr:uid="{D7484B97-EFEF-4E81-877A-54B3907096D9}"/>
    <cellStyle name="_Книга3_БКЭ_ТК-2011 АГМ+транспорт" xfId="1636" xr:uid="{62FE8DBD-AC05-4D5C-B290-BD69FE0D2849}"/>
    <cellStyle name="_Книга3_БКЭ_Форма по растениеводству (Акционеры) ИЛЧ" xfId="1637" xr:uid="{CB541FAD-9003-48FB-B575-EE0275BF00F4}"/>
    <cellStyle name="_Книга3_Копия Растениеводство форма(Акционеры)" xfId="1638" xr:uid="{F2E3E9EC-FB3C-4856-AC8B-68B368A50592}"/>
    <cellStyle name="_Книга3_М( ЗАР)" xfId="1639" xr:uid="{0932416C-26DD-4310-AA9B-A2612593D5B8}"/>
    <cellStyle name="_Книга3_Модель АгроГард на 5 лет" xfId="1640" xr:uid="{CD7F16D4-76D1-447F-8C3A-DB0ED7766A94}"/>
    <cellStyle name="_Книга3_НИК-09" xfId="1641" xr:uid="{C1EC4DC2-2204-444C-8B52-453D66C69312}"/>
    <cellStyle name="_Книга3_раст.-факт" xfId="1642" xr:uid="{6A21F5C0-3A52-4595-A0F3-6ABEA4ECDD72}"/>
    <cellStyle name="_Книга3_Растениеводство форма( АГМ)" xfId="1643" xr:uid="{8AC1ABD8-FD91-4423-AB2F-D1CFD56ED751}"/>
    <cellStyle name="_Книга3_Свод по Агрохоолдингу  (в т.ч КБН  )" xfId="1644" xr:uid="{3E1FE288-9273-4DEF-971C-F7F6BD70E020}"/>
    <cellStyle name="_Книга3_ТК-2011 АГМ+транспорт" xfId="1645" xr:uid="{3B8FB47A-70DF-40CA-A302-3D464E7AC4FD}"/>
    <cellStyle name="_Книга3_Форма по растениеводству (Акционеры) ИЛЧ" xfId="1646" xr:uid="{3E3CB7DB-4385-4C63-83CE-ABD350678D8F}"/>
    <cellStyle name="_Книга7" xfId="1647" xr:uid="{7EEA0EE7-8D9D-4300-B26E-86369F7B8431}"/>
    <cellStyle name="_Книга7 1" xfId="1648" xr:uid="{7A4F749E-09CE-4A68-9A3C-341B891F539B}"/>
    <cellStyle name="_Книга7 1_Копия Растениеводство форма(Акционеры)" xfId="1649" xr:uid="{807B4859-2659-4B44-88E3-9CEE08542560}"/>
    <cellStyle name="_Книга7 1_М( ЗАР)" xfId="1650" xr:uid="{613D5B15-2410-4B27-B620-D29A48A5B4F6}"/>
    <cellStyle name="_Книга7 1_Модель АгроГард на 5 лет" xfId="1651" xr:uid="{E9C519FD-A615-46FD-AC52-C5CD3F808100}"/>
    <cellStyle name="_Книга7 1_раст.-факт" xfId="1652" xr:uid="{7D59E332-1D58-473B-BD32-E0EF10838CEA}"/>
    <cellStyle name="_Книга7 1_Растениеводство форма( АГМ)" xfId="1653" xr:uid="{3EEF5323-8972-43E0-A537-208FCB72A176}"/>
    <cellStyle name="_Книга7 1_Свод по Агрохоолдингу  (в т.ч КБН  )" xfId="1654" xr:uid="{B17D63F2-DD81-424A-A0FF-067065813451}"/>
    <cellStyle name="_Книга7 1_Форма по растениеводству (Акционеры) ИЛЧ" xfId="1655" xr:uid="{F80751D1-112B-44CE-9E03-70395C7A1A0C}"/>
    <cellStyle name="_Книга7 2" xfId="1656" xr:uid="{1A1BA67C-F4DA-4DB2-89BC-BFC5523882D7}"/>
    <cellStyle name="_Книга7 2_Копия Растениеводство форма(Акционеры)" xfId="1657" xr:uid="{C4E9E8F9-594D-4D9C-A999-8D3AF5F0DE50}"/>
    <cellStyle name="_Книга7 2_М( ЗАР)" xfId="1658" xr:uid="{63A22928-AF7A-4C49-AED2-8D267EFD2DC5}"/>
    <cellStyle name="_Книга7 2_Модель АгроГард на 5 лет" xfId="1659" xr:uid="{41FB60DC-0963-45C5-8FDE-441A30088157}"/>
    <cellStyle name="_Книга7 2_раст.-факт" xfId="1660" xr:uid="{7A1245A8-BD2D-4206-A9C9-1C2625BD5EE3}"/>
    <cellStyle name="_Книга7 2_Растениеводство форма( АГМ)" xfId="1661" xr:uid="{FA72D534-498D-4352-9847-26AD25B69F4D}"/>
    <cellStyle name="_Книга7 2_Свод по Агрохоолдингу  (в т.ч КБН  )" xfId="1662" xr:uid="{F61A124A-A65B-444B-A3D6-AE667273183A}"/>
    <cellStyle name="_Книга7 2_Форма по растениеводству (Акционеры) ИЛЧ" xfId="1663" xr:uid="{8183C550-03FA-4BB8-A893-6374C1485EF4}"/>
    <cellStyle name="_Книга7 3" xfId="1664" xr:uid="{303AC3D2-0813-4015-AC1B-326B44168655}"/>
    <cellStyle name="_Книга7 3_Копия Растениеводство форма(Акционеры)" xfId="1665" xr:uid="{8428527A-E3F5-4586-9603-FB9BB96B052A}"/>
    <cellStyle name="_Книга7 3_М( ЗАР)" xfId="1666" xr:uid="{AA983F7C-2E49-481A-AB41-EA331D1B5CFF}"/>
    <cellStyle name="_Книга7 3_Модель АгроГард на 5 лет" xfId="1667" xr:uid="{D02F384D-4A72-4356-AEE8-16097C644B3D}"/>
    <cellStyle name="_Книга7 3_раст.-факт" xfId="1668" xr:uid="{787FB378-6A31-4328-BCF9-3639F3E71F4F}"/>
    <cellStyle name="_Книга7 3_Растениеводство форма( АГМ)" xfId="1669" xr:uid="{0D376B77-6ACE-4C3E-9D7D-1A9E620C520E}"/>
    <cellStyle name="_Книга7 3_Свод по Агрохоолдингу  (в т.ч КБН  )" xfId="1670" xr:uid="{F176BE34-D839-4698-969B-7DBCA7F36EE5}"/>
    <cellStyle name="_Книга7 3_Форма по растениеводству (Акционеры) ИЛЧ" xfId="1671" xr:uid="{37E3C954-4C03-4044-B556-8DC3C8A47877}"/>
    <cellStyle name="_Книга7_New Form10_2" xfId="1672" xr:uid="{1B4E0C01-98FA-4407-9DB4-DDE0DBDEDE57}"/>
    <cellStyle name="_Книга7_New Form10_2 1" xfId="1673" xr:uid="{687CCC53-23D0-4FF0-9934-8C2644F0B305}"/>
    <cellStyle name="_Книга7_New Form10_2 1_Копия Растениеводство форма(Акционеры)" xfId="1674" xr:uid="{37135F5F-E528-418B-976D-99BC30838EB7}"/>
    <cellStyle name="_Книга7_New Form10_2 1_М( ЗАР)" xfId="1675" xr:uid="{90AB6410-5B92-41C3-A3BB-B3187881A283}"/>
    <cellStyle name="_Книга7_New Form10_2 1_Модель АгроГард на 5 лет" xfId="1676" xr:uid="{629F2A3E-7AD4-4D36-A581-A82F6BB5152F}"/>
    <cellStyle name="_Книга7_New Form10_2 1_раст.-факт" xfId="1677" xr:uid="{00184E7D-8D79-4B50-9FD7-0E8C4BED3C9F}"/>
    <cellStyle name="_Книга7_New Form10_2 1_Растениеводство форма( АГМ)" xfId="1678" xr:uid="{B141B60D-A553-4864-A410-38C1328A58F7}"/>
    <cellStyle name="_Книга7_New Form10_2 1_Свод по Агрохоолдингу  (в т.ч КБН  )" xfId="1679" xr:uid="{8F181D2F-300E-474C-A110-4996C530D375}"/>
    <cellStyle name="_Книга7_New Form10_2 1_Форма по растениеводству (Акционеры) ИЛЧ" xfId="1680" xr:uid="{3B329DE9-5329-49D5-9951-32CA8DD7CE36}"/>
    <cellStyle name="_Книга7_New Form10_2 2" xfId="1681" xr:uid="{A712CCBD-F90C-421F-94AD-EEDD6B5D7CB3}"/>
    <cellStyle name="_Книга7_New Form10_2 2_Копия Растениеводство форма(Акционеры)" xfId="1682" xr:uid="{D937042B-F22F-4F7F-9A72-3A796B271425}"/>
    <cellStyle name="_Книга7_New Form10_2 2_М( ЗАР)" xfId="1683" xr:uid="{C87171E4-D275-4C58-A7D1-A543E3DD421F}"/>
    <cellStyle name="_Книга7_New Form10_2 2_Модель АгроГард на 5 лет" xfId="1684" xr:uid="{87A0BD36-86F1-47D4-8701-93C734BB6150}"/>
    <cellStyle name="_Книга7_New Form10_2 2_раст.-факт" xfId="1685" xr:uid="{9F2437CB-C913-456C-B2D3-B768CA267764}"/>
    <cellStyle name="_Книга7_New Form10_2 2_Растениеводство форма( АГМ)" xfId="1686" xr:uid="{B7B56219-1473-40D1-BCFE-1B62AC5DBEAE}"/>
    <cellStyle name="_Книга7_New Form10_2 2_Свод по Агрохоолдингу  (в т.ч КБН  )" xfId="1687" xr:uid="{01FF99C9-8A00-4FA7-A4E6-6DB673D96D8C}"/>
    <cellStyle name="_Книга7_New Form10_2 2_Форма по растениеводству (Акционеры) ИЛЧ" xfId="1688" xr:uid="{48A7C71D-FC85-4176-B8C0-8790907D656A}"/>
    <cellStyle name="_Книга7_New Form10_2 3" xfId="1689" xr:uid="{9CF6EC13-7B8D-4C69-9420-4AF818D8603B}"/>
    <cellStyle name="_Книга7_New Form10_2 3_Копия Растениеводство форма(Акционеры)" xfId="1690" xr:uid="{83DBA15A-E9B9-4FBF-B2E7-6B931EED16FE}"/>
    <cellStyle name="_Книга7_New Form10_2 3_М( ЗАР)" xfId="1691" xr:uid="{29E0F894-AC8E-4527-A4B2-FD36B4CCE08F}"/>
    <cellStyle name="_Книга7_New Form10_2 3_Модель АгроГард на 5 лет" xfId="1692" xr:uid="{64B87D8A-4C6B-4199-BF91-EDF834B9FDF4}"/>
    <cellStyle name="_Книга7_New Form10_2 3_раст.-факт" xfId="1693" xr:uid="{D4129073-54C6-4915-AF3D-106C95B5706C}"/>
    <cellStyle name="_Книга7_New Form10_2 3_Растениеводство форма( АГМ)" xfId="1694" xr:uid="{2734601E-0248-4E84-8EBA-0E37D88BF8EF}"/>
    <cellStyle name="_Книга7_New Form10_2 3_Свод по Агрохоолдингу  (в т.ч КБН  )" xfId="1695" xr:uid="{E4B29EFD-843D-40A0-95FA-CF0062F7A507}"/>
    <cellStyle name="_Книга7_New Form10_2 3_Форма по растениеводству (Акционеры) ИЛЧ" xfId="1696" xr:uid="{A65A4614-15C6-4A61-8B1E-FE9DDA32A789}"/>
    <cellStyle name="_Книга7_New Form10_2_АГМ" xfId="1697" xr:uid="{AF20E25D-F91C-4168-AE34-9EF64B9F6B13}"/>
    <cellStyle name="_Книга7_New Form10_2_Копия Растениеводство форма(Акционеры)" xfId="1698" xr:uid="{D8BA0F5C-91E1-4957-BBBA-FD51750277A4}"/>
    <cellStyle name="_Книга7_New Form10_2_М( ЗАР)" xfId="1699" xr:uid="{25D8AA6B-0F4F-46ED-B183-0C8C15286C89}"/>
    <cellStyle name="_Книга7_New Form10_2_Модель АгроГард на 5 лет" xfId="1700" xr:uid="{BE8161CD-FDB2-49EC-BEAA-9F480978D304}"/>
    <cellStyle name="_Книга7_New Form10_2_НИК-09" xfId="1701" xr:uid="{BD7BE81D-E6A0-41CE-AEDE-6E9EB6BE907A}"/>
    <cellStyle name="_Книга7_New Form10_2_раст.-факт" xfId="1702" xr:uid="{738A4B82-EFBC-4FA2-9D8A-6CD8FB85A963}"/>
    <cellStyle name="_Книга7_New Form10_2_Растениеводство форма( АГМ)" xfId="1703" xr:uid="{CBEFF9E4-8A91-4633-8050-1EA015F3B44F}"/>
    <cellStyle name="_Книга7_New Form10_2_Свод по Агрохоолдингу  (в т.ч КБН  )" xfId="1704" xr:uid="{420F1D79-8CE0-40C3-A239-D6270C3CA595}"/>
    <cellStyle name="_Книга7_New Form10_2_ТК-2011 АГМ+транспорт" xfId="1705" xr:uid="{3BAE26BC-026D-43CB-949D-2401788413C5}"/>
    <cellStyle name="_Книга7_New Form10_2_Форма по растениеводству (Акционеры) ИЛЧ" xfId="1706" xr:uid="{CD3D7BAB-D001-4AE7-AA10-26A9AB6A6EA9}"/>
    <cellStyle name="_Книга7_Nsi" xfId="1707" xr:uid="{95B901EF-56A8-4664-9D86-110D46ECA1C3}"/>
    <cellStyle name="_Книга7_Nsi 1" xfId="1708" xr:uid="{E59DA7D3-0D95-4610-8AFC-2C09A8172768}"/>
    <cellStyle name="_Книга7_Nsi 1_Копия Растениеводство форма(Акционеры)" xfId="1709" xr:uid="{AE71ACBB-1B0A-43C2-AF0B-31CA5F1A11EA}"/>
    <cellStyle name="_Книга7_Nsi 1_М( ЗАР)" xfId="1710" xr:uid="{95337129-CD73-4AD3-A99D-37638A62F0B4}"/>
    <cellStyle name="_Книга7_Nsi 1_Модель АгроГард на 5 лет" xfId="1711" xr:uid="{2CD4D43B-FFBD-46F2-88BA-3F1B13EC0DC1}"/>
    <cellStyle name="_Книга7_Nsi 1_раст.-факт" xfId="1712" xr:uid="{D0E8A4A7-FC48-4682-A062-3837490160D8}"/>
    <cellStyle name="_Книга7_Nsi 1_Растениеводство форма( АГМ)" xfId="1713" xr:uid="{6286FFC8-7BE0-480A-A65F-39C8AB412BC3}"/>
    <cellStyle name="_Книга7_Nsi 1_Свод по Агрохоолдингу  (в т.ч КБН  )" xfId="1714" xr:uid="{BE6FFB01-F11A-4611-AF31-C70E52FB29A8}"/>
    <cellStyle name="_Книга7_Nsi 1_Форма по растениеводству (Акционеры) ИЛЧ" xfId="1715" xr:uid="{39779293-7923-4CE2-A119-42C3BEC444E8}"/>
    <cellStyle name="_Книга7_Nsi 2" xfId="1716" xr:uid="{1E6A0FCA-72B3-46DC-9043-31BA21CA9329}"/>
    <cellStyle name="_Книга7_Nsi 2_Копия Растениеводство форма(Акционеры)" xfId="1717" xr:uid="{A60C442C-C2D3-44C8-8BFE-A3E00662681D}"/>
    <cellStyle name="_Книга7_Nsi 2_М( ЗАР)" xfId="1718" xr:uid="{F7900340-A644-4696-ABE2-E277DE9F26A4}"/>
    <cellStyle name="_Книга7_Nsi 2_Модель АгроГард на 5 лет" xfId="1719" xr:uid="{ABC396E9-8035-4C83-9F61-BCC9D89CA58E}"/>
    <cellStyle name="_Книга7_Nsi 2_раст.-факт" xfId="1720" xr:uid="{177613E7-C496-4CAE-A8A1-B861BF49973F}"/>
    <cellStyle name="_Книга7_Nsi 2_Растениеводство форма( АГМ)" xfId="1721" xr:uid="{E479270E-C150-4C03-87E3-51958DB54986}"/>
    <cellStyle name="_Книга7_Nsi 2_Свод по Агрохоолдингу  (в т.ч КБН  )" xfId="1722" xr:uid="{32B5C090-36E5-487E-8ED4-DB6FB4DC7D34}"/>
    <cellStyle name="_Книга7_Nsi 2_Форма по растениеводству (Акционеры) ИЛЧ" xfId="1723" xr:uid="{0F81381A-22A5-40DF-B60F-42DCD704827D}"/>
    <cellStyle name="_Книга7_Nsi 3" xfId="1724" xr:uid="{7CDDAEBF-F6F3-4FDF-B765-141E8CBBA06C}"/>
    <cellStyle name="_Книга7_Nsi 3_Копия Растениеводство форма(Акционеры)" xfId="1725" xr:uid="{E10ADA87-2166-4451-9F28-79FB400BBF0E}"/>
    <cellStyle name="_Книга7_Nsi 3_М( ЗАР)" xfId="1726" xr:uid="{EEDFBAF1-E1C8-4596-AD10-A67F63CD7AE4}"/>
    <cellStyle name="_Книга7_Nsi 3_Модель АгроГард на 5 лет" xfId="1727" xr:uid="{8B0083B0-E1A8-4F55-9FA1-E969FD804579}"/>
    <cellStyle name="_Книга7_Nsi 3_раст.-факт" xfId="1728" xr:uid="{F781AD36-53F1-4B81-8B01-11D805ED002C}"/>
    <cellStyle name="_Книга7_Nsi 3_Растениеводство форма( АГМ)" xfId="1729" xr:uid="{62E74B11-584E-4E44-AB4A-34DC0019767E}"/>
    <cellStyle name="_Книга7_Nsi 3_Свод по Агрохоолдингу  (в т.ч КБН  )" xfId="1730" xr:uid="{1D3277BB-3CC8-41DC-AEC6-7080EFD9A77E}"/>
    <cellStyle name="_Книга7_Nsi 3_Форма по растениеводству (Акционеры) ИЛЧ" xfId="1731" xr:uid="{45754FCD-E83E-489A-85BB-0AE81F83E91B}"/>
    <cellStyle name="_Книга7_Nsi_1" xfId="1732" xr:uid="{B9A954E4-2CD6-4D29-87ED-8F05DD7DF400}"/>
    <cellStyle name="_Книга7_Nsi_1 1" xfId="1733" xr:uid="{C1430224-7E66-4BDA-ADE2-C1766E2C4A5D}"/>
    <cellStyle name="_Книга7_Nsi_1 1_Копия Растениеводство форма(Акционеры)" xfId="1734" xr:uid="{0985A05A-3EA2-495A-8F7F-9F770D3BCB9A}"/>
    <cellStyle name="_Книга7_Nsi_1 1_М( ЗАР)" xfId="1735" xr:uid="{FBC5F161-6CB4-488F-95BD-0853ECBE7195}"/>
    <cellStyle name="_Книга7_Nsi_1 1_Модель АгроГард на 5 лет" xfId="1736" xr:uid="{3227DD95-CCFE-47CC-A939-AAEDCAD88BBE}"/>
    <cellStyle name="_Книга7_Nsi_1 1_раст.-факт" xfId="1737" xr:uid="{AC693E0B-8D5D-409F-8926-6A79B6AD4C57}"/>
    <cellStyle name="_Книга7_Nsi_1 1_Растениеводство форма( АГМ)" xfId="1738" xr:uid="{176C6BF2-8E14-4442-B234-C92588E96741}"/>
    <cellStyle name="_Книга7_Nsi_1 1_Свод по Агрохоолдингу  (в т.ч КБН  )" xfId="1739" xr:uid="{467F0D0B-5C0E-443E-885B-4AD10A1210FA}"/>
    <cellStyle name="_Книга7_Nsi_1 1_Форма по растениеводству (Акционеры) ИЛЧ" xfId="1740" xr:uid="{00EF137F-EC31-49B2-A67E-492B69E31358}"/>
    <cellStyle name="_Книга7_Nsi_1 2" xfId="1741" xr:uid="{2F07EF40-9556-42DB-B105-42018D4AF1A3}"/>
    <cellStyle name="_Книга7_Nsi_1 2_Копия Растениеводство форма(Акционеры)" xfId="1742" xr:uid="{DB4437AB-ADDD-47D9-ABA3-D0A0D1D31B35}"/>
    <cellStyle name="_Книга7_Nsi_1 2_М( ЗАР)" xfId="1743" xr:uid="{E1F1EDC3-6EBC-489E-9453-E76FEB25703B}"/>
    <cellStyle name="_Книга7_Nsi_1 2_Модель АгроГард на 5 лет" xfId="1744" xr:uid="{0B56978C-B80A-4F48-A366-AFB1AAFEB183}"/>
    <cellStyle name="_Книга7_Nsi_1 2_раст.-факт" xfId="1745" xr:uid="{558C516E-6E4B-4030-990F-E07930E0E138}"/>
    <cellStyle name="_Книга7_Nsi_1 2_Растениеводство форма( АГМ)" xfId="1746" xr:uid="{3FD03930-1BCC-4EBF-9F5C-B1091A9B40FD}"/>
    <cellStyle name="_Книга7_Nsi_1 2_Свод по Агрохоолдингу  (в т.ч КБН  )" xfId="1747" xr:uid="{97B2837D-393D-4984-A9EF-9BF1A01A1174}"/>
    <cellStyle name="_Книга7_Nsi_1 2_Форма по растениеводству (Акционеры) ИЛЧ" xfId="1748" xr:uid="{DFC78FA0-0C08-4C2C-8103-5899D6A15010}"/>
    <cellStyle name="_Книга7_Nsi_1 3" xfId="1749" xr:uid="{8AC28877-60B2-4A07-8C8C-90BC0E7DF9FC}"/>
    <cellStyle name="_Книга7_Nsi_1 3_Копия Растениеводство форма(Акционеры)" xfId="1750" xr:uid="{AEE51A17-E264-4E7F-813F-B6DE2F4F31AB}"/>
    <cellStyle name="_Книга7_Nsi_1 3_М( ЗАР)" xfId="1751" xr:uid="{737B01B1-C630-4E89-914E-AC58896FFA95}"/>
    <cellStyle name="_Книга7_Nsi_1 3_Модель АгроГард на 5 лет" xfId="1752" xr:uid="{A75FFEA1-4D12-435F-B14C-D74BF119E3C6}"/>
    <cellStyle name="_Книга7_Nsi_1 3_раст.-факт" xfId="1753" xr:uid="{0CF7D1AA-C4DC-4859-A711-FF6EE997453A}"/>
    <cellStyle name="_Книга7_Nsi_1 3_Растениеводство форма( АГМ)" xfId="1754" xr:uid="{C4D6B8C8-A586-4CC3-880E-7F7370A49206}"/>
    <cellStyle name="_Книга7_Nsi_1 3_Свод по Агрохоолдингу  (в т.ч КБН  )" xfId="1755" xr:uid="{9C556512-7144-46DD-8805-6670D4C573A4}"/>
    <cellStyle name="_Книга7_Nsi_1 3_Форма по растениеводству (Акционеры) ИЛЧ" xfId="1756" xr:uid="{1355960D-DA9E-40F6-A3A9-E68A44AB488A}"/>
    <cellStyle name="_Книга7_Nsi_1_АГМ" xfId="1757" xr:uid="{DB205A76-4CED-49AD-B2D3-6D93480F7C33}"/>
    <cellStyle name="_Книга7_Nsi_1_Копия Растениеводство форма(Акционеры)" xfId="1758" xr:uid="{858AFE22-0ED1-4E8B-96A5-1D1633E7EC50}"/>
    <cellStyle name="_Книга7_Nsi_1_М( ЗАР)" xfId="1759" xr:uid="{CE623EC8-E103-4BE2-9F9A-095A2843CA49}"/>
    <cellStyle name="_Книга7_Nsi_1_Модель АгроГард на 5 лет" xfId="1760" xr:uid="{BC558EB4-6238-4CAC-8758-2C6204B10646}"/>
    <cellStyle name="_Книга7_Nsi_1_НИК-09" xfId="1761" xr:uid="{F8FDF0C7-090B-4600-BD9F-FE7BB3109534}"/>
    <cellStyle name="_Книга7_Nsi_1_раст.-факт" xfId="1762" xr:uid="{B825918D-4577-444F-8AFA-654802232457}"/>
    <cellStyle name="_Книга7_Nsi_1_Растениеводство форма( АГМ)" xfId="1763" xr:uid="{5FA63063-C0B1-4D61-AC6D-A421FCEF3F25}"/>
    <cellStyle name="_Книга7_Nsi_1_Свод по Агрохоолдингу  (в т.ч КБН  )" xfId="1764" xr:uid="{2C1E1FAF-6251-4FCC-90A6-DDEA8E2947C9}"/>
    <cellStyle name="_Книга7_Nsi_1_ТК-2011 АГМ+транспорт" xfId="1765" xr:uid="{7A86F112-624F-4C07-A3B9-7A1099F71EEA}"/>
    <cellStyle name="_Книга7_Nsi_1_Форма по растениеводству (Акционеры) ИЛЧ" xfId="1766" xr:uid="{B620D9CB-A534-4E5E-B510-59ACCB506066}"/>
    <cellStyle name="_Книга7_Nsi_139" xfId="1767" xr:uid="{072C6403-953E-4D5B-B1AC-2E94746AC6B7}"/>
    <cellStyle name="_Книга7_Nsi_139 1" xfId="1768" xr:uid="{07E03A32-78E5-4447-A270-B2B4295B7E24}"/>
    <cellStyle name="_Книга7_Nsi_139 1_Копия Растениеводство форма(Акционеры)" xfId="1769" xr:uid="{B4F64158-0230-4CAA-BF22-43674789CC2C}"/>
    <cellStyle name="_Книга7_Nsi_139 1_М( ЗАР)" xfId="1770" xr:uid="{AC6926E8-D52C-47B3-944B-56B4A8275413}"/>
    <cellStyle name="_Книга7_Nsi_139 1_Модель АгроГард на 5 лет" xfId="1771" xr:uid="{8B9E61DB-6C63-4B31-94D0-EABD7B5F9B2D}"/>
    <cellStyle name="_Книга7_Nsi_139 1_раст.-факт" xfId="1772" xr:uid="{B9ABA363-5F2C-451C-8C2A-622F164AAD33}"/>
    <cellStyle name="_Книга7_Nsi_139 1_Растениеводство форма( АГМ)" xfId="1773" xr:uid="{2B4AA2AD-552C-4724-9D91-E81E04741F56}"/>
    <cellStyle name="_Книга7_Nsi_139 1_Свод по Агрохоолдингу  (в т.ч КБН  )" xfId="1774" xr:uid="{2E28EDE4-DE97-43C1-899E-4942720FD9AF}"/>
    <cellStyle name="_Книга7_Nsi_139 1_Форма по растениеводству (Акционеры) ИЛЧ" xfId="1775" xr:uid="{E4BC6EF7-FE81-4376-AB87-DFDB175CF797}"/>
    <cellStyle name="_Книга7_Nsi_139 2" xfId="1776" xr:uid="{A126E52E-812F-47A3-AA12-6BEA906EBDD3}"/>
    <cellStyle name="_Книга7_Nsi_139 2_Копия Растениеводство форма(Акционеры)" xfId="1777" xr:uid="{44C52CC9-1440-4388-9220-AB9605FC3C2F}"/>
    <cellStyle name="_Книга7_Nsi_139 2_М( ЗАР)" xfId="1778" xr:uid="{04C161F6-89BE-4FE8-8F6D-EA7EDF3F7E13}"/>
    <cellStyle name="_Книга7_Nsi_139 2_Модель АгроГард на 5 лет" xfId="1779" xr:uid="{CE1E0386-028F-4211-9305-3676718335BA}"/>
    <cellStyle name="_Книга7_Nsi_139 2_раст.-факт" xfId="1780" xr:uid="{821D469B-4175-418C-A933-936EB10574DF}"/>
    <cellStyle name="_Книга7_Nsi_139 2_Растениеводство форма( АГМ)" xfId="1781" xr:uid="{8B57F4C1-9B21-4B94-A2C0-EAD0ECF779ED}"/>
    <cellStyle name="_Книга7_Nsi_139 2_Свод по Агрохоолдингу  (в т.ч КБН  )" xfId="1782" xr:uid="{82DBF863-AF4B-45CF-892D-C850F7BBE0E2}"/>
    <cellStyle name="_Книга7_Nsi_139 2_Форма по растениеводству (Акционеры) ИЛЧ" xfId="1783" xr:uid="{D5A6E80D-56B4-4501-ABF4-DD500B537F1A}"/>
    <cellStyle name="_Книга7_Nsi_139 3" xfId="1784" xr:uid="{2118A81A-8A98-466B-A3BC-A40A705DB0F5}"/>
    <cellStyle name="_Книга7_Nsi_139 3_Копия Растениеводство форма(Акционеры)" xfId="1785" xr:uid="{49438F31-E848-4F7F-9498-7FB6F8B5E0EE}"/>
    <cellStyle name="_Книга7_Nsi_139 3_М( ЗАР)" xfId="1786" xr:uid="{52FE8801-D250-4B95-A798-0214CA5E4C22}"/>
    <cellStyle name="_Книга7_Nsi_139 3_Модель АгроГард на 5 лет" xfId="1787" xr:uid="{2633856F-F041-4109-B78F-92F2CD5BB5E9}"/>
    <cellStyle name="_Книга7_Nsi_139 3_раст.-факт" xfId="1788" xr:uid="{61427D98-301B-4A26-9539-A93D3EAE9991}"/>
    <cellStyle name="_Книга7_Nsi_139 3_Растениеводство форма( АГМ)" xfId="1789" xr:uid="{3060BDCA-D73F-4BCE-B477-8F4493254BCD}"/>
    <cellStyle name="_Книга7_Nsi_139 3_Свод по Агрохоолдингу  (в т.ч КБН  )" xfId="1790" xr:uid="{1FA35B21-ECFD-4A69-A584-F8CE8AD45873}"/>
    <cellStyle name="_Книга7_Nsi_139 3_Форма по растениеводству (Акционеры) ИЛЧ" xfId="1791" xr:uid="{DF634A08-C04F-40B6-AA53-9AA872A87882}"/>
    <cellStyle name="_Книга7_Nsi_139_АГМ" xfId="1792" xr:uid="{134E5896-70E6-4C5D-A9B9-76BBA82AA5D0}"/>
    <cellStyle name="_Книга7_Nsi_139_Копия Растениеводство форма(Акционеры)" xfId="1793" xr:uid="{9D621216-5983-4339-9379-CCBE79684FC3}"/>
    <cellStyle name="_Книга7_Nsi_139_М( ЗАР)" xfId="1794" xr:uid="{95E741A1-4579-4F58-9ED6-70C10AE98F48}"/>
    <cellStyle name="_Книга7_Nsi_139_Модель АгроГард на 5 лет" xfId="1795" xr:uid="{60514B5D-4470-407E-825D-F6CCEAD8A7ED}"/>
    <cellStyle name="_Книга7_Nsi_139_НИК-09" xfId="1796" xr:uid="{D6CFC94C-C47B-428D-835F-B25558DECB57}"/>
    <cellStyle name="_Книга7_Nsi_139_раст.-факт" xfId="1797" xr:uid="{832F47AB-C76D-44AA-8293-473F05BD87A9}"/>
    <cellStyle name="_Книга7_Nsi_139_Растениеводство форма( АГМ)" xfId="1798" xr:uid="{A99EEDC0-F5B6-4BCF-B95E-1A0B4B3F9843}"/>
    <cellStyle name="_Книга7_Nsi_139_Свод по Агрохоолдингу  (в т.ч КБН  )" xfId="1799" xr:uid="{A6DC7F1A-C4FC-46C0-B899-EE82C2676F9A}"/>
    <cellStyle name="_Книга7_Nsi_139_ТК-2011 АГМ+транспорт" xfId="1800" xr:uid="{6AEED63A-8D20-4C7E-9B27-03FAEA33696D}"/>
    <cellStyle name="_Книга7_Nsi_139_Форма по растениеводству (Акционеры) ИЛЧ" xfId="1801" xr:uid="{E0C9551A-3C0A-4D87-9239-371E3ED016DE}"/>
    <cellStyle name="_Книга7_Nsi_140" xfId="1802" xr:uid="{823A3EC3-7FE6-42EC-B155-1C15941D3780}"/>
    <cellStyle name="_Книга7_Nsi_140 1" xfId="1803" xr:uid="{A2BAC96C-1480-4286-9615-9A0B239F2D82}"/>
    <cellStyle name="_Книга7_Nsi_140 1_Копия Растениеводство форма(Акционеры)" xfId="1804" xr:uid="{373492A8-C66C-44F6-A201-AF49982EF847}"/>
    <cellStyle name="_Книга7_Nsi_140 1_М( ЗАР)" xfId="1805" xr:uid="{AE7A3C13-FF0C-4634-AC5D-2B9D41737623}"/>
    <cellStyle name="_Книга7_Nsi_140 1_Модель АгроГард на 5 лет" xfId="1806" xr:uid="{B5C47026-4BB1-4ADF-8E6A-30B5099A2DCF}"/>
    <cellStyle name="_Книга7_Nsi_140 1_раст.-факт" xfId="1807" xr:uid="{92404111-EA04-4FA7-8423-C79991BF89F0}"/>
    <cellStyle name="_Книга7_Nsi_140 1_Растениеводство форма( АГМ)" xfId="1808" xr:uid="{D8A5CC33-5E3C-4C61-8DED-EC9EC0A39043}"/>
    <cellStyle name="_Книга7_Nsi_140 1_Свод по Агрохоолдингу  (в т.ч КБН  )" xfId="1809" xr:uid="{D5104672-E352-4AB2-A914-FC5AC1971587}"/>
    <cellStyle name="_Книга7_Nsi_140 1_Форма по растениеводству (Акционеры) ИЛЧ" xfId="1810" xr:uid="{FC9567B1-AD71-4D01-BE9C-216C8B95D7F9}"/>
    <cellStyle name="_Книга7_Nsi_140 2" xfId="1811" xr:uid="{7F881CE2-8C78-46BA-BD20-E36A0E2DEC52}"/>
    <cellStyle name="_Книга7_Nsi_140 2_Копия Растениеводство форма(Акционеры)" xfId="1812" xr:uid="{14139283-2108-4537-A481-D5E9FAAB45C4}"/>
    <cellStyle name="_Книга7_Nsi_140 2_М( ЗАР)" xfId="1813" xr:uid="{236794F9-F41A-4EB3-BFFA-485EFD70D4A9}"/>
    <cellStyle name="_Книга7_Nsi_140 2_Модель АгроГард на 5 лет" xfId="1814" xr:uid="{5275F714-557A-4C88-9CDC-DAD6B39E53D6}"/>
    <cellStyle name="_Книга7_Nsi_140 2_раст.-факт" xfId="1815" xr:uid="{3A60BF8C-F4DA-4D22-A78B-5FD59C59E89A}"/>
    <cellStyle name="_Книга7_Nsi_140 2_Растениеводство форма( АГМ)" xfId="1816" xr:uid="{BE9B2C1E-48A0-4116-A94A-51B18C899CCB}"/>
    <cellStyle name="_Книга7_Nsi_140 2_Свод по Агрохоолдингу  (в т.ч КБН  )" xfId="1817" xr:uid="{776F33FE-0E49-4660-8CDB-29CDE7CF360B}"/>
    <cellStyle name="_Книга7_Nsi_140 2_Форма по растениеводству (Акционеры) ИЛЧ" xfId="1818" xr:uid="{C0DBE7B1-81F8-46B1-AB6D-D988C6065FAF}"/>
    <cellStyle name="_Книга7_Nsi_140 3" xfId="1819" xr:uid="{0971CA9E-D5D2-47E5-ADC7-5735401953EA}"/>
    <cellStyle name="_Книга7_Nsi_140 3_Копия Растениеводство форма(Акционеры)" xfId="1820" xr:uid="{36B2B221-2478-4814-9E5A-B83429025CF4}"/>
    <cellStyle name="_Книга7_Nsi_140 3_М( ЗАР)" xfId="1821" xr:uid="{6A0A062E-9E7D-45E7-8121-BE12EEF21711}"/>
    <cellStyle name="_Книга7_Nsi_140 3_Модель АгроГард на 5 лет" xfId="1822" xr:uid="{F7E25748-9B99-43D1-9C6A-9D57B4CE2C79}"/>
    <cellStyle name="_Книга7_Nsi_140 3_раст.-факт" xfId="1823" xr:uid="{E85250A1-A88D-491C-AF3D-8F070BE4A37F}"/>
    <cellStyle name="_Книга7_Nsi_140 3_Растениеводство форма( АГМ)" xfId="1824" xr:uid="{2A253BCC-31E9-477F-BF6B-7A8060C40FC7}"/>
    <cellStyle name="_Книга7_Nsi_140 3_Свод по Агрохоолдингу  (в т.ч КБН  )" xfId="1825" xr:uid="{45AF8E85-C510-47BC-9F5D-723CF2B23757}"/>
    <cellStyle name="_Книга7_Nsi_140 3_Форма по растениеводству (Акционеры) ИЛЧ" xfId="1826" xr:uid="{E3A4DF57-FC8E-4828-B1C4-BC38B7273CC9}"/>
    <cellStyle name="_Книга7_Nsi_140(Зах)" xfId="1827" xr:uid="{945AE1DC-295A-48AF-94B1-994BA669BB0E}"/>
    <cellStyle name="_Книга7_Nsi_140(Зах) 1" xfId="1828" xr:uid="{A7BCDF78-F4EA-4C58-A3D7-93DA0D338203}"/>
    <cellStyle name="_Книга7_Nsi_140(Зах) 1_Копия Растениеводство форма(Акционеры)" xfId="1829" xr:uid="{DC10F49F-FA8C-4ABB-A166-A737CB216FAB}"/>
    <cellStyle name="_Книга7_Nsi_140(Зах) 1_М( ЗАР)" xfId="1830" xr:uid="{532D5D32-5DB1-4D58-9782-3A03A97B1EDC}"/>
    <cellStyle name="_Книга7_Nsi_140(Зах) 1_Модель АгроГард на 5 лет" xfId="1831" xr:uid="{1A676B9F-FC21-42C3-AD3A-3BD501A9F7FD}"/>
    <cellStyle name="_Книга7_Nsi_140(Зах) 1_раст.-факт" xfId="1832" xr:uid="{9C510EF8-8AF8-4C2B-8BE6-DEB6E503B50C}"/>
    <cellStyle name="_Книга7_Nsi_140(Зах) 1_Растениеводство форма( АГМ)" xfId="1833" xr:uid="{6ADED80B-7A69-4ACB-849D-CC2F0EB7EE10}"/>
    <cellStyle name="_Книга7_Nsi_140(Зах) 1_Свод по Агрохоолдингу  (в т.ч КБН  )" xfId="1834" xr:uid="{42736018-FE0B-4A93-9677-37E0F292D2AA}"/>
    <cellStyle name="_Книга7_Nsi_140(Зах) 1_Форма по растениеводству (Акционеры) ИЛЧ" xfId="1835" xr:uid="{5F64731C-85CB-47CE-B043-2EE4CAA41341}"/>
    <cellStyle name="_Книга7_Nsi_140(Зах) 2" xfId="1836" xr:uid="{0DDC463C-0BF3-408C-AD13-967761650ABF}"/>
    <cellStyle name="_Книга7_Nsi_140(Зах) 2_Копия Растениеводство форма(Акционеры)" xfId="1837" xr:uid="{50E2A391-372C-444C-A77D-4C2DD251F3C3}"/>
    <cellStyle name="_Книга7_Nsi_140(Зах) 2_М( ЗАР)" xfId="1838" xr:uid="{403839D6-1E15-41DC-86B5-DA9E06AAB79C}"/>
    <cellStyle name="_Книга7_Nsi_140(Зах) 2_Модель АгроГард на 5 лет" xfId="1839" xr:uid="{2BCEA778-E347-475D-80D5-7E0293414DC2}"/>
    <cellStyle name="_Книга7_Nsi_140(Зах) 2_раст.-факт" xfId="1840" xr:uid="{2689164A-3C2C-4B17-9BE1-74C2931E3854}"/>
    <cellStyle name="_Книга7_Nsi_140(Зах) 2_Растениеводство форма( АГМ)" xfId="1841" xr:uid="{BD2605EE-3496-4BF1-A2BA-898DC496F0AF}"/>
    <cellStyle name="_Книга7_Nsi_140(Зах) 2_Свод по Агрохоолдингу  (в т.ч КБН  )" xfId="1842" xr:uid="{A9390A23-C1FF-4D29-AD10-F5C2760A575C}"/>
    <cellStyle name="_Книга7_Nsi_140(Зах) 2_Форма по растениеводству (Акционеры) ИЛЧ" xfId="1843" xr:uid="{5EB2FE13-8941-4879-9C01-F273DFEF1AFC}"/>
    <cellStyle name="_Книга7_Nsi_140(Зах) 3" xfId="1844" xr:uid="{EF2D6C91-F3C0-456F-ABD1-9A497E3A8DEC}"/>
    <cellStyle name="_Книга7_Nsi_140(Зах) 3_Копия Растениеводство форма(Акционеры)" xfId="1845" xr:uid="{F672B31B-2DBC-4014-88CE-3E82DE8B0882}"/>
    <cellStyle name="_Книга7_Nsi_140(Зах) 3_М( ЗАР)" xfId="1846" xr:uid="{3F879487-4142-4516-AD2D-9374FDBD2435}"/>
    <cellStyle name="_Книга7_Nsi_140(Зах) 3_Модель АгроГард на 5 лет" xfId="1847" xr:uid="{3603D0F9-13D0-4ECA-B393-C62F59C7E7B1}"/>
    <cellStyle name="_Книга7_Nsi_140(Зах) 3_раст.-факт" xfId="1848" xr:uid="{D190343B-ACEA-4D66-8CB2-BEE97D68D906}"/>
    <cellStyle name="_Книга7_Nsi_140(Зах) 3_Растениеводство форма( АГМ)" xfId="1849" xr:uid="{E4FEAFC6-B561-4F58-B3CE-4ADD0A8C887C}"/>
    <cellStyle name="_Книга7_Nsi_140(Зах) 3_Свод по Агрохоолдингу  (в т.ч КБН  )" xfId="1850" xr:uid="{986C87EE-A851-44C6-B894-E79DF4798101}"/>
    <cellStyle name="_Книга7_Nsi_140(Зах) 3_Форма по растениеводству (Акционеры) ИЛЧ" xfId="1851" xr:uid="{57A25B67-E7CF-4464-A8EB-B822F0CA78C6}"/>
    <cellStyle name="_Книга7_Nsi_140(Зах)_АГМ" xfId="1852" xr:uid="{93AD210D-11D9-426D-B29E-493FF10A0E83}"/>
    <cellStyle name="_Книга7_Nsi_140(Зах)_Копия Растениеводство форма(Акционеры)" xfId="1853" xr:uid="{B2893F13-E53D-46D4-8F35-6D3D00EF4F71}"/>
    <cellStyle name="_Книга7_Nsi_140(Зах)_М( ЗАР)" xfId="1854" xr:uid="{5A05501C-0685-4B3D-9A12-EF08F54580B6}"/>
    <cellStyle name="_Книга7_Nsi_140(Зах)_Модель АгроГард на 5 лет" xfId="1855" xr:uid="{D5B4A29C-D84F-4D81-9743-AB43CA709090}"/>
    <cellStyle name="_Книга7_Nsi_140(Зах)_НИК-09" xfId="1856" xr:uid="{DE281D38-81B3-458D-BBF1-AD6363F21D87}"/>
    <cellStyle name="_Книга7_Nsi_140(Зах)_раст.-факт" xfId="1857" xr:uid="{75602B24-E177-4D90-B6C2-AF90BBA762D2}"/>
    <cellStyle name="_Книга7_Nsi_140(Зах)_Растениеводство форма( АГМ)" xfId="1858" xr:uid="{C72F6099-BD1F-41F4-B742-F6740E913DD3}"/>
    <cellStyle name="_Книга7_Nsi_140(Зах)_Свод по Агрохоолдингу  (в т.ч КБН  )" xfId="1859" xr:uid="{6C4418EA-9FD5-4446-B6B6-48A5C4CE02CC}"/>
    <cellStyle name="_Книга7_Nsi_140(Зах)_ТК-2011 АГМ+транспорт" xfId="1860" xr:uid="{AD502E6C-AB84-4369-8918-3FDF615E6513}"/>
    <cellStyle name="_Книга7_Nsi_140(Зах)_Форма по растениеводству (Акционеры) ИЛЧ" xfId="1861" xr:uid="{D7C6329B-A9F9-4586-9445-F4D9593940C9}"/>
    <cellStyle name="_Книга7_Nsi_140_mod" xfId="1862" xr:uid="{8A400AFB-D1DA-40EC-B798-6FA028D843DE}"/>
    <cellStyle name="_Книга7_Nsi_140_mod 1" xfId="1863" xr:uid="{E84DC96A-19CD-4B63-B1D1-FBCAE2B03EC7}"/>
    <cellStyle name="_Книга7_Nsi_140_mod 1_Копия Растениеводство форма(Акционеры)" xfId="1864" xr:uid="{7320D3B1-4067-479E-8D3A-58F91A37A442}"/>
    <cellStyle name="_Книга7_Nsi_140_mod 1_М( ЗАР)" xfId="1865" xr:uid="{0A9299C4-701C-4A9A-AE14-6E1C992861F5}"/>
    <cellStyle name="_Книга7_Nsi_140_mod 1_Модель АгроГард на 5 лет" xfId="1866" xr:uid="{8C21B5BF-67B5-4960-B7AD-85C110FE3520}"/>
    <cellStyle name="_Книга7_Nsi_140_mod 1_раст.-факт" xfId="1867" xr:uid="{3B3B0C31-73C7-4E82-8C76-1FE2F881F20D}"/>
    <cellStyle name="_Книга7_Nsi_140_mod 1_Растениеводство форма( АГМ)" xfId="1868" xr:uid="{3693EDD7-FDBB-4A75-ABA0-0C26ED80A23C}"/>
    <cellStyle name="_Книга7_Nsi_140_mod 1_Свод по Агрохоолдингу  (в т.ч КБН  )" xfId="1869" xr:uid="{FD09C348-4056-4218-B2E0-74C9FA04A723}"/>
    <cellStyle name="_Книга7_Nsi_140_mod 1_Форма по растениеводству (Акционеры) ИЛЧ" xfId="1870" xr:uid="{2723C429-7F35-49BA-AF17-59E2D9C90DAD}"/>
    <cellStyle name="_Книга7_Nsi_140_mod 2" xfId="1871" xr:uid="{67462913-BC2C-45F4-9A88-DCE0B2A1A4AE}"/>
    <cellStyle name="_Книга7_Nsi_140_mod 2_Копия Растениеводство форма(Акционеры)" xfId="1872" xr:uid="{F78F7BBE-5478-45B1-B7DA-F075E98ACE68}"/>
    <cellStyle name="_Книга7_Nsi_140_mod 2_М( ЗАР)" xfId="1873" xr:uid="{7C0C975E-F00C-4E31-ABBA-2DE9E36E581B}"/>
    <cellStyle name="_Книга7_Nsi_140_mod 2_Модель АгроГард на 5 лет" xfId="1874" xr:uid="{4C7DC493-9295-40AD-8A78-89F701D33777}"/>
    <cellStyle name="_Книга7_Nsi_140_mod 2_раст.-факт" xfId="1875" xr:uid="{3B55DEFF-7D34-4EC8-8917-0056FB952F04}"/>
    <cellStyle name="_Книга7_Nsi_140_mod 2_Растениеводство форма( АГМ)" xfId="1876" xr:uid="{04D49653-6970-48BA-A0C6-B6F193F993AD}"/>
    <cellStyle name="_Книга7_Nsi_140_mod 2_Свод по Агрохоолдингу  (в т.ч КБН  )" xfId="1877" xr:uid="{377B11F6-CDF2-423C-A150-A49C34D6BA37}"/>
    <cellStyle name="_Книга7_Nsi_140_mod 2_Форма по растениеводству (Акционеры) ИЛЧ" xfId="1878" xr:uid="{D7A2DCD5-10BB-42C4-A4FC-30202C002AC1}"/>
    <cellStyle name="_Книга7_Nsi_140_mod 3" xfId="1879" xr:uid="{0C7EBB41-1D7B-4BC6-A832-4AD01F861579}"/>
    <cellStyle name="_Книга7_Nsi_140_mod 3_Копия Растениеводство форма(Акционеры)" xfId="1880" xr:uid="{6E9D7A7A-79F0-43A4-8F65-6331581454CD}"/>
    <cellStyle name="_Книга7_Nsi_140_mod 3_М( ЗАР)" xfId="1881" xr:uid="{9751906B-11CB-4F73-9375-62E32EF068D8}"/>
    <cellStyle name="_Книга7_Nsi_140_mod 3_Модель АгроГард на 5 лет" xfId="1882" xr:uid="{088EA2B4-2E2F-4B27-A429-3B6B8069C6F6}"/>
    <cellStyle name="_Книга7_Nsi_140_mod 3_раст.-факт" xfId="1883" xr:uid="{06CFB058-3A1D-401A-A478-4741993EB996}"/>
    <cellStyle name="_Книга7_Nsi_140_mod 3_Растениеводство форма( АГМ)" xfId="1884" xr:uid="{150C3875-7633-41F8-B240-AB7CD58E93BD}"/>
    <cellStyle name="_Книга7_Nsi_140_mod 3_Свод по Агрохоолдингу  (в т.ч КБН  )" xfId="1885" xr:uid="{420996C3-8EBB-4C27-BE0A-53F2ABDE6FE5}"/>
    <cellStyle name="_Книга7_Nsi_140_mod 3_Форма по растениеводству (Акционеры) ИЛЧ" xfId="1886" xr:uid="{70F2CAD1-430E-4072-A9DC-A7396FB908D6}"/>
    <cellStyle name="_Книга7_Nsi_140_mod_АГМ" xfId="1887" xr:uid="{79044608-23FA-479A-88CC-AFD3F44C0298}"/>
    <cellStyle name="_Книга7_Nsi_140_mod_Копия Растениеводство форма(Акционеры)" xfId="1888" xr:uid="{CA2516E4-1416-4360-8788-B4880594D68D}"/>
    <cellStyle name="_Книга7_Nsi_140_mod_М( ЗАР)" xfId="1889" xr:uid="{381DEBD6-2B06-4BC3-B718-6024C701953D}"/>
    <cellStyle name="_Книга7_Nsi_140_mod_Модель АгроГард на 5 лет" xfId="1890" xr:uid="{E5506F4F-C53B-4CCC-9A1E-37C4F8D09C0B}"/>
    <cellStyle name="_Книга7_Nsi_140_mod_НИК-09" xfId="1891" xr:uid="{BD2EAE1A-8B05-4E6E-8066-C0538E14C1C2}"/>
    <cellStyle name="_Книга7_Nsi_140_mod_раст.-факт" xfId="1892" xr:uid="{2BFD491F-B390-49B2-989B-219062DE4D51}"/>
    <cellStyle name="_Книга7_Nsi_140_mod_Растениеводство форма( АГМ)" xfId="1893" xr:uid="{2169E424-E043-4DB0-A715-FFDDBB038279}"/>
    <cellStyle name="_Книга7_Nsi_140_mod_Свод по Агрохоолдингу  (в т.ч КБН  )" xfId="1894" xr:uid="{60A27C9B-B3C5-4E37-A02D-5EE8A5035DAA}"/>
    <cellStyle name="_Книга7_Nsi_140_mod_ТК-2011 АГМ+транспорт" xfId="1895" xr:uid="{08C56F67-5B80-4015-A3A4-D05E6627DD13}"/>
    <cellStyle name="_Книга7_Nsi_140_mod_Форма по растениеводству (Акционеры) ИЛЧ" xfId="1896" xr:uid="{0D05F6F0-064B-40F8-9614-861D15A53AEC}"/>
    <cellStyle name="_Книга7_Nsi_140_АГМ" xfId="1897" xr:uid="{7D97EE61-9CBE-41C4-8752-48FE62659321}"/>
    <cellStyle name="_Книга7_Nsi_140_Копия Растениеводство форма(Акционеры)" xfId="1898" xr:uid="{150163AA-2D63-454E-9DF5-30A125FE8332}"/>
    <cellStyle name="_Книга7_Nsi_140_М( ЗАР)" xfId="1899" xr:uid="{12296118-9457-443C-BFAD-FF9B3759A424}"/>
    <cellStyle name="_Книга7_Nsi_140_Модель АгроГард на 5 лет" xfId="1900" xr:uid="{F774C8C2-FFF3-4E70-B02E-5CF6454A7D23}"/>
    <cellStyle name="_Книга7_Nsi_140_НИК-09" xfId="1901" xr:uid="{C2AFB8C6-E6CC-4988-9B56-F3F89D0C8C84}"/>
    <cellStyle name="_Книга7_Nsi_140_раст.-факт" xfId="1902" xr:uid="{9D9D2245-D1E5-41F4-B304-4B766CF10FF6}"/>
    <cellStyle name="_Книга7_Nsi_140_Растениеводство форма( АГМ)" xfId="1903" xr:uid="{EA64A7A5-94C6-4335-9FBF-4C45A1A750F7}"/>
    <cellStyle name="_Книга7_Nsi_140_Свод по Агрохоолдингу  (в т.ч КБН  )" xfId="1904" xr:uid="{AAFF01F2-1CCE-49A4-85DE-EDD957560BCB}"/>
    <cellStyle name="_Книга7_Nsi_140_ТК-2011 АГМ+транспорт" xfId="1905" xr:uid="{5FDE1DC4-2362-42FF-B478-0454CDE7AFF3}"/>
    <cellStyle name="_Книга7_Nsi_140_Форма по растениеводству (Акционеры) ИЛЧ" xfId="1906" xr:uid="{97E3FC7C-0BB0-4837-A4BA-7D55BC06B76C}"/>
    <cellStyle name="_Книга7_Nsi_АГМ" xfId="1907" xr:uid="{CACF0785-111A-4E15-A28C-8B8E5DC3CA08}"/>
    <cellStyle name="_Книга7_Nsi_Копия Растениеводство форма(Акционеры)" xfId="1908" xr:uid="{8AD32240-06BF-42A6-BCBD-97FAB7DFC3CC}"/>
    <cellStyle name="_Книга7_Nsi_М( ЗАР)" xfId="1909" xr:uid="{6A6AC9E2-E0C7-47F8-BA46-00193859D93B}"/>
    <cellStyle name="_Книга7_Nsi_Модель АгроГард на 5 лет" xfId="1910" xr:uid="{2C2EEB1A-1216-4D76-B54F-7058156896B9}"/>
    <cellStyle name="_Книга7_Nsi_НИК-09" xfId="1911" xr:uid="{20F40778-6D54-4288-9B0A-0C4704B9F514}"/>
    <cellStyle name="_Книга7_Nsi_раст.-факт" xfId="1912" xr:uid="{3DDA8942-E31A-4D03-BCD1-691570983294}"/>
    <cellStyle name="_Книга7_Nsi_Растениеводство форма( АГМ)" xfId="1913" xr:uid="{32AF50B9-9407-4423-BDC0-65D11137CFA6}"/>
    <cellStyle name="_Книга7_Nsi_Свод по Агрохоолдингу  (в т.ч КБН  )" xfId="1914" xr:uid="{07FE6C4A-6754-4564-AA17-8C5D294C785D}"/>
    <cellStyle name="_Книга7_Nsi_ТК-2011 АГМ+транспорт" xfId="1915" xr:uid="{1FCA180D-A90C-464D-AF16-124A294CB38C}"/>
    <cellStyle name="_Книга7_Nsi_Форма по растениеводству (Акционеры) ИЛЧ" xfId="1916" xr:uid="{1929CB88-5E16-4B7B-86D0-CDEC40BB28FF}"/>
    <cellStyle name="_Книга7_Summary" xfId="1917" xr:uid="{967D66BB-18F0-4B6A-99C2-15FEF2E430CF}"/>
    <cellStyle name="_Книга7_Summary 1" xfId="1918" xr:uid="{D4AE9C93-10A3-48C9-9563-B73FE8A4C0B4}"/>
    <cellStyle name="_Книга7_Summary 1_Копия Растениеводство форма(Акционеры)" xfId="1919" xr:uid="{B5A05503-66DB-4ED0-AF98-39D6E21461E5}"/>
    <cellStyle name="_Книга7_Summary 1_М( ЗАР)" xfId="1920" xr:uid="{C593DB1A-B545-499B-92C9-A3EEB71B7600}"/>
    <cellStyle name="_Книга7_Summary 1_Модель АгроГард на 5 лет" xfId="1921" xr:uid="{3E7A1FC4-81E4-4616-9CE1-40240715277B}"/>
    <cellStyle name="_Книга7_Summary 1_раст.-факт" xfId="1922" xr:uid="{602818E3-62E5-4757-A60B-86E17BFFBDB6}"/>
    <cellStyle name="_Книга7_Summary 1_Растениеводство форма( АГМ)" xfId="1923" xr:uid="{62562D5F-51A0-4EA0-8A77-9E9A635227C8}"/>
    <cellStyle name="_Книга7_Summary 1_Свод по Агрохоолдингу  (в т.ч КБН  )" xfId="1924" xr:uid="{10590676-6A97-463F-B5FD-6B5D46AE4711}"/>
    <cellStyle name="_Книга7_Summary 1_Форма по растениеводству (Акционеры) ИЛЧ" xfId="1925" xr:uid="{93DC6F07-8D01-4E20-83EF-9BD58280BAFB}"/>
    <cellStyle name="_Книга7_Summary 2" xfId="1926" xr:uid="{DEB3C2B4-DC1F-4847-8030-BEF2F8C7D625}"/>
    <cellStyle name="_Книга7_Summary 2_Копия Растениеводство форма(Акционеры)" xfId="1927" xr:uid="{B42A0B15-ED06-4A3F-B521-F840F7F1E3C2}"/>
    <cellStyle name="_Книга7_Summary 2_М( ЗАР)" xfId="1928" xr:uid="{0B498A23-D8F5-4F91-AF3E-B527EDD36307}"/>
    <cellStyle name="_Книга7_Summary 2_Модель АгроГард на 5 лет" xfId="1929" xr:uid="{0EFB051F-DBEB-4A80-9A8E-7BAAA81F33C0}"/>
    <cellStyle name="_Книга7_Summary 2_раст.-факт" xfId="1930" xr:uid="{2EC0DD6A-881B-465C-89F6-F2BD3C58548C}"/>
    <cellStyle name="_Книга7_Summary 2_Растениеводство форма( АГМ)" xfId="1931" xr:uid="{558CC011-78FC-441E-838E-A56A422B6A86}"/>
    <cellStyle name="_Книга7_Summary 2_Свод по Агрохоолдингу  (в т.ч КБН  )" xfId="1932" xr:uid="{1A95521C-74A9-4F85-805B-FD6D4CBE6F1B}"/>
    <cellStyle name="_Книга7_Summary 2_Форма по растениеводству (Акционеры) ИЛЧ" xfId="1933" xr:uid="{A8843A87-EB2E-42F8-8118-A334EC7DD903}"/>
    <cellStyle name="_Книга7_Summary 3" xfId="1934" xr:uid="{579BB169-CACD-4356-A5DF-FD86AC0EBC94}"/>
    <cellStyle name="_Книга7_Summary 3_Копия Растениеводство форма(Акционеры)" xfId="1935" xr:uid="{F342A261-8759-4F31-B349-F898F449BBAE}"/>
    <cellStyle name="_Книга7_Summary 3_М( ЗАР)" xfId="1936" xr:uid="{467271A0-4820-4173-9749-16680D5DE126}"/>
    <cellStyle name="_Книга7_Summary 3_Модель АгроГард на 5 лет" xfId="1937" xr:uid="{8085ED61-4101-4025-8BD7-629E0E2A5A37}"/>
    <cellStyle name="_Книга7_Summary 3_раст.-факт" xfId="1938" xr:uid="{7316AD60-6720-49BD-8F4A-53C08D6DD57C}"/>
    <cellStyle name="_Книга7_Summary 3_Растениеводство форма( АГМ)" xfId="1939" xr:uid="{96EA4F78-0767-46AC-91B8-97D3BA59241E}"/>
    <cellStyle name="_Книга7_Summary 3_Свод по Агрохоолдингу  (в т.ч КБН  )" xfId="1940" xr:uid="{B0F6560F-FA87-4BC7-953D-9D0232B9AF94}"/>
    <cellStyle name="_Книга7_Summary 3_Форма по растениеводству (Акционеры) ИЛЧ" xfId="1941" xr:uid="{7497A6C2-F4EE-4890-851C-481B6B344C96}"/>
    <cellStyle name="_Книга7_Summary_АГМ" xfId="1942" xr:uid="{ED2C06DB-0310-4EF8-9E97-E8FD55B9F3BB}"/>
    <cellStyle name="_Книга7_Summary_Копия Растениеводство форма(Акционеры)" xfId="1943" xr:uid="{6BC3468C-3A69-4919-86DB-1E819752C55D}"/>
    <cellStyle name="_Книга7_Summary_М( ЗАР)" xfId="1944" xr:uid="{A3D9E244-81D5-4D98-9098-DA6F2EC3D941}"/>
    <cellStyle name="_Книга7_Summary_Модель АгроГард на 5 лет" xfId="1945" xr:uid="{B035057F-1365-46CF-B3C8-F38206D2FC3C}"/>
    <cellStyle name="_Книга7_Summary_НИК-09" xfId="1946" xr:uid="{DA39F60D-8F3D-4B5F-AEB0-846AD965AF74}"/>
    <cellStyle name="_Книга7_Summary_раст.-факт" xfId="1947" xr:uid="{E6039D5C-760D-47FD-B3BA-1E783CB23A59}"/>
    <cellStyle name="_Книга7_Summary_Растениеводство форма( АГМ)" xfId="1948" xr:uid="{21C251A6-9E59-4FF2-A1CD-D3A2BF131C5C}"/>
    <cellStyle name="_Книга7_Summary_Свод по Агрохоолдингу  (в т.ч КБН  )" xfId="1949" xr:uid="{6B3F4E7C-EFA9-4F6B-8219-216E452AF811}"/>
    <cellStyle name="_Книга7_Summary_ТК-2011 АГМ+транспорт" xfId="1950" xr:uid="{86A08BCF-2A6F-4C92-A973-99E15847C3EA}"/>
    <cellStyle name="_Книга7_Summary_Форма по растениеводству (Акционеры) ИЛЧ" xfId="1951" xr:uid="{0953BB16-9D7E-4BDA-9B1E-468E6F7E231B}"/>
    <cellStyle name="_Книга7_Tax_form_1кв_3" xfId="1952" xr:uid="{37D15523-EB55-4843-82C7-E5E1355C2BA0}"/>
    <cellStyle name="_Книга7_Tax_form_1кв_3 1" xfId="1953" xr:uid="{75BE024A-D63F-4C63-9156-E56BA8DF874D}"/>
    <cellStyle name="_Книга7_Tax_form_1кв_3 1_Копия Растениеводство форма(Акционеры)" xfId="1954" xr:uid="{EB241E41-5369-4031-AEA6-5E9DF0A7667C}"/>
    <cellStyle name="_Книга7_Tax_form_1кв_3 1_М( ЗАР)" xfId="1955" xr:uid="{4F290A98-8504-4A98-9CF6-67864534B2DB}"/>
    <cellStyle name="_Книга7_Tax_form_1кв_3 1_Модель АгроГард на 5 лет" xfId="1956" xr:uid="{51DA3301-1610-4C20-BBEF-9E02651325D4}"/>
    <cellStyle name="_Книга7_Tax_form_1кв_3 1_раст.-факт" xfId="1957" xr:uid="{53033C8D-641A-45FC-84C1-9C412100A95F}"/>
    <cellStyle name="_Книга7_Tax_form_1кв_3 1_Растениеводство форма( АГМ)" xfId="1958" xr:uid="{3AFD567D-737A-49DF-A62F-55B03C044613}"/>
    <cellStyle name="_Книга7_Tax_form_1кв_3 1_Свод по Агрохоолдингу  (в т.ч КБН  )" xfId="1959" xr:uid="{CE47BB71-FBF8-4B45-A298-287D79CD73AE}"/>
    <cellStyle name="_Книга7_Tax_form_1кв_3 1_Форма по растениеводству (Акционеры) ИЛЧ" xfId="1960" xr:uid="{36F807EF-90A4-4F23-A2CF-0F7C213C90BA}"/>
    <cellStyle name="_Книга7_Tax_form_1кв_3 2" xfId="1961" xr:uid="{3BFDE022-77DB-4B15-B6A2-BAAFCFC884DB}"/>
    <cellStyle name="_Книга7_Tax_form_1кв_3 2_Копия Растениеводство форма(Акционеры)" xfId="1962" xr:uid="{1A7927F3-5E30-4DD3-8FA6-67F30628A4DE}"/>
    <cellStyle name="_Книга7_Tax_form_1кв_3 2_М( ЗАР)" xfId="1963" xr:uid="{705BDAD4-122B-4AAF-8D42-A4A55F9F5F55}"/>
    <cellStyle name="_Книга7_Tax_form_1кв_3 2_Модель АгроГард на 5 лет" xfId="1964" xr:uid="{D020C0FD-4460-4D0A-BA1E-21B5F6038CD7}"/>
    <cellStyle name="_Книга7_Tax_form_1кв_3 2_раст.-факт" xfId="1965" xr:uid="{A8449EE0-BED4-4C4A-BD66-5BBB82F6C6CE}"/>
    <cellStyle name="_Книга7_Tax_form_1кв_3 2_Растениеводство форма( АГМ)" xfId="1966" xr:uid="{02E3FD47-F864-4971-B0D9-C37A56FD90F3}"/>
    <cellStyle name="_Книга7_Tax_form_1кв_3 2_Свод по Агрохоолдингу  (в т.ч КБН  )" xfId="1967" xr:uid="{3D271105-2C49-4CC2-9042-3065791C4F82}"/>
    <cellStyle name="_Книга7_Tax_form_1кв_3 2_Форма по растениеводству (Акционеры) ИЛЧ" xfId="1968" xr:uid="{89D8C979-D435-4BA3-B5AD-A552126CB2F9}"/>
    <cellStyle name="_Книга7_Tax_form_1кв_3 3" xfId="1969" xr:uid="{5EECBFDC-A9A9-4499-B62F-9220020CF0F4}"/>
    <cellStyle name="_Книга7_Tax_form_1кв_3 3_Копия Растениеводство форма(Акционеры)" xfId="1970" xr:uid="{B3D06AE7-EE7D-40AC-9305-FF8FF74FCDC1}"/>
    <cellStyle name="_Книга7_Tax_form_1кв_3 3_М( ЗАР)" xfId="1971" xr:uid="{E6EC1140-F6C8-4C8A-91D3-E4C00339B8E4}"/>
    <cellStyle name="_Книга7_Tax_form_1кв_3 3_Модель АгроГард на 5 лет" xfId="1972" xr:uid="{E5C1D9DE-F9F8-495A-8492-2B29EFA137CA}"/>
    <cellStyle name="_Книга7_Tax_form_1кв_3 3_раст.-факт" xfId="1973" xr:uid="{AEED3798-0182-4664-8DBE-06E377C8534A}"/>
    <cellStyle name="_Книга7_Tax_form_1кв_3 3_Растениеводство форма( АГМ)" xfId="1974" xr:uid="{850A0CC3-A581-4597-B0C6-351034F2BF26}"/>
    <cellStyle name="_Книга7_Tax_form_1кв_3 3_Свод по Агрохоолдингу  (в т.ч КБН  )" xfId="1975" xr:uid="{4C785220-C696-4596-9F3E-AB3623BF9094}"/>
    <cellStyle name="_Книга7_Tax_form_1кв_3 3_Форма по растениеводству (Акционеры) ИЛЧ" xfId="1976" xr:uid="{446ED1EC-4385-4A5F-9B49-06B98066E6C8}"/>
    <cellStyle name="_Книга7_Tax_form_1кв_3_АГМ" xfId="1977" xr:uid="{B30BC0D0-6E3B-41BD-B94F-A9DA58815AFE}"/>
    <cellStyle name="_Книга7_Tax_form_1кв_3_Копия Растениеводство форма(Акционеры)" xfId="1978" xr:uid="{C8B58191-5A5C-4D36-BD11-A022F772BFB7}"/>
    <cellStyle name="_Книга7_Tax_form_1кв_3_М( ЗАР)" xfId="1979" xr:uid="{251817B2-B096-4DCD-816F-6E15BC8070BE}"/>
    <cellStyle name="_Книга7_Tax_form_1кв_3_Модель АгроГард на 5 лет" xfId="1980" xr:uid="{EF0BE629-9713-4568-A163-829D1D70BEEE}"/>
    <cellStyle name="_Книга7_Tax_form_1кв_3_НИК-09" xfId="1981" xr:uid="{79C36733-3C0C-40F1-9741-96C8C1EFF4B8}"/>
    <cellStyle name="_Книга7_Tax_form_1кв_3_раст.-факт" xfId="1982" xr:uid="{1A7E274D-62DC-497B-AF06-C0C04E8D5416}"/>
    <cellStyle name="_Книга7_Tax_form_1кв_3_Растениеводство форма( АГМ)" xfId="1983" xr:uid="{CF2AF9C1-729F-48FD-9D6B-E941CCF2031A}"/>
    <cellStyle name="_Книга7_Tax_form_1кв_3_Свод по Агрохоолдингу  (в т.ч КБН  )" xfId="1984" xr:uid="{CD367C50-F4AD-4103-BBB2-721DDDE22023}"/>
    <cellStyle name="_Книга7_Tax_form_1кв_3_ТК-2011 АГМ+транспорт" xfId="1985" xr:uid="{867E56FD-50D2-4B86-88D8-6666D03DC777}"/>
    <cellStyle name="_Книга7_Tax_form_1кв_3_Форма по растениеводству (Акционеры) ИЛЧ" xfId="1986" xr:uid="{B5846530-C5F6-4F26-B560-15AAA4ABCBCF}"/>
    <cellStyle name="_Книга7_АГМ" xfId="1987" xr:uid="{211C4B42-06E9-4AE8-8E94-FF0389C3D5B4}"/>
    <cellStyle name="_Книга7_БКЭ" xfId="1988" xr:uid="{F2E5EFE4-2E49-4B71-AE45-744A4A438CCF}"/>
    <cellStyle name="_Книга7_БКЭ 1" xfId="1989" xr:uid="{D09A148F-306E-434B-9BDC-6E8EBCB26246}"/>
    <cellStyle name="_Книга7_БКЭ 1_Копия Растениеводство форма(Акционеры)" xfId="1990" xr:uid="{EF153FC3-0B54-435F-BC99-9E9962945C76}"/>
    <cellStyle name="_Книга7_БКЭ 1_М( ЗАР)" xfId="1991" xr:uid="{E850A5A4-E9A0-4325-AE7E-6CD6C42AE7BA}"/>
    <cellStyle name="_Книга7_БКЭ 1_Модель АгроГард на 5 лет" xfId="1992" xr:uid="{94094D52-9772-4A7B-BA9E-D7619827B778}"/>
    <cellStyle name="_Книга7_БКЭ 1_раст.-факт" xfId="1993" xr:uid="{FBE06CE4-1C22-42C4-8FB2-B0C8A58B588B}"/>
    <cellStyle name="_Книга7_БКЭ 1_Растениеводство форма( АГМ)" xfId="1994" xr:uid="{9EC464DE-116E-4FE9-8279-6C7558DB5E2C}"/>
    <cellStyle name="_Книга7_БКЭ 1_Свод по Агрохоолдингу  (в т.ч КБН  )" xfId="1995" xr:uid="{C41866A2-62EA-4F81-A0F7-FB07C3A22B96}"/>
    <cellStyle name="_Книга7_БКЭ 1_Форма по растениеводству (Акционеры) ИЛЧ" xfId="1996" xr:uid="{C03B40B7-6C95-449D-B32F-050B9875D79C}"/>
    <cellStyle name="_Книга7_БКЭ 2" xfId="1997" xr:uid="{254EB1EF-AF3E-4E5D-BA4E-DEE6190D8A2A}"/>
    <cellStyle name="_Книга7_БКЭ 2_Копия Растениеводство форма(Акционеры)" xfId="1998" xr:uid="{B49CD8B4-2593-4B24-8630-A8EA15042165}"/>
    <cellStyle name="_Книга7_БКЭ 2_М( ЗАР)" xfId="1999" xr:uid="{C22F400A-1C67-431D-AC34-296EEC3E83F2}"/>
    <cellStyle name="_Книга7_БКЭ 2_Модель АгроГард на 5 лет" xfId="2000" xr:uid="{9B7CB290-FDF6-45EE-A17A-1DF9A995097B}"/>
    <cellStyle name="_Книга7_БКЭ 2_раст.-факт" xfId="2001" xr:uid="{905DBAE4-84DE-4025-978B-AF51B62D7040}"/>
    <cellStyle name="_Книга7_БКЭ 2_Растениеводство форма( АГМ)" xfId="2002" xr:uid="{CA9C30F0-9340-4D23-A848-C4302A765332}"/>
    <cellStyle name="_Книга7_БКЭ 2_Свод по Агрохоолдингу  (в т.ч КБН  )" xfId="2003" xr:uid="{3C201473-F54E-4D6D-9A34-5A4DF362105C}"/>
    <cellStyle name="_Книга7_БКЭ 2_Форма по растениеводству (Акционеры) ИЛЧ" xfId="2004" xr:uid="{354FF180-96D6-40FB-8E56-A08C5B45FFE4}"/>
    <cellStyle name="_Книга7_БКЭ 3" xfId="2005" xr:uid="{35DB6212-3E66-4C8C-ACAB-4D350FCCBEDB}"/>
    <cellStyle name="_Книга7_БКЭ 3_Копия Растениеводство форма(Акционеры)" xfId="2006" xr:uid="{8A37D556-1F58-470A-8D32-E166C4BB72A8}"/>
    <cellStyle name="_Книга7_БКЭ 3_М( ЗАР)" xfId="2007" xr:uid="{C83463BE-6A0A-436F-B9ED-1DD9E5466ACC}"/>
    <cellStyle name="_Книга7_БКЭ 3_Модель АгроГард на 5 лет" xfId="2008" xr:uid="{56BC2349-98EA-4B33-98BB-6A6CE7F25BC2}"/>
    <cellStyle name="_Книга7_БКЭ 3_раст.-факт" xfId="2009" xr:uid="{FE99B7FB-44EE-4216-94EC-DFDBABF80CF1}"/>
    <cellStyle name="_Книга7_БКЭ 3_Растениеводство форма( АГМ)" xfId="2010" xr:uid="{163C3E63-DFB7-4A0C-BC1C-15C180AD5D1B}"/>
    <cellStyle name="_Книга7_БКЭ 3_Свод по Агрохоолдингу  (в т.ч КБН  )" xfId="2011" xr:uid="{A87C2A46-1B84-469F-975A-3E323C19F5B8}"/>
    <cellStyle name="_Книга7_БКЭ 3_Форма по растениеводству (Акционеры) ИЛЧ" xfId="2012" xr:uid="{1167CEAB-2DA4-41C6-8F4C-88707E7FEC2E}"/>
    <cellStyle name="_Книга7_БКЭ_АГМ" xfId="2013" xr:uid="{07EEE97F-8C2F-42BF-AD55-0694268A491D}"/>
    <cellStyle name="_Книга7_БКЭ_Копия Растениеводство форма(Акционеры)" xfId="2014" xr:uid="{B48C0A7F-A90A-43F7-A4C6-3EEDE35E0F98}"/>
    <cellStyle name="_Книга7_БКЭ_М( ЗАР)" xfId="2015" xr:uid="{18CBB655-1105-433D-A693-B1CA5CF9C535}"/>
    <cellStyle name="_Книга7_БКЭ_Модель АгроГард на 5 лет" xfId="2016" xr:uid="{F2F552FC-F16E-41B8-B4B3-EA770BFA17AD}"/>
    <cellStyle name="_Книга7_БКЭ_НИК-09" xfId="2017" xr:uid="{E25C8A6E-DDA5-47DD-AD28-3D3CB9CC0437}"/>
    <cellStyle name="_Книга7_БКЭ_раст.-факт" xfId="2018" xr:uid="{4AF261E8-C914-42ED-AB6D-B3164DF1D8B3}"/>
    <cellStyle name="_Книга7_БКЭ_Растениеводство форма( АГМ)" xfId="2019" xr:uid="{11411A82-7858-4C94-AA2F-AC54908444F9}"/>
    <cellStyle name="_Книга7_БКЭ_Свод по Агрохоолдингу  (в т.ч КБН  )" xfId="2020" xr:uid="{747E1C92-DA2F-4782-9D93-C81FB3E0F3F3}"/>
    <cellStyle name="_Книга7_БКЭ_ТК-2011 АГМ+транспорт" xfId="2021" xr:uid="{97185840-855A-4990-BFF9-30EC747D913A}"/>
    <cellStyle name="_Книга7_БКЭ_Форма по растениеводству (Акционеры) ИЛЧ" xfId="2022" xr:uid="{5820C482-91BD-4998-9A43-18A260E23566}"/>
    <cellStyle name="_Книга7_Копия Растениеводство форма(Акционеры)" xfId="2023" xr:uid="{78BD6FF0-7C3D-4286-8598-378BE965039F}"/>
    <cellStyle name="_Книга7_М( ЗАР)" xfId="2024" xr:uid="{0EAA2A17-4114-463E-9F4B-89253E4577E3}"/>
    <cellStyle name="_Книга7_Модель АгроГард на 5 лет" xfId="2025" xr:uid="{6A7BDCF8-7012-45CB-8C9D-EACE45CDBE7F}"/>
    <cellStyle name="_Книга7_НИК-09" xfId="2026" xr:uid="{64BFAA60-24D6-4A20-B415-BF161A502ACC}"/>
    <cellStyle name="_Книга7_раст.-факт" xfId="2027" xr:uid="{2FCB5C12-90E5-41AF-8ECA-D8B3829E5462}"/>
    <cellStyle name="_Книга7_Растениеводство форма( АГМ)" xfId="2028" xr:uid="{F4B74CCC-6949-49DA-B18D-4767C711EA5F}"/>
    <cellStyle name="_Книга7_Свод по Агрохоолдингу  (в т.ч КБН  )" xfId="2029" xr:uid="{D87628FD-56C4-42B3-8E53-A43187B079F8}"/>
    <cellStyle name="_Книга7_ТК-2011 АГМ+транспорт" xfId="2030" xr:uid="{3C74242D-4B55-4829-83E7-FA14C1B3AB1A}"/>
    <cellStyle name="_Книга7_Форма по растениеводству (Акционеры) ИЛЧ" xfId="2031" xr:uid="{D6454661-B916-477F-870E-3909599B7098}"/>
    <cellStyle name="0,00;0;" xfId="2032" xr:uid="{36623FA7-AA32-4612-8AD2-8F6F424477EC}"/>
    <cellStyle name="0,00;0; 1" xfId="2033" xr:uid="{2EBAA1D6-8699-4BD1-8ACF-81A10501BCFD}"/>
    <cellStyle name="0,00;0; 2" xfId="2034" xr:uid="{94E99A3E-4F83-4516-B7B3-7EE8F926A4DF}"/>
    <cellStyle name="0,00;0; 3" xfId="2035" xr:uid="{D10316D7-58B1-4227-AB68-3C554326788B}"/>
    <cellStyle name="0,00;0;_АГМ" xfId="2036" xr:uid="{00F54DBA-0CF5-40C7-B509-368D2FC49AFF}"/>
    <cellStyle name="1Normal" xfId="2037" xr:uid="{897769AA-7FDC-44D0-B23B-F47FFF61F5DF}"/>
    <cellStyle name="1Normal 1" xfId="2038" xr:uid="{14E54888-3FE5-46CE-BEC4-C82990B243EE}"/>
    <cellStyle name="1Normal 1 2" xfId="2556" xr:uid="{202E913C-9694-4533-907D-5AE0BA146AFE}"/>
    <cellStyle name="1Normal 2" xfId="2039" xr:uid="{62FC2EF6-2331-44DA-A8E3-FE7F134C1B65}"/>
    <cellStyle name="1Normal 2 2" xfId="2557" xr:uid="{3CBF5DFC-2C32-4D16-B689-01A2D5534886}"/>
    <cellStyle name="1Normal 3" xfId="2040" xr:uid="{05AD4CB8-8D8F-4855-A411-805F102B2B88}"/>
    <cellStyle name="1Normal 3 2" xfId="2558" xr:uid="{515E9BBB-CA6D-49B8-B328-B2180866A358}"/>
    <cellStyle name="1Normal_АГМ" xfId="2041" xr:uid="{4CF0693D-0908-4039-A784-7A3B671CC07C}"/>
    <cellStyle name="20% - Accent1" xfId="2042" xr:uid="{72048A5B-AE76-4EC3-B6D6-1368A37F0B1F}"/>
    <cellStyle name="20% - Accent1 2" xfId="2559" xr:uid="{9AFA46FE-C3EC-4812-AA76-B45C74402E88}"/>
    <cellStyle name="20% - Accent2" xfId="2043" xr:uid="{CA8368E6-430C-4062-941D-6784C7ACDAFF}"/>
    <cellStyle name="20% - Accent2 2" xfId="2560" xr:uid="{98975B32-1AAD-4A5A-8319-E10F4B054053}"/>
    <cellStyle name="20% - Accent3" xfId="2044" xr:uid="{62ABBBBD-0076-4A09-B2FB-86A384E454AD}"/>
    <cellStyle name="20% - Accent3 2" xfId="2561" xr:uid="{F553C316-2BBB-4898-A8D9-B0C47021816D}"/>
    <cellStyle name="20% - Accent4" xfId="2045" xr:uid="{E8F661F9-A3C9-436D-8519-880AAD1E0349}"/>
    <cellStyle name="20% - Accent4 2" xfId="2562" xr:uid="{54F49F24-0760-4236-83E2-04EBB08FD8D2}"/>
    <cellStyle name="20% - Accent5" xfId="2046" xr:uid="{A88393C7-4F39-4254-9D15-263CCD555776}"/>
    <cellStyle name="20% - Accent5 2" xfId="2563" xr:uid="{671EB342-E6AA-42E2-BE9D-D23F6D9E9FBA}"/>
    <cellStyle name="20% - Accent6" xfId="2047" xr:uid="{83D8D89A-CB16-4F8E-8934-E82D0915B8D9}"/>
    <cellStyle name="20% - Accent6 2" xfId="2564" xr:uid="{3BD25387-8E76-49A5-8A75-7DD3E3710C93}"/>
    <cellStyle name="20% - Акцент1 1" xfId="2048" xr:uid="{1F320AB3-4DB9-4669-9F4D-FF9734F969D5}"/>
    <cellStyle name="20% - Акцент1 1 2" xfId="2565" xr:uid="{07F55AA5-5E39-4973-BD7A-70AAFD034888}"/>
    <cellStyle name="20% - Акцент1 2" xfId="2049" xr:uid="{31F49070-CBBC-4D09-BB2E-2B8ECD1D6737}"/>
    <cellStyle name="20% - Акцент1 2 2" xfId="2566" xr:uid="{BAFCB22F-7CB5-4B5A-ABD8-D394EC368D91}"/>
    <cellStyle name="20% - Акцент1 3" xfId="2050" xr:uid="{375A7AC4-22EF-4EA5-96F5-6C5D17C70A89}"/>
    <cellStyle name="20% - Акцент1 3 2" xfId="2567" xr:uid="{8220CF7B-FD76-45F1-B6E2-FD4F06E3D4C6}"/>
    <cellStyle name="20% - Акцент1 4" xfId="2051" xr:uid="{D0C1133E-5CBD-4D50-B472-7C49C7E3F4B7}"/>
    <cellStyle name="20% - Акцент1 4 2" xfId="2568" xr:uid="{E17D6D65-BFB1-4541-8A80-7539ADB28700}"/>
    <cellStyle name="20% - Акцент2 1" xfId="2052" xr:uid="{9C23D43D-2D1A-4B6D-BD5D-528C47ACFCB8}"/>
    <cellStyle name="20% - Акцент2 1 2" xfId="2569" xr:uid="{20C64E23-5804-4308-8B2A-994EBD5372C6}"/>
    <cellStyle name="20% - Акцент2 2" xfId="2053" xr:uid="{04E9665F-52BF-47D3-A0B4-AC5DDF5B62FC}"/>
    <cellStyle name="20% - Акцент2 2 2" xfId="2570" xr:uid="{6F57DD9B-C487-4C12-A542-A646D288C360}"/>
    <cellStyle name="20% - Акцент2 3" xfId="2054" xr:uid="{778871E3-473D-427B-AA6F-2E49D8D9EF32}"/>
    <cellStyle name="20% - Акцент2 3 2" xfId="2571" xr:uid="{48156B09-4F17-4E8E-8BE5-2CA07CADD9EA}"/>
    <cellStyle name="20% - Акцент2 4" xfId="2055" xr:uid="{A163A19C-E5BD-4C8C-A335-D35D35AB1E38}"/>
    <cellStyle name="20% - Акцент2 4 2" xfId="2572" xr:uid="{D33DB5F2-9A15-4029-BC60-3DC317DC303C}"/>
    <cellStyle name="20% - Акцент3 1" xfId="2056" xr:uid="{A12DAF9D-1E9C-4270-B8D9-F92783ACDBFC}"/>
    <cellStyle name="20% - Акцент3 1 2" xfId="2573" xr:uid="{7D0A7F72-B117-4BFF-A4E4-302D55150A46}"/>
    <cellStyle name="20% - Акцент3 2" xfId="2057" xr:uid="{A9C9B12A-C242-4CA1-900D-804A5A84F08D}"/>
    <cellStyle name="20% - Акцент3 2 2" xfId="2574" xr:uid="{0E6A4ED0-6215-4F97-A5F1-1F002C20FA36}"/>
    <cellStyle name="20% - Акцент3 3" xfId="2058" xr:uid="{CB4E9289-4856-4CB8-AEB7-2F97F02247F8}"/>
    <cellStyle name="20% - Акцент3 3 2" xfId="2575" xr:uid="{D2365F60-CA4E-4919-8EBA-38018B383AC3}"/>
    <cellStyle name="20% - Акцент3 4" xfId="2059" xr:uid="{2A056429-E782-4FBB-BB55-246711E06E0D}"/>
    <cellStyle name="20% - Акцент3 4 2" xfId="2576" xr:uid="{50D4ADE9-614C-498F-9727-11AADE2A2E97}"/>
    <cellStyle name="20% - Акцент4 1" xfId="2060" xr:uid="{19AC2A89-3AE7-4F9F-8A4C-C08910DFE9EA}"/>
    <cellStyle name="20% - Акцент4 1 2" xfId="2577" xr:uid="{1647EB78-5C7E-458C-AEDA-1E4E0736C9C6}"/>
    <cellStyle name="20% - Акцент4 2" xfId="2061" xr:uid="{372EFFB1-2E1F-41BA-9784-02C95BE3938C}"/>
    <cellStyle name="20% - Акцент4 2 2" xfId="2578" xr:uid="{F96582B7-BE3E-4B53-A547-C752857D5FCB}"/>
    <cellStyle name="20% - Акцент4 3" xfId="2062" xr:uid="{DEE08D8E-C78D-4E8D-9FF3-1E3669401EEF}"/>
    <cellStyle name="20% - Акцент4 3 2" xfId="2579" xr:uid="{59270979-CFFD-4720-BA74-67D09B76BEE2}"/>
    <cellStyle name="20% - Акцент4 4" xfId="2063" xr:uid="{92B8D0A9-68E9-4DFC-8E73-3845C9D095B3}"/>
    <cellStyle name="20% - Акцент4 4 2" xfId="2580" xr:uid="{23495120-F718-4275-A2EF-19F79AD5F99A}"/>
    <cellStyle name="20% - Акцент5 1" xfId="2064" xr:uid="{AE7AE426-1193-429E-91AA-96CC6B548C7B}"/>
    <cellStyle name="20% - Акцент5 1 2" xfId="2581" xr:uid="{56684754-F3ED-4A63-94AF-6EA695F8E66C}"/>
    <cellStyle name="20% - Акцент5 2" xfId="2065" xr:uid="{FE714F30-0AC3-4D79-8B5D-C347A558A05E}"/>
    <cellStyle name="20% - Акцент5 2 2" xfId="2582" xr:uid="{C0C6211B-AA2A-4FDE-A3F3-40592A92C8A4}"/>
    <cellStyle name="20% - Акцент5 3" xfId="2066" xr:uid="{A3EB8838-DDB9-4599-A99C-6D042DE17073}"/>
    <cellStyle name="20% - Акцент5 3 2" xfId="2583" xr:uid="{5D1A71DF-5940-4D96-B1F1-5213A36638B1}"/>
    <cellStyle name="20% - Акцент5 4" xfId="2067" xr:uid="{5F72E707-696D-4647-8869-542A9EF68642}"/>
    <cellStyle name="20% - Акцент5 4 2" xfId="2584" xr:uid="{B5129156-35F1-4DF5-8A8D-B2ACAF86A829}"/>
    <cellStyle name="20% - Акцент6 1" xfId="2068" xr:uid="{9076D9DB-43E5-44CC-B5D7-51717733A57A}"/>
    <cellStyle name="20% - Акцент6 1 2" xfId="2585" xr:uid="{9D59163F-3755-4B7C-80AB-20BCBFB48857}"/>
    <cellStyle name="20% - Акцент6 2" xfId="2069" xr:uid="{1E85601B-E0FA-4A84-ADEE-7776A3222D5A}"/>
    <cellStyle name="20% - Акцент6 2 2" xfId="2586" xr:uid="{8067A26B-DC3D-492E-BEB3-3091D168544A}"/>
    <cellStyle name="20% - Акцент6 3" xfId="2070" xr:uid="{6CA4481F-F552-441D-832D-F85EE26D53D5}"/>
    <cellStyle name="20% - Акцент6 3 2" xfId="2587" xr:uid="{FAEFDB1F-F63A-4D94-892B-271CD925261A}"/>
    <cellStyle name="20% - Акцент6 4" xfId="2071" xr:uid="{07257A10-D92D-4140-9F78-68E1D4B8365B}"/>
    <cellStyle name="20% - Акцент6 4 2" xfId="2588" xr:uid="{1A0082DC-B52A-4528-9A35-3BD200EEAA26}"/>
    <cellStyle name="40% - Accent1" xfId="2072" xr:uid="{FC53EB64-CFA3-47E3-B42C-4015B17E36CC}"/>
    <cellStyle name="40% - Accent1 2" xfId="2589" xr:uid="{BE9675C2-3211-4C3C-A9DF-73FA2852ED42}"/>
    <cellStyle name="40% - Accent2" xfId="2073" xr:uid="{D60E8E8B-4A0A-4BC2-973A-4387A539C574}"/>
    <cellStyle name="40% - Accent2 2" xfId="2590" xr:uid="{342B9425-D48E-42CB-98D0-032C9B92FD7A}"/>
    <cellStyle name="40% - Accent3" xfId="2074" xr:uid="{A255BB7E-BF2F-4182-9A7B-E4A35E335693}"/>
    <cellStyle name="40% - Accent3 2" xfId="2591" xr:uid="{91DFD2A3-DEE0-407B-A981-E668E8BA221D}"/>
    <cellStyle name="40% - Accent4" xfId="2075" xr:uid="{FC8FBC0A-C62C-4F1D-98A1-8B19736AD0B3}"/>
    <cellStyle name="40% - Accent4 2" xfId="2592" xr:uid="{24934A55-22D4-456F-8E3B-71090FC363E2}"/>
    <cellStyle name="40% - Accent5" xfId="2076" xr:uid="{FE44D751-9F7B-478A-8B5B-DD38E6CF4058}"/>
    <cellStyle name="40% - Accent5 2" xfId="2593" xr:uid="{343365B5-A757-47E0-BDB4-FA34370934B8}"/>
    <cellStyle name="40% - Accent6" xfId="2077" xr:uid="{FE6EA26C-9000-409A-821C-47A5CD0AC7D5}"/>
    <cellStyle name="40% - Accent6 2" xfId="2594" xr:uid="{CFD7F6B7-5478-47E1-B3E3-E1C3676904EA}"/>
    <cellStyle name="40% - Акцент1 1" xfId="2078" xr:uid="{FA562335-4455-449E-AE41-3F7378A038AA}"/>
    <cellStyle name="40% - Акцент1 1 2" xfId="2595" xr:uid="{DB891462-39CF-45D6-89FB-BCBD8B34699F}"/>
    <cellStyle name="40% - Акцент1 2" xfId="2079" xr:uid="{B29773CB-B44D-4EE9-90AF-99E3BB7523A3}"/>
    <cellStyle name="40% - Акцент1 2 2" xfId="2596" xr:uid="{90FDA4C5-DE94-45B7-94F7-DFD5E16910FE}"/>
    <cellStyle name="40% - Акцент1 3" xfId="2080" xr:uid="{8B556F17-8174-43BB-AFBC-66C0FF6F39C2}"/>
    <cellStyle name="40% - Акцент1 3 2" xfId="2597" xr:uid="{AD8C3F73-3DCC-4137-9293-6AC31B2FC59D}"/>
    <cellStyle name="40% - Акцент1 4" xfId="2081" xr:uid="{C86D3B2F-EEAF-4FF3-B28C-CC7FD313A9F6}"/>
    <cellStyle name="40% - Акцент1 4 2" xfId="2598" xr:uid="{C1AAB0F7-1278-4850-B0AE-93879FDC3589}"/>
    <cellStyle name="40% - Акцент2 1" xfId="2082" xr:uid="{9C955704-4210-41F5-848A-D0E58F6B2C8E}"/>
    <cellStyle name="40% - Акцент2 1 2" xfId="2599" xr:uid="{37C6641C-FC08-4093-AEF8-82306621908E}"/>
    <cellStyle name="40% - Акцент2 2" xfId="2083" xr:uid="{13129AA9-785B-40CE-BCD7-A1039628B5F4}"/>
    <cellStyle name="40% - Акцент2 2 2" xfId="2600" xr:uid="{B8F5B558-D802-4369-A1EC-9AFB677F4248}"/>
    <cellStyle name="40% - Акцент2 3" xfId="2084" xr:uid="{943762D8-B1D0-420C-834A-8455147415AD}"/>
    <cellStyle name="40% - Акцент2 3 2" xfId="2601" xr:uid="{2CCC97E7-6C96-4D88-9A16-6AF5CB686AB0}"/>
    <cellStyle name="40% - Акцент2 4" xfId="2085" xr:uid="{C8CE0855-CE41-41EE-8CC6-6B8251A211E5}"/>
    <cellStyle name="40% - Акцент2 4 2" xfId="2602" xr:uid="{B46CCF3E-5ED3-4BD4-8609-7C741B4E1341}"/>
    <cellStyle name="40% - Акцент3 1" xfId="2086" xr:uid="{FD393320-85AB-479D-830A-67D810E6FB07}"/>
    <cellStyle name="40% - Акцент3 1 2" xfId="2603" xr:uid="{861BAB9B-57A4-49AF-8E5E-2DA8E0E70218}"/>
    <cellStyle name="40% - Акцент3 2" xfId="2087" xr:uid="{E8968868-39F5-4E60-8ECD-05F5130A4BE3}"/>
    <cellStyle name="40% - Акцент3 2 2" xfId="2604" xr:uid="{1ED0DDF3-1969-4818-BE8C-803774275915}"/>
    <cellStyle name="40% - Акцент3 3" xfId="2088" xr:uid="{BB79BAFD-C164-403D-940D-2ADAFF839CF4}"/>
    <cellStyle name="40% - Акцент3 3 2" xfId="2605" xr:uid="{182831E5-4BC0-4085-9D48-3FC57400362C}"/>
    <cellStyle name="40% - Акцент3 4" xfId="2089" xr:uid="{FE40293E-BA28-418D-9EF6-8E234197A53D}"/>
    <cellStyle name="40% - Акцент3 4 2" xfId="2606" xr:uid="{653E0C3C-E896-4DC5-AB7C-43CA5EACEACC}"/>
    <cellStyle name="40% - Акцент4 1" xfId="2090" xr:uid="{BC85AD56-D26E-4583-939F-F9117E5603F9}"/>
    <cellStyle name="40% - Акцент4 1 2" xfId="2607" xr:uid="{99F65779-BBFF-4C1D-9704-36A1ABD21BB5}"/>
    <cellStyle name="40% - Акцент4 2" xfId="2091" xr:uid="{0DF02183-8FA3-438C-B5EA-D9FE8B4B475A}"/>
    <cellStyle name="40% - Акцент4 2 2" xfId="2608" xr:uid="{9E6D6AA2-AEE2-46A8-8DBF-E1692DC9FCB3}"/>
    <cellStyle name="40% - Акцент4 3" xfId="2092" xr:uid="{0867D753-3EF6-4909-B05D-31ECC2C478C8}"/>
    <cellStyle name="40% - Акцент4 3 2" xfId="2609" xr:uid="{AEFC2983-9DA2-4DE2-BA6B-4D8DC9EAA3C1}"/>
    <cellStyle name="40% - Акцент4 4" xfId="2093" xr:uid="{B3804067-2ADE-4B05-9F6E-4DBD1D920D50}"/>
    <cellStyle name="40% - Акцент4 4 2" xfId="2610" xr:uid="{640CFBE5-E286-4F3F-9081-B1AF4B5F00FE}"/>
    <cellStyle name="40% - Акцент5 1" xfId="2094" xr:uid="{7D101B74-CCE5-48A1-A14A-FB3DB35E6814}"/>
    <cellStyle name="40% - Акцент5 1 2" xfId="2611" xr:uid="{AD66FAEF-ECB3-4357-BB97-82B0FC8750F9}"/>
    <cellStyle name="40% - Акцент5 2" xfId="2095" xr:uid="{A1634EB7-6631-4126-9651-550E8B3F1768}"/>
    <cellStyle name="40% - Акцент5 2 2" xfId="2612" xr:uid="{B4AAB662-2A97-47BE-A87B-5740FA61C135}"/>
    <cellStyle name="40% - Акцент5 3" xfId="2096" xr:uid="{3EA5FFEF-9958-424B-8C2E-263E43A47DDB}"/>
    <cellStyle name="40% - Акцент5 3 2" xfId="2613" xr:uid="{C1A79FBB-7DE7-4F5C-ABE7-DAF5A4C0F0B9}"/>
    <cellStyle name="40% - Акцент5 4" xfId="2097" xr:uid="{465CD7D4-FA68-4AA3-8876-26F8C7F33B64}"/>
    <cellStyle name="40% - Акцент5 4 2" xfId="2614" xr:uid="{64D43D9A-B0A5-4BE8-88BD-1064BBEB0ED3}"/>
    <cellStyle name="40% - Акцент6 1" xfId="2098" xr:uid="{BBD7D744-A229-4636-B314-9A75AB18A52A}"/>
    <cellStyle name="40% - Акцент6 1 2" xfId="2615" xr:uid="{2E568621-B377-4283-BC1B-CF2547D7CF11}"/>
    <cellStyle name="40% - Акцент6 2" xfId="2099" xr:uid="{E9F853E0-FF2F-4B3B-A3D8-8C43ECE7200D}"/>
    <cellStyle name="40% - Акцент6 2 2" xfId="2616" xr:uid="{644DE4D6-8CBA-430A-B592-0BF5DC16385A}"/>
    <cellStyle name="40% - Акцент6 3" xfId="2100" xr:uid="{0A18E265-AC82-468F-91E7-0085D8CD75CB}"/>
    <cellStyle name="40% - Акцент6 3 2" xfId="2617" xr:uid="{59765B11-F492-4FD8-BD13-7F4A77F65CB6}"/>
    <cellStyle name="40% - Акцент6 4" xfId="2101" xr:uid="{A0875147-745A-4EBA-9E7F-E45B67F4B925}"/>
    <cellStyle name="40% - Акцент6 4 2" xfId="2618" xr:uid="{45C892BE-A40E-492F-84B4-A65DCBB41ABE}"/>
    <cellStyle name="60% - Accent1" xfId="2102" xr:uid="{903920F0-4931-42E9-A813-45F66BC549C3}"/>
    <cellStyle name="60% - Accent1 2" xfId="2619" xr:uid="{017232DD-C372-46AA-B690-85B332236D3B}"/>
    <cellStyle name="60% - Accent2" xfId="2103" xr:uid="{170FF961-03CE-4C80-9F8E-019EFA90BDA2}"/>
    <cellStyle name="60% - Accent2 2" xfId="2620" xr:uid="{953588F2-E01E-4EA7-AD99-1F792E25CB16}"/>
    <cellStyle name="60% - Accent3" xfId="2104" xr:uid="{340F62B3-AE47-4542-ABC2-9C5A49279712}"/>
    <cellStyle name="60% - Accent3 2" xfId="2621" xr:uid="{D77F35DD-5244-45AF-AC3D-824CC2D8D457}"/>
    <cellStyle name="60% - Accent4" xfId="2105" xr:uid="{99BD3BBE-C4A9-4398-BCD6-8E04DA9B5BAB}"/>
    <cellStyle name="60% - Accent4 2" xfId="2622" xr:uid="{65A83538-F195-41A1-B591-AF50C04BDE3B}"/>
    <cellStyle name="60% - Accent5" xfId="2106" xr:uid="{63A3270F-BD81-4833-8708-42FDB8008CBB}"/>
    <cellStyle name="60% - Accent5 2" xfId="2623" xr:uid="{DC6BD155-6B8D-4E8E-833F-CD2C000DDB3D}"/>
    <cellStyle name="60% - Accent6" xfId="2107" xr:uid="{9A1EAC2D-DABE-45F0-9188-0B9E8BF78972}"/>
    <cellStyle name="60% - Accent6 2" xfId="2624" xr:uid="{D07A5EDE-4FE3-46AD-8156-98A4CDB30CF1}"/>
    <cellStyle name="60% - Акцент1 1" xfId="2108" xr:uid="{ED5ACE4B-6927-4BAA-945D-40F64DF4E981}"/>
    <cellStyle name="60% - Акцент1 1 2" xfId="2625" xr:uid="{7F42D0C2-B063-407A-9F36-AF90B72409B1}"/>
    <cellStyle name="60% - Акцент1 2" xfId="2109" xr:uid="{9F993EA1-06D8-4C98-8F65-D14B1141C87E}"/>
    <cellStyle name="60% - Акцент1 2 2" xfId="2626" xr:uid="{5A1CAED1-A3BC-45F8-9FB9-9E93CDBE47D6}"/>
    <cellStyle name="60% - Акцент1 3" xfId="2110" xr:uid="{CBF8DF60-586A-4BF3-A5DF-8470BC1F3D6D}"/>
    <cellStyle name="60% - Акцент1 3 2" xfId="2627" xr:uid="{4477729B-D752-4F5B-BB72-525584F19C43}"/>
    <cellStyle name="60% - Акцент1 4" xfId="2111" xr:uid="{66994DDE-7BD6-45FA-A8EF-605DDC17070F}"/>
    <cellStyle name="60% - Акцент1 4 2" xfId="2628" xr:uid="{2CA36EFA-51B1-476F-913B-6D6086C3DD07}"/>
    <cellStyle name="60% - Акцент2 1" xfId="2112" xr:uid="{971302C3-F9C5-4305-B4A7-0DA8C1BFFECC}"/>
    <cellStyle name="60% - Акцент2 1 2" xfId="2629" xr:uid="{1AAD66C1-E813-4628-A7F1-811C2237073B}"/>
    <cellStyle name="60% - Акцент2 2" xfId="2113" xr:uid="{1EE95EBC-F066-4238-BCCB-C217309116C9}"/>
    <cellStyle name="60% - Акцент2 2 2" xfId="2630" xr:uid="{C8676194-B061-4495-8F51-4E84C3B3FE1F}"/>
    <cellStyle name="60% - Акцент2 3" xfId="2114" xr:uid="{59E0F141-86FA-428F-B7D8-481F44346E7B}"/>
    <cellStyle name="60% - Акцент2 3 2" xfId="2631" xr:uid="{4EA8239E-F7B9-4CAC-B86D-0D1FDEAD1563}"/>
    <cellStyle name="60% - Акцент2 4" xfId="2115" xr:uid="{A9E447CB-A0BA-428A-8127-CE325E899980}"/>
    <cellStyle name="60% - Акцент2 4 2" xfId="2632" xr:uid="{C97CCAA1-1909-4A34-86B0-CF5B240CA00B}"/>
    <cellStyle name="60% - Акцент3 1" xfId="2116" xr:uid="{8EAD50E5-B84C-473F-BD00-E6368815D845}"/>
    <cellStyle name="60% - Акцент3 1 2" xfId="2633" xr:uid="{290B73BE-FDFF-489C-B252-CCCE3A5BC35C}"/>
    <cellStyle name="60% - Акцент3 2" xfId="2117" xr:uid="{4D9F375B-179E-44FB-BA90-2939C912A921}"/>
    <cellStyle name="60% - Акцент3 2 2" xfId="2634" xr:uid="{24A82B49-33CF-49F2-A739-DAF38ED2D22A}"/>
    <cellStyle name="60% - Акцент3 3" xfId="2118" xr:uid="{A1727301-57B6-4022-9CDA-483A6C03B9C3}"/>
    <cellStyle name="60% - Акцент3 3 2" xfId="2635" xr:uid="{DD08260A-7EED-4826-8335-A42D369CA989}"/>
    <cellStyle name="60% - Акцент3 4" xfId="2119" xr:uid="{B5F56B94-0D01-4422-919E-34BD98FCE6A0}"/>
    <cellStyle name="60% - Акцент3 4 2" xfId="2636" xr:uid="{53F51DBA-8457-48DE-96A7-00980C2D01D9}"/>
    <cellStyle name="60% - Акцент4 1" xfId="2120" xr:uid="{38B7DCF1-BBBD-493D-A8E6-45F91269AE78}"/>
    <cellStyle name="60% - Акцент4 1 2" xfId="2637" xr:uid="{5004FAB0-CF1D-4534-9124-450C8D452F9A}"/>
    <cellStyle name="60% - Акцент4 2" xfId="2121" xr:uid="{9CA3EC7C-1F28-400B-8948-5DFDAA85A955}"/>
    <cellStyle name="60% - Акцент4 2 2" xfId="2638" xr:uid="{DCB5836B-15EA-4A14-9CD5-C61238CB3D57}"/>
    <cellStyle name="60% - Акцент4 3" xfId="2122" xr:uid="{89FD92F9-09BE-4E52-B862-15175050CBEA}"/>
    <cellStyle name="60% - Акцент4 3 2" xfId="2639" xr:uid="{87A6BD7A-0564-4830-87C8-8D20375DE4DA}"/>
    <cellStyle name="60% - Акцент4 4" xfId="2123" xr:uid="{5417695C-79DE-4232-B593-4298523B6B1D}"/>
    <cellStyle name="60% - Акцент4 4 2" xfId="2640" xr:uid="{A374C476-67FD-4BE5-B56D-4618EAE2D042}"/>
    <cellStyle name="60% - Акцент5 1" xfId="2124" xr:uid="{FA02D9A4-5596-4E13-8AE0-97138662684A}"/>
    <cellStyle name="60% - Акцент5 1 2" xfId="2641" xr:uid="{A0FAF317-9B0E-48F2-8CDB-D2054BC1CD5C}"/>
    <cellStyle name="60% - Акцент5 2" xfId="2125" xr:uid="{2BE3E88F-6A31-425E-98FE-EA950BCB7980}"/>
    <cellStyle name="60% - Акцент5 2 2" xfId="2642" xr:uid="{C90C7EDB-5DFA-4EF1-8B80-DEDF2246AFD8}"/>
    <cellStyle name="60% - Акцент5 3" xfId="2126" xr:uid="{0D70069D-6508-4952-905D-AEAEB165F13B}"/>
    <cellStyle name="60% - Акцент5 3 2" xfId="2643" xr:uid="{7B9D5C4D-46F3-4E19-AE3B-FF210D99F11C}"/>
    <cellStyle name="60% - Акцент5 4" xfId="2127" xr:uid="{057FBA4F-9659-4040-A2C4-0C8115FDD126}"/>
    <cellStyle name="60% - Акцент5 4 2" xfId="2644" xr:uid="{77EAAB46-3E76-4E6D-ABA5-BA52AB7DF361}"/>
    <cellStyle name="60% - Акцент6 1" xfId="2128" xr:uid="{245379BC-EEA3-4B34-A294-FF6A9EB2B2D9}"/>
    <cellStyle name="60% - Акцент6 1 2" xfId="2645" xr:uid="{F4059882-7130-4CE0-A1FF-34735C944A3A}"/>
    <cellStyle name="60% - Акцент6 2" xfId="2129" xr:uid="{E49B2407-B039-4D6C-9612-9AC8418027AC}"/>
    <cellStyle name="60% - Акцент6 2 2" xfId="2646" xr:uid="{FE5EAB75-BC50-4336-8631-8C130ABCE161}"/>
    <cellStyle name="60% - Акцент6 3" xfId="2130" xr:uid="{5DB852ED-BF05-4FDB-991F-A58E0F8EA78F}"/>
    <cellStyle name="60% - Акцент6 3 2" xfId="2647" xr:uid="{C7BFB030-F892-4AC1-B46B-C9333699C7F6}"/>
    <cellStyle name="60% - Акцент6 4" xfId="2131" xr:uid="{317C98DF-9907-4A28-86D0-58251A9FF064}"/>
    <cellStyle name="60% - Акцент6 4 2" xfId="2648" xr:uid="{38BFB1CB-2A13-4582-855D-FF7F18DCCA14}"/>
    <cellStyle name="Accent1" xfId="2132" xr:uid="{C2A10E1C-BC84-4A43-B582-907764D45AA1}"/>
    <cellStyle name="Accent1 2" xfId="2649" xr:uid="{FAB7E4EA-2B20-47DB-879B-9271A0FA7912}"/>
    <cellStyle name="Accent2" xfId="2133" xr:uid="{C28C8948-7589-425F-BA52-0C6282CC9E96}"/>
    <cellStyle name="Accent2 2" xfId="2650" xr:uid="{2767AE1C-ED79-476D-8098-2224248C5C96}"/>
    <cellStyle name="Accent3" xfId="2134" xr:uid="{B6D989F0-13B2-4A0B-997A-F40A266735E7}"/>
    <cellStyle name="Accent3 2" xfId="2651" xr:uid="{8E58881A-133E-4BA5-96DA-4F9147DAB2EA}"/>
    <cellStyle name="Accent4" xfId="2135" xr:uid="{D6D21607-27AB-49C1-8B9C-705FB91FC33D}"/>
    <cellStyle name="Accent4 2" xfId="2652" xr:uid="{12415616-64B1-4773-8E50-FD3E4A145469}"/>
    <cellStyle name="Accent5" xfId="2136" xr:uid="{B7D84EE4-B7A2-48B8-8720-924D5A49872F}"/>
    <cellStyle name="Accent5 2" xfId="2653" xr:uid="{1BD77A74-856B-4C4B-ABE4-C944C1A5E54B}"/>
    <cellStyle name="Accent6" xfId="2137" xr:uid="{A08E5213-48CF-4149-BE36-B7A72C5D9470}"/>
    <cellStyle name="Accent6 2" xfId="2654" xr:uid="{7F3D4C12-E5A5-4C9C-A9C8-81D2C014B628}"/>
    <cellStyle name="Aeia?nnueea" xfId="2138" xr:uid="{A9CBDE23-EC59-43E0-987F-015845C808E5}"/>
    <cellStyle name="Aeia?nnueea 1" xfId="2139" xr:uid="{E4A98B36-5CA0-439C-A4A5-E1A8BAEBE9B2}"/>
    <cellStyle name="Aeia?nnueea 1 2" xfId="2656" xr:uid="{FDB9A14C-E01C-4B26-A337-13280759E249}"/>
    <cellStyle name="Aeia?nnueea 2" xfId="2140" xr:uid="{3796D18F-EAD4-4D94-B0D0-54DAAFBBD82F}"/>
    <cellStyle name="Aeia?nnueea 2 2" xfId="2657" xr:uid="{AE11ED4C-DDE5-43DA-862B-89FDD951AC1D}"/>
    <cellStyle name="Aeia?nnueea 3" xfId="2141" xr:uid="{BEC73229-2F54-4D45-9E69-5DB328F6EA05}"/>
    <cellStyle name="Aeia?nnueea 3 2" xfId="2658" xr:uid="{EBD55929-3C4C-4B9A-94E3-18B4E4FE48A6}"/>
    <cellStyle name="Aeia?nnueea 4" xfId="2655" xr:uid="{B2663081-E3FC-4A72-885B-CA4ABD3379EB}"/>
    <cellStyle name="Aeia?nnueea_АГМ" xfId="2142" xr:uid="{1BE7B73F-348E-4349-B786-326942CBAE9F}"/>
    <cellStyle name="Bad" xfId="2143" xr:uid="{90345579-635E-4482-9DDA-C79CD90CE6FB}"/>
    <cellStyle name="Balance" xfId="2144" xr:uid="{BFD5AF72-B127-4221-A635-9962B9AE1862}"/>
    <cellStyle name="Balance 1" xfId="2145" xr:uid="{0C1679FA-0DE9-4C2D-B9A4-578E8EEA7860}"/>
    <cellStyle name="Balance 2" xfId="2146" xr:uid="{AE0C02EF-B7DF-445E-8AFE-537606FB64DB}"/>
    <cellStyle name="Balance 2 2" xfId="2659" xr:uid="{E4C1F5EE-B9F6-45B3-A550-7284DDDC44CC}"/>
    <cellStyle name="Balance 3" xfId="2147" xr:uid="{FDC878B6-4C58-4AA7-A979-B0A1F41E041F}"/>
    <cellStyle name="Balance_АГМ" xfId="2148" xr:uid="{7E59770B-8FE6-4C00-A4AD-2A0B7C5A6109}"/>
    <cellStyle name="BalanceBold" xfId="2149" xr:uid="{1A55F36A-7D5C-480B-A61A-EA61FD72AF03}"/>
    <cellStyle name="BalanceBold 1" xfId="2150" xr:uid="{6AE0DB2C-B32D-455C-B430-00A0912B8E53}"/>
    <cellStyle name="BalanceBold 1 2" xfId="2661" xr:uid="{A171C69F-54F1-486F-B46A-CCAE88DDCF2A}"/>
    <cellStyle name="BalanceBold 2" xfId="2151" xr:uid="{FF6CCEA2-8BCB-48B3-8514-032DEEB237CC}"/>
    <cellStyle name="BalanceBold 2 2" xfId="2662" xr:uid="{2EB8F0F2-9DCA-4CA7-9CF2-C07FB8C76DEE}"/>
    <cellStyle name="BalanceBold 3" xfId="2152" xr:uid="{136C6228-C5C3-4D1A-8AE3-F27AF11411E1}"/>
    <cellStyle name="BalanceBold 3 2" xfId="2663" xr:uid="{38EFB791-E5A0-4AEE-B623-9F0C5F1437DD}"/>
    <cellStyle name="BalanceBold 4" xfId="2660" xr:uid="{84193B4F-817C-4E62-8609-84C455D2872D}"/>
    <cellStyle name="BalanceBold_АГМ" xfId="2153" xr:uid="{1AD36427-F171-4B44-82BE-3BCE20534881}"/>
    <cellStyle name="Calc Currency (0)" xfId="2154" xr:uid="{CFCBCD1B-E897-4CF6-841C-879A46F0BC0B}"/>
    <cellStyle name="Calc Currency (0) 1" xfId="2155" xr:uid="{0FDFA761-5D5C-44D0-B0C7-4F5BAD04E2C9}"/>
    <cellStyle name="Calc Currency (0) 2" xfId="2156" xr:uid="{AB75F7D5-2F56-4B1D-823F-EE07A92AE926}"/>
    <cellStyle name="Calc Currency (0) 3" xfId="2157" xr:uid="{7D636BB3-BAA6-4213-AB3D-0AF0888192DC}"/>
    <cellStyle name="Calc Currency (0)_АГМ" xfId="2158" xr:uid="{AE83B115-08BA-4A27-8FF3-6612E518E2C2}"/>
    <cellStyle name="Calculation" xfId="2159" xr:uid="{8F7CA87C-0BDC-4999-9BC9-5C024F33E9BD}"/>
    <cellStyle name="Calculation 2" xfId="2664" xr:uid="{DC519B42-5153-4913-ABC7-3E18CFA78F48}"/>
    <cellStyle name="Calculation 2 2" xfId="2800" xr:uid="{BEF0FB76-6745-4E30-9222-DBC2C54BCA15}"/>
    <cellStyle name="Check Cell" xfId="2160" xr:uid="{794EA82D-5602-490F-A623-337FBF3C61F8}"/>
    <cellStyle name="Comma [0]_0_Cash" xfId="2161" xr:uid="{C59B53B0-030D-467F-85D6-CF3343E23123}"/>
    <cellStyle name="Comma_0_Cash" xfId="2162" xr:uid="{CBD3FA21-042F-4082-812E-5DD93978B05F}"/>
    <cellStyle name="Currency [0]_0_Cash" xfId="2163" xr:uid="{9213ED40-CCEE-4C02-AEAD-37FDA0B4BC48}"/>
    <cellStyle name="Currency_0_Cash" xfId="2164" xr:uid="{EF388A21-6C59-44EA-9C2D-EA027A3FFB34}"/>
    <cellStyle name="Data" xfId="2165" xr:uid="{799A352C-3F64-4CAC-B49E-ECB0D63FBF28}"/>
    <cellStyle name="Data 1" xfId="2166" xr:uid="{21CC8E19-DE86-49B0-8A6E-4E0CBBFAC354}"/>
    <cellStyle name="Data 2" xfId="2167" xr:uid="{4DDAE112-365E-4F34-BB70-09019A861B02}"/>
    <cellStyle name="Data 2 2" xfId="2665" xr:uid="{A3C17713-9D74-427E-BA7E-85F05802A2AB}"/>
    <cellStyle name="Data 3" xfId="2168" xr:uid="{1707FAA2-0A13-47EF-BCD1-7A2F08053D73}"/>
    <cellStyle name="Data_АГМ" xfId="2169" xr:uid="{474BD510-7EDE-42E4-8E37-767353B792A5}"/>
    <cellStyle name="DataBold" xfId="2170" xr:uid="{5667FE34-39C2-49C2-A41D-8E4A9EE6A59A}"/>
    <cellStyle name="DataBold 1" xfId="2171" xr:uid="{7CF5A5E4-860B-4005-B5B6-061BB566CA3A}"/>
    <cellStyle name="DataBold 1 2" xfId="2667" xr:uid="{0FEC5A6F-7A3C-4127-8E00-F12879A9285E}"/>
    <cellStyle name="DataBold 2" xfId="2172" xr:uid="{20095576-3F78-4A95-9E59-C87F6583F082}"/>
    <cellStyle name="DataBold 2 2" xfId="2668" xr:uid="{3893D516-FD97-4A6A-B199-208A3CEAA06D}"/>
    <cellStyle name="DataBold 3" xfId="2173" xr:uid="{4BFF56A5-B608-43CB-96C0-BD3D05984BB0}"/>
    <cellStyle name="DataBold 3 2" xfId="2669" xr:uid="{1FE4F84F-6FC1-4725-BEEB-3B0FE72AFDC0}"/>
    <cellStyle name="DataBold 4" xfId="2666" xr:uid="{5B542BD5-949C-49FC-8348-02047CCBCA67}"/>
    <cellStyle name="DataBold_АГМ" xfId="2174" xr:uid="{894133E7-D4E6-4E72-BA0F-74809E6DD9EE}"/>
    <cellStyle name="date" xfId="2175" xr:uid="{312C4644-115D-4283-A120-A2FF610672AE}"/>
    <cellStyle name="date 1" xfId="2176" xr:uid="{3769575D-750F-4252-A197-FCF5ED74D4ED}"/>
    <cellStyle name="date 2" xfId="2177" xr:uid="{88E7A058-C1D6-4AFC-B0E3-5B0279B6CFDF}"/>
    <cellStyle name="date 3" xfId="2178" xr:uid="{D78F8A6A-5402-4EAD-B713-23A76C736776}"/>
    <cellStyle name="date_АГМ" xfId="2179" xr:uid="{072828ED-60AE-47EB-8B98-2E303928E5BE}"/>
    <cellStyle name="E&amp;Y House" xfId="2180" xr:uid="{5352DB26-ED54-4787-9EEF-C78321F4C58D}"/>
    <cellStyle name="E&amp;Y House 1" xfId="2181" xr:uid="{54EAE633-B056-4E99-9A38-3B01660FE890}"/>
    <cellStyle name="E&amp;Y House 2" xfId="2182" xr:uid="{84F5371C-8761-40FF-81D3-6A525799D0B6}"/>
    <cellStyle name="E&amp;Y House 3" xfId="2183" xr:uid="{862D379A-BE56-4B13-BCD8-2E0B2603855F}"/>
    <cellStyle name="E&amp;Y House_АГМ" xfId="2184" xr:uid="{365BB80D-C291-4F9C-9702-CFCE3B328831}"/>
    <cellStyle name="Euro" xfId="2185" xr:uid="{C304FE9E-871E-4BDD-A5DD-E4448B087DE6}"/>
    <cellStyle name="Euro 1" xfId="2186" xr:uid="{E9EFCB84-CB8C-49C2-89B3-01C6929829D5}"/>
    <cellStyle name="Euro 2" xfId="2187" xr:uid="{3E2C9834-28E0-4469-8AA7-7FD9F78E5255}"/>
    <cellStyle name="Euro 3" xfId="2188" xr:uid="{1090B99E-E5D5-4D4E-A4D0-48D9ED2FD12D}"/>
    <cellStyle name="Euro_АГМ" xfId="2189" xr:uid="{315982E3-348B-462A-90EB-9E0D7E6E5164}"/>
    <cellStyle name="Explanatory Text" xfId="2190" xr:uid="{90DA0121-FACE-424D-BF40-F4A083C8B677}"/>
    <cellStyle name="Followed Hyperlink_Draft-forms" xfId="2191" xr:uid="{BC3D4012-4364-494B-95F6-B3D669FC2095}"/>
    <cellStyle name="Good" xfId="2192" xr:uid="{A5AB777F-A5F7-447E-A974-F591B289C6DE}"/>
    <cellStyle name="Header1" xfId="2193" xr:uid="{65C4F143-341C-4CB0-A8AC-BBD04A2A26E8}"/>
    <cellStyle name="Header1 1" xfId="2194" xr:uid="{C61DB247-31E2-4968-9911-8B418DC70FA4}"/>
    <cellStyle name="Header1 1 2" xfId="2671" xr:uid="{B9EBF5E1-5202-4B87-B772-819099035A04}"/>
    <cellStyle name="Header1 1 2 2" xfId="2840" xr:uid="{28F8CD3C-760B-49FB-888F-FAC85F8EC321}"/>
    <cellStyle name="Header1 1 2 3" xfId="2798" xr:uid="{82954F9B-87DA-475A-B688-0A294AFB5ECB}"/>
    <cellStyle name="Header1 1 2 4" xfId="2808" xr:uid="{B13DB58D-C223-422C-B233-38199D0FCF4B}"/>
    <cellStyle name="Header1 2" xfId="2195" xr:uid="{DC2B08CB-D5BD-4FF0-B6DC-8153C0F36DB1}"/>
    <cellStyle name="Header1 2 2" xfId="2672" xr:uid="{E8DFB045-79BF-4587-BD1B-106EC9154B04}"/>
    <cellStyle name="Header1 2 2 2" xfId="2841" xr:uid="{EB1320B8-46A8-4156-9EE7-0AE3A50D7646}"/>
    <cellStyle name="Header1 2 2 3" xfId="2797" xr:uid="{E06DD103-33CE-453F-8C70-08987F430CCF}"/>
    <cellStyle name="Header1 2 2 4" xfId="2807" xr:uid="{FE711B9A-9092-4259-8F20-1C06787780D3}"/>
    <cellStyle name="Header1 3" xfId="2196" xr:uid="{DD0FD037-9A33-42AB-B234-294DD96885AC}"/>
    <cellStyle name="Header1 3 2" xfId="2673" xr:uid="{B3D6318B-5F62-4E3D-B50D-AE1984752A02}"/>
    <cellStyle name="Header1 3 2 2" xfId="2842" xr:uid="{DC49265D-1B1D-401F-85FF-D7682BB7540B}"/>
    <cellStyle name="Header1 3 2 3" xfId="2796" xr:uid="{0F0D8573-3255-4F17-A4C0-0804A0AF5A94}"/>
    <cellStyle name="Header1 3 2 4" xfId="2806" xr:uid="{95D05CD1-43A0-4D1D-9759-9D46447FA5BA}"/>
    <cellStyle name="Header1 4" xfId="2670" xr:uid="{093A7999-DFCB-4680-A8CA-529B53A19B46}"/>
    <cellStyle name="Header1 4 2" xfId="2839" xr:uid="{FEC32235-EE4C-4ACD-88E4-914D54293734}"/>
    <cellStyle name="Header1 4 3" xfId="2799" xr:uid="{8F4B463B-8A7B-4215-8975-5206CBD4FC25}"/>
    <cellStyle name="Header1 4 4" xfId="2809" xr:uid="{35430140-EC56-40A7-BAD9-46783EEFB04E}"/>
    <cellStyle name="Header1_АГМ" xfId="2197" xr:uid="{31202B70-CABE-4ED1-B6C6-A3A0D55720D3}"/>
    <cellStyle name="Header2" xfId="2198" xr:uid="{FD24EDAE-14A9-4FB4-85C6-FA123800F03F}"/>
    <cellStyle name="Header2 1" xfId="2199" xr:uid="{5EC5A1F9-5D1C-4BFB-A09D-7EECCF40BBAB}"/>
    <cellStyle name="Header2 1 2" xfId="2675" xr:uid="{E4C5DD28-8F70-4A6F-8204-96C9D3E6EAA5}"/>
    <cellStyle name="Header2 1 2 2" xfId="2794" xr:uid="{5E3D5273-4D9E-4DEE-87D7-87E64CDF5A3F}"/>
    <cellStyle name="Header2 1 2 3" xfId="2805" xr:uid="{9C4CBDAC-B6BD-4B1D-ACC2-FB02D3A4CEDA}"/>
    <cellStyle name="Header2 2" xfId="2200" xr:uid="{56CAA058-0626-41D5-9A96-E0B96AC09EBF}"/>
    <cellStyle name="Header2 2 2" xfId="2676" xr:uid="{D7973EFA-55E5-48FE-B394-12A5B62C078F}"/>
    <cellStyle name="Header2 2 2 2" xfId="2793" xr:uid="{A5DDCB52-5C44-4073-8FC1-DDDA410343A1}"/>
    <cellStyle name="Header2 2 2 3" xfId="2804" xr:uid="{01CA206B-43A8-4D65-9436-F8FEA183BDC7}"/>
    <cellStyle name="Header2 3" xfId="2201" xr:uid="{4E6A75A5-B6EF-4094-88F7-C0AEB4DBB02E}"/>
    <cellStyle name="Header2 3 2" xfId="2677" xr:uid="{15053175-C0FF-4DB4-98D6-A3031E69F0D5}"/>
    <cellStyle name="Header2 3 2 2" xfId="2792" xr:uid="{80A2C9C0-B9DF-4453-8746-87F54E03D6AF}"/>
    <cellStyle name="Header2 3 2 3" xfId="2803" xr:uid="{A2AFB4B5-28FC-4438-BBF7-CD245F06C9C1}"/>
    <cellStyle name="Header2 4" xfId="2674" xr:uid="{7DA1E9D6-B4BA-43D7-AE37-25E6215276EC}"/>
    <cellStyle name="Header2 4 2" xfId="2795" xr:uid="{66D7C9EA-1BBB-4E7F-862A-8C6928E7712F}"/>
    <cellStyle name="Header2 4 3" xfId="2801" xr:uid="{FA5B0672-6D52-4FD8-A97C-BEDEB033AD2E}"/>
    <cellStyle name="Header2_АГМ" xfId="2202" xr:uid="{3DD6059C-3000-4370-8AA1-3D6FF6A61607}"/>
    <cellStyle name="Heading 1" xfId="2203" xr:uid="{EFE46219-AD40-4E9D-B1FA-68FB65634D33}"/>
    <cellStyle name="Heading 2" xfId="2204" xr:uid="{FD7268B9-F12B-49D1-8E40-34BD85519772}"/>
    <cellStyle name="Heading 3" xfId="2205" xr:uid="{EF3C20F7-8689-4929-82A2-FA517BD9DCAA}"/>
    <cellStyle name="Heading 4" xfId="2206" xr:uid="{3C2D9140-DEF9-466F-BF86-C024436FAD31}"/>
    <cellStyle name="Hyperlink_Tier 1" xfId="2207" xr:uid="{AE8F8F3E-1364-439A-99F1-7FCC72ADBAFC}"/>
    <cellStyle name="Iau?iue_130 nnd. are." xfId="2208" xr:uid="{DE292A82-02A5-4210-855E-BDE340A9D6A5}"/>
    <cellStyle name="Input" xfId="2209" xr:uid="{8A70CD96-49D7-4ADC-BCF9-11960CC4E533}"/>
    <cellStyle name="Input 2" xfId="2678" xr:uid="{2DF566C8-8AB5-4336-8C83-28B9BCB2FA00}"/>
    <cellStyle name="Input 2 2" xfId="2791" xr:uid="{5366310B-13E7-493A-A92F-29F4A381960E}"/>
    <cellStyle name="Ioe?uaaaoayny aeia?nnueea" xfId="2210" xr:uid="{1CAFAF82-6EC6-4F14-A8CC-3713EE166434}"/>
    <cellStyle name="Ioe?uaaaoayny aeia?nnueea 1" xfId="2211" xr:uid="{312A0CE3-86FD-47A2-AD87-33A3FAF727B9}"/>
    <cellStyle name="Ioe?uaaaoayny aeia?nnueea 2" xfId="2212" xr:uid="{B4ABF0E7-09DF-4CCC-B639-C1F089F0E9D2}"/>
    <cellStyle name="Ioe?uaaaoayny aeia?nnueea 3" xfId="2213" xr:uid="{F9A42C96-11AF-410E-B203-5402CB69631A}"/>
    <cellStyle name="Ioe?uaaaoayny aeia?nnueea_АГМ" xfId="2214" xr:uid="{5DB91E91-E5B1-4557-8352-B6D5BA31838E}"/>
    <cellStyle name="ISO" xfId="2215" xr:uid="{5A2C972D-3F2B-4E6B-AB16-1159372F0476}"/>
    <cellStyle name="ISO 1" xfId="2216" xr:uid="{AB0C63BC-23E3-4A37-A75A-40F9B5F8F600}"/>
    <cellStyle name="ISO 2" xfId="2217" xr:uid="{EF9E0E15-8400-435F-B0D9-1CB0C5DDF2FA}"/>
    <cellStyle name="ISO 3" xfId="2218" xr:uid="{89A42641-9376-42C7-BF04-0891781606D5}"/>
    <cellStyle name="ISO_АГМ" xfId="2219" xr:uid="{B3E96420-F264-4031-969F-D734A1229968}"/>
    <cellStyle name="Linked Cell" xfId="2220" xr:uid="{7D3D6D24-76CD-48E4-B3B8-3C98F6ACB582}"/>
    <cellStyle name="Neutral" xfId="2221" xr:uid="{0D80A71E-8DCA-4EA1-8F5C-2C6E9387EC10}"/>
    <cellStyle name="Norma11l" xfId="2222" xr:uid="{6F66F6C5-D73C-4120-8576-E7C8497A3205}"/>
    <cellStyle name="Norma11l 1" xfId="2223" xr:uid="{9228AA9F-11F8-4120-8E2B-533DD9EA9D02}"/>
    <cellStyle name="Norma11l 1 2" xfId="2679" xr:uid="{CBE6ECDE-40DE-4427-BF8D-B1698A142946}"/>
    <cellStyle name="Norma11l 2" xfId="2224" xr:uid="{531ACD90-6DBE-4865-8DA4-F0F999706260}"/>
    <cellStyle name="Norma11l 2 2" xfId="2680" xr:uid="{91039477-954F-41EF-9CFE-48DCFD46B4FD}"/>
    <cellStyle name="Norma11l 3" xfId="2225" xr:uid="{DC89ED3C-4C7E-4388-AE11-7072A44A4565}"/>
    <cellStyle name="Norma11l 3 2" xfId="2681" xr:uid="{FD527662-FF59-44B7-9D82-9EDC638F531F}"/>
    <cellStyle name="Norma11l_АГМ" xfId="2226" xr:uid="{3273D29D-7B8C-4932-B63F-36409E221620}"/>
    <cellStyle name="Normal 2" xfId="2227" xr:uid="{E8E3CBE0-3544-4918-8760-F629100D55B0}"/>
    <cellStyle name="Normal 2 1" xfId="2228" xr:uid="{BF951BC2-9133-4131-BC86-50A3E28966A0}"/>
    <cellStyle name="Normal 2 2" xfId="2229" xr:uid="{1F407DA0-48F0-452D-9EF1-E8034E9FB60C}"/>
    <cellStyle name="Normal 2 3" xfId="2230" xr:uid="{D8033ECB-4DE7-4A5D-B904-1D4C4CE14B55}"/>
    <cellStyle name="Normal 2 4" xfId="2682" xr:uid="{5D0C87E3-808F-406A-85F0-4B022C44AAC9}"/>
    <cellStyle name="Normal 2 4 2" xfId="2820" xr:uid="{AB78AA0F-C8A3-45A4-A1DD-DBD57C26FA2E}"/>
    <cellStyle name="Normal 2 4 3" xfId="2802" xr:uid="{18CD6E57-56C5-4B7F-AF25-79ED0538E9A6}"/>
    <cellStyle name="Normal 2_АГМ" xfId="2231" xr:uid="{0CFFE4BF-A4C1-4FAE-BFB4-513029A65A51}"/>
    <cellStyle name="Normal_#10-Headcount" xfId="2232" xr:uid="{FF67F4C5-C9C8-469B-B4D5-40754E3D73DE}"/>
    <cellStyle name="normбlnм_laroux" xfId="2233" xr:uid="{403FA5CF-0F2B-4233-98C6-BC3C75E02533}"/>
    <cellStyle name="Note" xfId="2234" xr:uid="{646764D5-19A6-4AF7-8868-EC9D834F3542}"/>
    <cellStyle name="Note 2" xfId="2683" xr:uid="{3126C903-8EBB-4037-9FAD-C6451243B36E}"/>
    <cellStyle name="Note 2 2" xfId="2790" xr:uid="{026C2F88-D18E-42D3-87A8-EBC2727A6B1F}"/>
    <cellStyle name="Output" xfId="2235" xr:uid="{4414C429-15FE-4B70-8F68-94C551688EE1}"/>
    <cellStyle name="Output 2" xfId="2684" xr:uid="{FED13E6D-8E87-4CED-B0EA-1E3832846541}"/>
    <cellStyle name="Output 2 2" xfId="2789" xr:uid="{C7DF5512-6021-4CF7-B3BC-DD8AD6C02D9C}"/>
    <cellStyle name="Paaotsikko" xfId="2236" xr:uid="{4AC7D4CC-B4F8-4AAE-949D-3FBE0CC358C0}"/>
    <cellStyle name="Paaotsikko 1" xfId="2237" xr:uid="{12F827DA-77A9-4801-BF8D-298F77D1473A}"/>
    <cellStyle name="Paaotsikko 2" xfId="2238" xr:uid="{8D54E6FD-3C45-4842-BA0F-58F101EA6493}"/>
    <cellStyle name="Paaotsikko 3" xfId="2239" xr:uid="{2C9F06B6-A694-457B-89B7-A331FAF111D6}"/>
    <cellStyle name="Paaotsikko_АГМ" xfId="2240" xr:uid="{50F96EEE-52D6-4E83-BE36-37F0AF772CB9}"/>
    <cellStyle name="Title" xfId="2241" xr:uid="{DC718746-7A7A-473E-880B-F0A4BE45184F}"/>
    <cellStyle name="Total" xfId="2242" xr:uid="{63237BAD-22DC-4C54-A45E-DC1B935987E7}"/>
    <cellStyle name="Total 2" xfId="2685" xr:uid="{2B0A79DC-35A2-4318-BBAF-086F38CD6D65}"/>
    <cellStyle name="Total 2 2" xfId="2788" xr:uid="{10704A48-B128-46C6-AD54-0672EE3B6F08}"/>
    <cellStyle name="Total 3" xfId="2815" xr:uid="{C6895ECA-C42D-4EDF-B579-2798EAE13584}"/>
    <cellStyle name="Total 4" xfId="2814" xr:uid="{583FBB78-F43F-409D-A8EB-AB30AEAB34E5}"/>
    <cellStyle name="Valiotsikko" xfId="2243" xr:uid="{383FB8DC-838A-44A3-98C6-0593C78A6C6C}"/>
    <cellStyle name="Valiotsikko 1" xfId="2244" xr:uid="{0280AA49-802F-4D1E-B9AB-0453665077F2}"/>
    <cellStyle name="Valiotsikko 1 2" xfId="2687" xr:uid="{77F4FF74-590F-4649-B7A2-14AD67618904}"/>
    <cellStyle name="Valiotsikko 2" xfId="2245" xr:uid="{09AC9BF6-DB44-4D9C-93C2-49E222ABE20C}"/>
    <cellStyle name="Valiotsikko 2 2" xfId="2688" xr:uid="{C011B97A-6657-4828-A99A-9D7E21A9B6CD}"/>
    <cellStyle name="Valiotsikko 3" xfId="2246" xr:uid="{57964252-FD49-48D6-B9FB-49CEDFDFB1F6}"/>
    <cellStyle name="Valiotsikko 3 2" xfId="2689" xr:uid="{46760118-000C-4422-8F1D-BD361BAF9FC9}"/>
    <cellStyle name="Valiotsikko 4" xfId="2686" xr:uid="{9781B66C-B104-4D2B-871C-1E614DF33B7D}"/>
    <cellStyle name="Valiotsikko_АГМ" xfId="2247" xr:uid="{458C000B-F235-402E-8A64-B28B2D185C56}"/>
    <cellStyle name="Warning Text" xfId="2248" xr:uid="{A9FD3268-6AED-41DE-8E4B-1DBDEF4E470D}"/>
    <cellStyle name="Warning Text 2" xfId="2690" xr:uid="{F69604A8-20CE-4168-A6F8-3D7865EBF808}"/>
    <cellStyle name="Акцент1 1" xfId="2249" xr:uid="{A69E2E05-F243-481A-B6B6-C0126318E5A8}"/>
    <cellStyle name="Акцент1 1 2" xfId="2691" xr:uid="{6998F005-A6DE-4899-BABC-0819A95355D9}"/>
    <cellStyle name="Акцент1 2" xfId="2250" xr:uid="{9C363C6A-6851-4B99-BC36-2355CFB4A066}"/>
    <cellStyle name="Акцент1 2 2" xfId="2692" xr:uid="{488E11BD-877D-4C8D-B113-C928013DDE6B}"/>
    <cellStyle name="Акцент1 3" xfId="2251" xr:uid="{7E9C695E-89BD-41ED-8D63-E80347C97CE6}"/>
    <cellStyle name="Акцент1 3 2" xfId="2693" xr:uid="{50130C03-CF9C-4102-9DA5-64E3128FD2C6}"/>
    <cellStyle name="Акцент1 4" xfId="2252" xr:uid="{3036FE81-2D31-4EB8-9DFC-9EB9AE348F31}"/>
    <cellStyle name="Акцент1 4 2" xfId="2694" xr:uid="{669F86C4-ECA3-4EAD-8A45-29941A79442C}"/>
    <cellStyle name="Акцент2 1" xfId="2253" xr:uid="{4240D4A5-E30D-4C06-9E56-EEFC3F998052}"/>
    <cellStyle name="Акцент2 1 2" xfId="2695" xr:uid="{7E6A26AE-0B25-4977-B88D-53721E14CB7B}"/>
    <cellStyle name="Акцент2 2" xfId="2254" xr:uid="{1C616016-66D4-4F09-BE55-FE580DA9F78F}"/>
    <cellStyle name="Акцент2 2 2" xfId="2696" xr:uid="{39D8ED57-3FEC-4B1A-A783-E119C3A096EB}"/>
    <cellStyle name="Акцент2 3" xfId="2255" xr:uid="{334072CA-7899-43C5-A93D-BDFE3A9896A5}"/>
    <cellStyle name="Акцент2 3 2" xfId="2697" xr:uid="{33BCEB29-CE70-40B3-BFD7-D8B4231FE854}"/>
    <cellStyle name="Акцент2 4" xfId="2256" xr:uid="{BC1E1427-5745-45EF-8A07-77397F86B13F}"/>
    <cellStyle name="Акцент2 4 2" xfId="2698" xr:uid="{00E85D2B-C6FE-4FA4-B50C-B23CA7F2C44A}"/>
    <cellStyle name="Акцент3 1" xfId="2257" xr:uid="{08BABBEE-0A90-4CC2-8EA3-2D2174D7AE59}"/>
    <cellStyle name="Акцент3 1 2" xfId="2699" xr:uid="{2B15E374-0F24-4F85-BC6A-7A00F9B2E5D7}"/>
    <cellStyle name="Акцент3 2" xfId="2258" xr:uid="{C45F014C-9D10-4365-9F31-F9DCD0349E57}"/>
    <cellStyle name="Акцент3 2 2" xfId="2700" xr:uid="{4E1CB8BB-35C5-4E62-BD47-3EA635812470}"/>
    <cellStyle name="Акцент3 3" xfId="2259" xr:uid="{04A220AF-6C85-4D79-9A9B-553DAE24F53E}"/>
    <cellStyle name="Акцент3 3 2" xfId="2701" xr:uid="{CC77C78F-A64B-462A-99B2-E8053AED4636}"/>
    <cellStyle name="Акцент3 4" xfId="2260" xr:uid="{A32AB5FD-F9AF-4966-A6B6-DE50710DD885}"/>
    <cellStyle name="Акцент3 4 2" xfId="2702" xr:uid="{1A98CDCD-13F5-4708-B193-813924C02428}"/>
    <cellStyle name="Акцент4 1" xfId="2261" xr:uid="{DC093829-FE6B-46A3-8313-4B39547A63EB}"/>
    <cellStyle name="Акцент4 1 2" xfId="2703" xr:uid="{86375C75-5FBD-42CF-BE8C-360CF5316E4C}"/>
    <cellStyle name="Акцент4 2" xfId="2262" xr:uid="{809CBEAE-C469-4693-BB6C-9C05AF9D4F2E}"/>
    <cellStyle name="Акцент4 2 2" xfId="2704" xr:uid="{4E5FD4F5-AD3F-415B-8B45-08749B63900E}"/>
    <cellStyle name="Акцент4 3" xfId="2263" xr:uid="{DEB23199-3146-482D-B34E-A36ABC4091B1}"/>
    <cellStyle name="Акцент4 3 2" xfId="2705" xr:uid="{1BCAA91C-0B1B-49E1-9213-961A8D4A99A9}"/>
    <cellStyle name="Акцент4 4" xfId="2264" xr:uid="{638D5DE1-B6F9-4BC5-A2C2-5CF49F48DE71}"/>
    <cellStyle name="Акцент4 4 2" xfId="2706" xr:uid="{E7F50689-B981-4D5E-A069-BE4135201A6C}"/>
    <cellStyle name="Акцент5 1" xfId="2265" xr:uid="{0F6F952F-58FA-428B-AE66-EA736D65090D}"/>
    <cellStyle name="Акцент5 1 2" xfId="2707" xr:uid="{909A6C7A-E96D-49E5-AC34-83D1993E2C9B}"/>
    <cellStyle name="Акцент5 2" xfId="2266" xr:uid="{CB740A56-EB87-4561-9CFB-0DFFF7A90A22}"/>
    <cellStyle name="Акцент5 2 2" xfId="2708" xr:uid="{D48BE9F8-BA18-45C1-9F57-8FF7D14614B0}"/>
    <cellStyle name="Акцент5 3" xfId="2267" xr:uid="{F56E9AB0-E6B3-44E0-81A7-6776D99564A9}"/>
    <cellStyle name="Акцент5 3 2" xfId="2709" xr:uid="{A0787EA7-72AE-4C5D-B5EB-3C6BAA36478D}"/>
    <cellStyle name="Акцент5 4" xfId="2268" xr:uid="{62B5ADE1-6452-475B-8B2C-358483109A03}"/>
    <cellStyle name="Акцент5 4 2" xfId="2710" xr:uid="{60D204E9-6DE2-465F-8748-AE9DB45A92C4}"/>
    <cellStyle name="Акцент6 1" xfId="2269" xr:uid="{E19BAE17-196A-43E1-858C-8F29364C4919}"/>
    <cellStyle name="Акцент6 1 2" xfId="2711" xr:uid="{C260C91C-8BDC-4B14-B9A8-C8A757BE249C}"/>
    <cellStyle name="Акцент6 2" xfId="2270" xr:uid="{5A8F045A-C40D-4684-AAC3-EBF058DEC5F5}"/>
    <cellStyle name="Акцент6 2 2" xfId="2712" xr:uid="{294E435C-57EC-4258-A57E-79697F60FFF5}"/>
    <cellStyle name="Акцент6 3" xfId="2271" xr:uid="{9740F1A1-FE9B-46C3-A2D5-BF35A05E2F72}"/>
    <cellStyle name="Акцент6 3 2" xfId="2713" xr:uid="{DC812A62-18B8-435A-B827-677D87AA5239}"/>
    <cellStyle name="Акцент6 4" xfId="2272" xr:uid="{DCC6338A-24D9-415D-9A16-19B85D08E3EF}"/>
    <cellStyle name="Акцент6 4 2" xfId="2714" xr:uid="{796EB26D-517B-41C5-8FB1-EEEB91DBFAFD}"/>
    <cellStyle name="Беззащитный" xfId="2273" xr:uid="{890A8BD3-D686-4DF3-BC71-0BF79AF6DD71}"/>
    <cellStyle name="вагоны" xfId="2274" xr:uid="{2054CDB0-BDD1-415C-A0D4-0F680C4F28FC}"/>
    <cellStyle name="вагоны 1" xfId="2275" xr:uid="{44412D51-55E0-4E36-BB5B-91E94A717FFB}"/>
    <cellStyle name="вагоны 2" xfId="2276" xr:uid="{53E3630E-5375-4534-86EF-400656915B29}"/>
    <cellStyle name="вагоны 3" xfId="2277" xr:uid="{4C5BFF02-A35F-426A-A921-D7DED74AE95C}"/>
    <cellStyle name="вагоны_АГМ" xfId="2278" xr:uid="{FA594E09-5A7E-4F38-992D-7CE459D833A9}"/>
    <cellStyle name="Ввод  1" xfId="2279" xr:uid="{4762C6A5-0C99-42DD-8D89-DC62A62B7794}"/>
    <cellStyle name="Ввод  1 2" xfId="2715" xr:uid="{D7A75C3F-00B7-4DD2-B180-3BBC7E807DB2}"/>
    <cellStyle name="Ввод  1 2 2" xfId="2787" xr:uid="{07DD88C2-BC62-4243-B9B2-C0A7C9F9B3AE}"/>
    <cellStyle name="Ввод  2" xfId="2280" xr:uid="{8CC31BC5-EB7C-4BE7-8882-D538BD11AC77}"/>
    <cellStyle name="Ввод  2 2" xfId="2716" xr:uid="{15C701EE-6D3B-44A4-8817-E382CA08BE4E}"/>
    <cellStyle name="Ввод  2 2 2" xfId="2786" xr:uid="{9B656DEA-4E65-489C-8A45-9F2C9B9DD0B4}"/>
    <cellStyle name="Ввод  3" xfId="2281" xr:uid="{BB0916D5-012D-44BA-A34C-B0B120FC0944}"/>
    <cellStyle name="Ввод  3 2" xfId="2717" xr:uid="{8CB27DFE-963E-4417-8BCB-4CA7DC319845}"/>
    <cellStyle name="Ввод  3 2 2" xfId="2785" xr:uid="{F6A9680C-6887-4F03-94CA-ED104B9FF6F8}"/>
    <cellStyle name="Ввод  4" xfId="2282" xr:uid="{6D4D5726-CFC4-4D28-9114-A539CF2509D1}"/>
    <cellStyle name="Ввод  4 2" xfId="2718" xr:uid="{CECA5BDF-A219-4BF3-9EE1-4B7CD053F48C}"/>
    <cellStyle name="Ввод  4 2 2" xfId="2784" xr:uid="{6E5509CB-A166-4778-B4C9-A85A3FDC9995}"/>
    <cellStyle name="Верт. заголовок" xfId="2283" xr:uid="{44A18963-4AE2-431E-AC7E-17F63853A1AF}"/>
    <cellStyle name="Верт. заголовок 1" xfId="2284" xr:uid="{7274C48C-D5CC-4251-BE8A-90FAE6912467}"/>
    <cellStyle name="Верт. заголовок 2" xfId="2285" xr:uid="{1F72F52C-41E1-482E-8A87-2463F6C24EA3}"/>
    <cellStyle name="Верт. заголовок 3" xfId="2286" xr:uid="{92DF3792-C45A-4C77-916E-6707072D802F}"/>
    <cellStyle name="Вывод 1" xfId="2287" xr:uid="{1ACDAC60-0AB0-495C-BCFD-802D9D37F3A4}"/>
    <cellStyle name="Вывод 1 2" xfId="2719" xr:uid="{9C8C9B03-2FCA-47CC-B07F-7F0923AB4F1F}"/>
    <cellStyle name="Вывод 1 2 2" xfId="2783" xr:uid="{B595B0AC-6F70-47C6-9CD3-67A06F9AF4A1}"/>
    <cellStyle name="Вывод 2" xfId="2288" xr:uid="{F90041CA-7863-42B5-8E8B-E32A63C9C6CB}"/>
    <cellStyle name="Вывод 2 2" xfId="2720" xr:uid="{ECCB6C3E-5424-4DD8-A0B3-689D88043183}"/>
    <cellStyle name="Вывод 2 2 2" xfId="2782" xr:uid="{4D42CA0F-E8D3-4FA2-BF45-BCA1FA9C5776}"/>
    <cellStyle name="Вывод 3" xfId="2289" xr:uid="{FE185383-AC11-4589-B0F6-BA10815FEE41}"/>
    <cellStyle name="Вывод 3 2" xfId="2721" xr:uid="{F90AFF49-83D6-4A08-BC91-E19F610ECEC8}"/>
    <cellStyle name="Вывод 3 2 2" xfId="2781" xr:uid="{84DDE28B-7746-4B25-A897-BAD5712B361D}"/>
    <cellStyle name="Вывод 4" xfId="2290" xr:uid="{844CA72A-BB82-4B4B-B25F-145813249325}"/>
    <cellStyle name="Вывод 4 2" xfId="2722" xr:uid="{7AF33B45-7C6F-458B-9810-0A40F68886B3}"/>
    <cellStyle name="Вывод 4 2 2" xfId="2780" xr:uid="{4D4CB0D2-FA05-494C-A3C5-22647E0F36E8}"/>
    <cellStyle name="Вычисление 1" xfId="2291" xr:uid="{CB73B054-2266-4B7B-8414-2AD6E79BDECE}"/>
    <cellStyle name="Вычисление 1 2" xfId="2723" xr:uid="{2C600F81-79DB-4F42-A7AA-D8CB12C357B8}"/>
    <cellStyle name="Вычисление 1 2 2" xfId="2779" xr:uid="{DA110C18-E20C-4E2A-B8E1-9C4F31E4ACBF}"/>
    <cellStyle name="Вычисление 2" xfId="2292" xr:uid="{1A9A22A5-3E1D-465A-88E0-62E2999F595B}"/>
    <cellStyle name="Вычисление 2 2" xfId="2724" xr:uid="{E1B804D9-CA9C-4630-A53D-FECFAA14069C}"/>
    <cellStyle name="Вычисление 2 2 2" xfId="2778" xr:uid="{FC5EC921-1994-419D-8F39-286061262248}"/>
    <cellStyle name="Вычисление 3" xfId="2293" xr:uid="{2F41B380-99CC-463C-B51B-F04C00F6CFFA}"/>
    <cellStyle name="Вычисление 3 2" xfId="2725" xr:uid="{48786C14-0A38-47EE-B746-C63383200209}"/>
    <cellStyle name="Вычисление 3 2 2" xfId="2777" xr:uid="{BE222599-AD9C-4694-86D7-BC89CF822CBD}"/>
    <cellStyle name="Вычисление 4" xfId="2294" xr:uid="{B57299B2-711B-4C93-A5CF-C6D73EB52D02}"/>
    <cellStyle name="Вычисление 4 2" xfId="2726" xr:uid="{F734D8DA-1A38-4090-A848-3B7B1C599186}"/>
    <cellStyle name="Вычисление 4 2 2" xfId="2776" xr:uid="{BD914A4D-2AAB-4D88-ADAB-EB31BC317216}"/>
    <cellStyle name="Гиперссылка 2" xfId="2295" xr:uid="{A0D66367-E7A3-4B4F-85A8-519137BD754A}"/>
    <cellStyle name="Дата" xfId="2296" xr:uid="{513F4988-E9F7-4E26-9A1E-68D8A30DD234}"/>
    <cellStyle name="Дата 1" xfId="2297" xr:uid="{33D7ADE0-89F6-4EB0-8A81-C5A80641FDB3}"/>
    <cellStyle name="Дата 2" xfId="2298" xr:uid="{641E6C42-9BCB-422A-87D1-92074D940705}"/>
    <cellStyle name="Дата 3" xfId="2299" xr:uid="{E4DB0C37-2DF8-41D4-9FAB-6988A3515588}"/>
    <cellStyle name="Дата UTL" xfId="2300" xr:uid="{A9DDBBF4-D474-4B7F-A997-F3F5866AD0B9}"/>
    <cellStyle name="Дата UTL 1" xfId="2301" xr:uid="{2B5CB59D-269F-4233-A1AF-887416BFB932}"/>
    <cellStyle name="Дата UTL 2" xfId="2302" xr:uid="{1E3B947E-23D5-4B42-9053-611C253D3602}"/>
    <cellStyle name="Дата UTL 3" xfId="2303" xr:uid="{883EBFAB-583E-41C9-A69B-126B24D957FC}"/>
    <cellStyle name="Дата_Выручка и осн показ" xfId="2304" xr:uid="{5CF602EF-DF24-4018-8873-D4A4E39CBA07}"/>
    <cellStyle name="Денежный 2" xfId="2305" xr:uid="{949C8C8D-D851-4805-987B-E78C9807897C}"/>
    <cellStyle name="Денежный 3" xfId="2306" xr:uid="{4AB0CA56-8CB4-4281-B8F6-0727474351CF}"/>
    <cellStyle name="Денежный 4" xfId="2307" xr:uid="{FC03AA7E-5454-451F-8F2E-6C321FC58FFE}"/>
    <cellStyle name="Денежный 5" xfId="2308" xr:uid="{5A3962A0-131E-44CF-B121-035167F5520E}"/>
    <cellStyle name="Денежный 5 2" xfId="2727" xr:uid="{EBD03289-601F-4145-9B38-6BEB08D504CD}"/>
    <cellStyle name="Денежный 6" xfId="2555" xr:uid="{F5290460-CBA8-4FDD-8294-B55E036C4DA4}"/>
    <cellStyle name="Денежный 7" xfId="2309" xr:uid="{943A8AA5-B643-4C20-AA90-F466F18CFCE5}"/>
    <cellStyle name="Денежный 8" xfId="35" xr:uid="{85D5D35A-6AE0-4927-97FB-CEEBCA209C26}"/>
    <cellStyle name="Заглавие сводной таблицы" xfId="2519" xr:uid="{0237FC6E-880A-4275-B2D8-0958D885380A}"/>
    <cellStyle name="Заголовок 1 1" xfId="2310" xr:uid="{9CCB78BB-6A0B-4E7F-9F24-8A50E4047A61}"/>
    <cellStyle name="Заголовок 1 2" xfId="10" xr:uid="{47CAB267-28FD-4BE0-BD67-429A285F1A1D}"/>
    <cellStyle name="Заголовок 1 2 2" xfId="2311" xr:uid="{3E5502D0-7FA5-4924-8485-4C6776A8E492}"/>
    <cellStyle name="Заголовок 1 3" xfId="2312" xr:uid="{AA24516A-D271-4EAC-98DE-50BE163E6547}"/>
    <cellStyle name="Заголовок 1 4" xfId="2313" xr:uid="{FB803484-996A-4E46-A017-8AE75A97E648}"/>
    <cellStyle name="Заголовок 2 1" xfId="2314" xr:uid="{8C8D183D-AA82-49B4-863C-42B4B325139B}"/>
    <cellStyle name="Заголовок 2 2" xfId="2315" xr:uid="{087476D2-ECF2-4445-A8AE-7E19E49DAD11}"/>
    <cellStyle name="Заголовок 2 3" xfId="2316" xr:uid="{209B781B-3B2C-44DC-9758-7A9289FCD845}"/>
    <cellStyle name="Заголовок 2 4" xfId="2317" xr:uid="{EB853BD4-2466-4463-AB7C-8F600DCF2AF1}"/>
    <cellStyle name="Заголовок 3 1" xfId="2318" xr:uid="{E67C62FA-1FDD-4810-99D9-DCEA965B9D0D}"/>
    <cellStyle name="Заголовок 3 2" xfId="2319" xr:uid="{03060AB9-4060-4D13-9E47-03398B0056DC}"/>
    <cellStyle name="Заголовок 3 3" xfId="2320" xr:uid="{BE23C120-7A25-4D4C-820F-5B7C33B1E4A6}"/>
    <cellStyle name="Заголовок 3 4" xfId="2321" xr:uid="{19CE23DB-F382-4773-B87D-FD1331904D3D}"/>
    <cellStyle name="Заголовок 4 1" xfId="2322" xr:uid="{77605A61-38B1-43AB-82CE-186E66537746}"/>
    <cellStyle name="Заголовок 4 2" xfId="2323" xr:uid="{81AF554A-F51E-4034-8019-6805F520DBF1}"/>
    <cellStyle name="Заголовок 4 3" xfId="2324" xr:uid="{ECE4FD70-5757-413D-AA68-8A2B787A8C87}"/>
    <cellStyle name="Заголовок 4 4" xfId="2325" xr:uid="{3EB76EF2-BB8D-45B1-BAD6-D7A3535C0662}"/>
    <cellStyle name="Защитный" xfId="2326" xr:uid="{EF901D50-5B15-4B09-B785-0AAAC8858BB6}"/>
    <cellStyle name="Значение сводной таблицы" xfId="2520" xr:uid="{DE75A7FF-37D7-4BCB-927E-5CF7C91E861B}"/>
    <cellStyle name="Итог 1" xfId="2327" xr:uid="{BAC9C818-C8F6-4CCE-96FC-79192DC8B710}"/>
    <cellStyle name="Итог 1 2" xfId="2728" xr:uid="{E3530B8A-845B-4998-8C10-709437DD3C9B}"/>
    <cellStyle name="Итог 1 2 2" xfId="2775" xr:uid="{2EE5A523-A23C-42EF-AB29-DFCD77F6FF0B}"/>
    <cellStyle name="Итог 1 3" xfId="2816" xr:uid="{0CE87541-BF5E-4C83-B03F-6ED044136754}"/>
    <cellStyle name="Итог 1 4" xfId="2813" xr:uid="{0EF4D959-9E96-4E51-88B0-B6904529EF3B}"/>
    <cellStyle name="Итог 2" xfId="2328" xr:uid="{861400A9-02DA-4047-A13D-171C9064F591}"/>
    <cellStyle name="Итог 2 2" xfId="2729" xr:uid="{F0473EB8-00CD-4BA1-B015-267B09A1AE3E}"/>
    <cellStyle name="Итог 2 2 2" xfId="2853" xr:uid="{43BF1322-24A1-494F-AA6B-3C42CD0A8FF9}"/>
    <cellStyle name="Итог 2 3" xfId="2817" xr:uid="{C24D3B95-AA01-4ADB-8CAD-98C04B4E2109}"/>
    <cellStyle name="Итог 2 4" xfId="2812" xr:uid="{E0846EA9-E9C3-4D48-BB00-C80DD8CE2571}"/>
    <cellStyle name="Итог 3" xfId="2329" xr:uid="{91B24A10-C0D0-4B7B-A455-FCCC35E72591}"/>
    <cellStyle name="Итог 3 2" xfId="2730" xr:uid="{905D51E6-8ED4-42B7-869B-2D498E2A84A3}"/>
    <cellStyle name="Итог 3 2 2" xfId="2854" xr:uid="{7B7442D4-1F8F-4021-8F62-B0256805AF67}"/>
    <cellStyle name="Итог 3 3" xfId="2818" xr:uid="{E741B560-0A97-4356-B0EF-0E1562807AE5}"/>
    <cellStyle name="Итог 3 4" xfId="2811" xr:uid="{C8C8CF39-5B46-41E1-AC5B-6A06B322EF60}"/>
    <cellStyle name="Итог 4" xfId="2330" xr:uid="{1F1EE30A-D954-42E3-BC19-DD6CAB4D6669}"/>
    <cellStyle name="Итог 4 2" xfId="2731" xr:uid="{70721F9E-0A15-4649-9836-1B216FBF6561}"/>
    <cellStyle name="Итог 4 2 2" xfId="2855" xr:uid="{7AF3F124-C577-471C-B228-AEB623B4B6CC}"/>
    <cellStyle name="Итог 4 3" xfId="2819" xr:uid="{2F9F6A15-951F-4D87-8BBE-733036D1A5F4}"/>
    <cellStyle name="Итог 4 4" xfId="2810" xr:uid="{18547A02-57C3-44C1-BE19-E26BA89CAB56}"/>
    <cellStyle name="Категория сводной таблицы" xfId="2521" xr:uid="{131D0A1B-0AEC-4FDB-9715-80040D68C98A}"/>
    <cellStyle name="Контрольная ячейка 1" xfId="2331" xr:uid="{E2CA2760-D23A-418C-93C4-E9EF64C45BAD}"/>
    <cellStyle name="Контрольная ячейка 2" xfId="2332" xr:uid="{7930C7E0-F781-45BD-9F82-5F25D711F4F5}"/>
    <cellStyle name="Контрольная ячейка 3" xfId="2333" xr:uid="{EF7BCB04-0D0D-4969-892F-96F84C1F2102}"/>
    <cellStyle name="Контрольная ячейка 4" xfId="2334" xr:uid="{FA9C4F6F-F9C7-45C2-93C5-C1FB35BC52FD}"/>
    <cellStyle name="мои_цифры" xfId="2335" xr:uid="{94F1A88C-2392-467E-9903-5680C7032267}"/>
    <cellStyle name="мой" xfId="2336" xr:uid="{38536522-3FAE-4502-8147-7F0060ECC16B}"/>
    <cellStyle name="мой 1" xfId="2337" xr:uid="{50362F09-D2FE-45EF-A48A-DCD97D55618B}"/>
    <cellStyle name="мой 2" xfId="2338" xr:uid="{CED275BF-C404-4938-A378-AC364335DDB8}"/>
    <cellStyle name="мой 3" xfId="2339" xr:uid="{7ECEB9C9-42CC-4556-A602-9A05CA9AD2DA}"/>
    <cellStyle name="мой_Б затрат и себестоимости растениеводства  2010 " xfId="2340" xr:uid="{8A8D3012-38AD-4D2A-9650-6B78526780B9}"/>
    <cellStyle name="Название 1" xfId="2341" xr:uid="{58F1265A-E740-4195-9BD8-A3B8F43E54E4}"/>
    <cellStyle name="Название 2" xfId="2342" xr:uid="{F21EA93B-1A21-4778-968F-F8DFD1ED8D69}"/>
    <cellStyle name="Название 3" xfId="2343" xr:uid="{617061FB-2225-413D-AA39-971D3E5B4A89}"/>
    <cellStyle name="Название 4" xfId="2344" xr:uid="{B938E2CD-4745-4FE5-B114-70FAEA405894}"/>
    <cellStyle name="Нейтральный 1" xfId="2345" xr:uid="{C78F1FFA-8262-4376-AF97-90AA522DA5C2}"/>
    <cellStyle name="Нейтральный 2" xfId="2346" xr:uid="{DF904232-5F18-4C3C-BBFA-74C1570E8C36}"/>
    <cellStyle name="Нейтральный 3" xfId="2347" xr:uid="{75C2271A-14BF-4FEF-9C3D-EABBA6155CE1}"/>
    <cellStyle name="Нейтральный 4" xfId="2348" xr:uid="{DCEAA842-232F-4E65-9777-31567E6DDCF3}"/>
    <cellStyle name="Обычный" xfId="0" builtinId="0"/>
    <cellStyle name="Обычный 10" xfId="2349" xr:uid="{6411DFD5-2927-4011-918F-DBB8BBCF1B77}"/>
    <cellStyle name="Обычный 10 2" xfId="2350" xr:uid="{C6F2EA88-6992-41DB-9CC5-3F2A16AA454F}"/>
    <cellStyle name="Обычный 10 3" xfId="2732" xr:uid="{547C5FBD-DB42-47E3-ACB3-AFB8E5B67319}"/>
    <cellStyle name="Обычный 11" xfId="2351" xr:uid="{57C85765-7B67-423A-9152-514C5CD10ACB}"/>
    <cellStyle name="Обычный 11 2" xfId="2733" xr:uid="{45A0CAC4-2FE9-4643-A09E-531D882FC77E}"/>
    <cellStyle name="Обычный 12" xfId="2352" xr:uid="{41079DB4-61A9-4C02-8569-BCEF7F60E6E1}"/>
    <cellStyle name="Обычный 12 2" xfId="2734" xr:uid="{5BC8D611-0E2D-4239-82EE-E6ACBE539D6E}"/>
    <cellStyle name="Обычный 13" xfId="2353" xr:uid="{D13517D2-52EA-4274-8C9C-5E772D4B9A07}"/>
    <cellStyle name="Обычный 13 2" xfId="2735" xr:uid="{105B1957-157A-4426-9549-D2ED798F54F5}"/>
    <cellStyle name="Обычный 14" xfId="2354" xr:uid="{2DDB13AF-E532-4950-8676-21E5681DE1B5}"/>
    <cellStyle name="Обычный 14 2" xfId="2355" xr:uid="{1DFA699F-CC6A-4864-B08A-D381805B4510}"/>
    <cellStyle name="Обычный 14 3" xfId="2736" xr:uid="{A8D8DEE9-0A6B-40C5-9851-1F0D3995EB09}"/>
    <cellStyle name="Обычный 15" xfId="2356" xr:uid="{41EE57E1-3773-4526-8F28-E38D0B4D6452}"/>
    <cellStyle name="Обычный 15 2" xfId="2737" xr:uid="{F55EA26E-F8C8-489F-ADA1-B78A1DAB95EC}"/>
    <cellStyle name="Обычный 16" xfId="2357" xr:uid="{EC383578-3159-47E5-94FA-58042F2F4E0D}"/>
    <cellStyle name="Обычный 16 2" xfId="2358" xr:uid="{F7E8BD94-AEDB-4E2D-8682-FB427F54187F}"/>
    <cellStyle name="Обычный 17" xfId="2359" xr:uid="{63A23338-A6AE-4923-B1CD-2950DB7B521F}"/>
    <cellStyle name="Обычный 18" xfId="2360" xr:uid="{7AB4A585-9C2A-4488-A07A-923CE7384D40}"/>
    <cellStyle name="Обычный 19" xfId="2361" xr:uid="{3C4198BC-C388-415F-97EC-22547067AB2C}"/>
    <cellStyle name="Обычный 2" xfId="8" xr:uid="{506A2995-7B8B-4DBD-9223-7697CDA5ADE0}"/>
    <cellStyle name="Обычный 2 2" xfId="14" xr:uid="{30142915-E0AB-42F5-AC18-9FDAA822F887}"/>
    <cellStyle name="Обычный 2 2 2" xfId="2364" xr:uid="{9CD28D86-71F1-47F7-9306-CB42F6767B60}"/>
    <cellStyle name="Обычный 2 2 2 2" xfId="2516" xr:uid="{229308F5-DD8A-4257-B5F3-A1A2BBF5B76E}"/>
    <cellStyle name="Обычный 2 2 3" xfId="2363" xr:uid="{98E36817-4D0D-4DBB-8436-BBF857FECFF0}"/>
    <cellStyle name="Обычный 2 3" xfId="2365" xr:uid="{0E835029-096E-4A94-B47C-7DAA479B1439}"/>
    <cellStyle name="Обычный 2 3 2" xfId="15" xr:uid="{4EBB86F8-988A-43D1-B9D3-005A3BA86214}"/>
    <cellStyle name="Обычный 2 3 2 2" xfId="2536" xr:uid="{87AA0CA3-72E0-4A26-82D6-A3A8361F8470}"/>
    <cellStyle name="Обычный 2 3 3" xfId="2738" xr:uid="{76C18437-B8FE-4D5D-8C26-960DFD7EF91E}"/>
    <cellStyle name="Обычный 2 4" xfId="2366" xr:uid="{C0ED3CC8-6038-4A5F-B12D-2C68818293FC}"/>
    <cellStyle name="Обычный 2 4 2" xfId="11" xr:uid="{384E6494-4B82-4668-8E82-9695C91B9382}"/>
    <cellStyle name="Обычный 2 4 2 2" xfId="19" xr:uid="{A90FEF36-6F06-41AB-BB1D-7238D75FFC5F}"/>
    <cellStyle name="Обычный 2 4 2 3" xfId="24" xr:uid="{A50B149A-A717-423D-8512-851A9056F9AB}"/>
    <cellStyle name="Обычный 2 4 2 4" xfId="29" xr:uid="{B9F06008-B4D9-4EF5-9C81-421D92BEAD07}"/>
    <cellStyle name="Обычный 2 5" xfId="2367" xr:uid="{5706208D-3477-4D31-862C-6C876F3352F1}"/>
    <cellStyle name="Обычный 2 6" xfId="2526" xr:uid="{F3CC3B7C-4483-4925-9428-719CE77F460E}"/>
    <cellStyle name="Обычный 2 7" xfId="2542" xr:uid="{1620E238-6485-4D33-BFFC-B0699DA75AD0}"/>
    <cellStyle name="Обычный 2 8" xfId="2362" xr:uid="{BA692E6F-E45B-4D75-B164-1814CA2F56E1}"/>
    <cellStyle name="Обычный 2_Форма_технологические карты" xfId="2368" xr:uid="{EC8F9171-27DD-4B29-AC92-7D952CCA345E}"/>
    <cellStyle name="Обычный 20" xfId="2369" xr:uid="{92D75DF8-EA20-45B2-AA87-F61BCF08306C}"/>
    <cellStyle name="Обычный 21" xfId="2370" xr:uid="{EAED1BFC-F104-4320-A5CE-9A460F264313}"/>
    <cellStyle name="Обычный 22" xfId="2371" xr:uid="{06506767-0BD9-4D60-B2CE-6171AC72B9BF}"/>
    <cellStyle name="Обычный 23" xfId="2372" xr:uid="{E3081AAB-9B7F-403A-BFF2-333EB885897D}"/>
    <cellStyle name="Обычный 24" xfId="2373" xr:uid="{8AC77AAD-9A41-49FD-B99C-1C8D007AF101}"/>
    <cellStyle name="Обычный 25" xfId="2374" xr:uid="{244BC60F-4B3A-482D-AC54-024B386DC0A8}"/>
    <cellStyle name="Обычный 26" xfId="2375" xr:uid="{3FAA7666-2B27-4101-A72E-4C2ECC701237}"/>
    <cellStyle name="Обычный 27" xfId="2376" xr:uid="{015D80DF-C520-4595-895B-CDEEE633EFF9}"/>
    <cellStyle name="Обычный 28" xfId="2377" xr:uid="{09BC7658-783B-4970-AD4C-076E7B404D9C}"/>
    <cellStyle name="Обычный 29" xfId="2378" xr:uid="{5B8E7A06-BF75-408E-858E-71A89315AF1A}"/>
    <cellStyle name="Обычный 3" xfId="13" xr:uid="{4F7A6BA3-DEF5-46E3-A92D-6B0327C80E03}"/>
    <cellStyle name="Обычный 3 2" xfId="9" xr:uid="{84FEF3B4-6430-4CED-9BE9-E048ECB68424}"/>
    <cellStyle name="Обычный 3 2 2" xfId="2541" xr:uid="{75092CD6-FB29-418B-A9E2-407518B9D94D}"/>
    <cellStyle name="Обычный 3 2 3" xfId="16" xr:uid="{E96B5D4E-406A-45C5-961C-137EA5C75F09}"/>
    <cellStyle name="Обычный 3 2 3 2" xfId="21" xr:uid="{FB21E610-125D-4236-B868-9713B34E5382}"/>
    <cellStyle name="Обычный 3 2 3 3" xfId="26" xr:uid="{DEA7F910-D3AE-481E-BB9A-A801B6B8232C}"/>
    <cellStyle name="Обычный 3 2 3 4" xfId="31" xr:uid="{59406905-53DB-4C82-A469-09C336A1FAB5}"/>
    <cellStyle name="Обычный 3 3" xfId="20" xr:uid="{D5DCC950-13BE-4058-932A-947FCB8C5BCC}"/>
    <cellStyle name="Обычный 3 4" xfId="25" xr:uid="{85EBB843-79C5-48E2-921D-37B6C1F56713}"/>
    <cellStyle name="Обычный 3 5" xfId="30" xr:uid="{13403D5E-C17A-4390-9490-B6F77F560FED}"/>
    <cellStyle name="Обычный 3 6" xfId="2379" xr:uid="{F05F21F8-8E72-4404-A457-4987D78CA9F3}"/>
    <cellStyle name="Обычный 30" xfId="2380" xr:uid="{A31AE7FA-5365-4879-B410-81FBF971F834}"/>
    <cellStyle name="Обычный 31" xfId="2381" xr:uid="{AA543C35-0BFF-407E-A05B-0CB5CE41B25A}"/>
    <cellStyle name="Обычный 32" xfId="2382" xr:uid="{0B7B5876-8B64-49B9-9CF8-EB64DC61EAFD}"/>
    <cellStyle name="Обычный 32 2" xfId="2739" xr:uid="{18C6F23E-29F2-415E-BEED-AF99CC67B205}"/>
    <cellStyle name="Обычный 33" xfId="2383" xr:uid="{A519B941-F408-494B-8C54-1506CB486CDD}"/>
    <cellStyle name="Обычный 34" xfId="2384" xr:uid="{734E6F41-5A69-4442-9D68-CCD0475EAEA1}"/>
    <cellStyle name="Обычный 35" xfId="2385" xr:uid="{B0954A18-F5FD-471E-AD67-208108AD526F}"/>
    <cellStyle name="Обычный 35 2" xfId="2740" xr:uid="{BD175965-7502-4D9D-AE26-02EA8C6ECC3E}"/>
    <cellStyle name="Обычный 36" xfId="2386" xr:uid="{51393588-2CDF-4F5C-914A-7FB2DD66ADA8}"/>
    <cellStyle name="Обычный 37" xfId="2387" xr:uid="{3963EE84-43C1-46BE-9D1E-29BE7F99A905}"/>
    <cellStyle name="Обычный 38" xfId="2388" xr:uid="{9E4D1715-9AA0-4B99-A19A-CCC9F0F2F5A4}"/>
    <cellStyle name="Обычный 38 2" xfId="2741" xr:uid="{77E4A0AF-B8AE-47B8-884C-9008F3E1A2EF}"/>
    <cellStyle name="Обычный 39" xfId="2389" xr:uid="{10A46575-A173-4164-A5BE-FCAB4F697E76}"/>
    <cellStyle name="Обычный 4" xfId="3" xr:uid="{9DECA38F-A4B2-4D88-AAF8-947E9812AC2A}"/>
    <cellStyle name="Обычный 4 2" xfId="12" xr:uid="{5B56954F-0F54-44A9-A74D-116F2B893B59}"/>
    <cellStyle name="Обычный 4 3" xfId="2390" xr:uid="{9ACFEC17-DCD5-4C94-A5E0-5019610D443D}"/>
    <cellStyle name="Обычный 40" xfId="2391" xr:uid="{3ACF54D8-7AF1-4DEA-9FB0-177EF8A93956}"/>
    <cellStyle name="Обычный 40 2" xfId="2742" xr:uid="{7EA048C2-8876-41A1-B605-10859978F887}"/>
    <cellStyle name="Обычный 41" xfId="2392" xr:uid="{9EC27938-7C53-4A1D-9D0F-135F4BB01FDB}"/>
    <cellStyle name="Обычный 42" xfId="2393" xr:uid="{EF2CA151-AC02-45B5-919E-B7EAC162A973}"/>
    <cellStyle name="Обычный 43" xfId="2394" xr:uid="{47F73E91-3EFA-45B4-BD56-F9572CE4B5FC}"/>
    <cellStyle name="Обычный 44" xfId="2395" xr:uid="{0D600364-73C8-431B-B124-875433A09053}"/>
    <cellStyle name="Обычный 45" xfId="2396" xr:uid="{8E8B0634-3050-4EF7-9C71-DDBC7A8DD4E0}"/>
    <cellStyle name="Обычный 46" xfId="2397" xr:uid="{BB53A170-B5E0-4829-9A3C-3AB287122D7B}"/>
    <cellStyle name="Обычный 47" xfId="2398" xr:uid="{677E001C-9859-4139-A691-A9096D056631}"/>
    <cellStyle name="Обычный 48" xfId="2399" xr:uid="{5121BC0D-8FFD-4842-8F89-4444DEAF563A}"/>
    <cellStyle name="Обычный 49" xfId="2400" xr:uid="{997FA09A-E0E4-43B1-A4FD-382C2FAF4F54}"/>
    <cellStyle name="Обычный 5" xfId="2401" xr:uid="{58A252FB-E874-4835-B1F2-699E8AF417D1}"/>
    <cellStyle name="Обычный 50" xfId="2402" xr:uid="{367E2C13-B424-450B-B0D9-06FBCAC44FBD}"/>
    <cellStyle name="Обычный 51" xfId="2403" xr:uid="{A966D316-0FFF-490C-B754-5E73BC2B0ECF}"/>
    <cellStyle name="Обычный 52" xfId="2404" xr:uid="{5C86CE67-9C47-4264-B5B1-71E16A79D902}"/>
    <cellStyle name="Обычный 53" xfId="2405" xr:uid="{11D56F5D-F990-4688-B70D-1E3B2DFC4A2D}"/>
    <cellStyle name="Обычный 54" xfId="2406" xr:uid="{E72A72F8-6F67-4BAF-892C-B4C41AB64DD3}"/>
    <cellStyle name="Обычный 55" xfId="2407" xr:uid="{63EA17F8-950B-4C5B-BCF7-8FA964FF3D24}"/>
    <cellStyle name="Обычный 56" xfId="2408" xr:uid="{750253E2-0E8F-4F08-AE02-59FF1C131CC4}"/>
    <cellStyle name="Обычный 56 2" xfId="2743" xr:uid="{605CB67C-4699-4BEA-BE7D-A5B0C7D2AC39}"/>
    <cellStyle name="Обычный 57" xfId="2409" xr:uid="{2AC32951-DFAD-46E5-B78C-958C937C76F3}"/>
    <cellStyle name="Обычный 57 2" xfId="2744" xr:uid="{E811E8C0-2923-4266-9FB9-3E6347147800}"/>
    <cellStyle name="Обычный 58" xfId="2410" xr:uid="{C0A3AF9D-73C0-4B58-AC35-C6990AD9956F}"/>
    <cellStyle name="Обычный 59" xfId="2411" xr:uid="{C55E36D0-24E7-4507-A1CB-7223782351F4}"/>
    <cellStyle name="Обычный 6" xfId="2412" xr:uid="{BCE5F708-5A4A-47C1-87C1-33D9351DE633}"/>
    <cellStyle name="Обычный 6 2" xfId="2413" xr:uid="{81EBAE77-F5F1-4F3D-A2A5-A00AB066F201}"/>
    <cellStyle name="Обычный 6 3 2" xfId="2414" xr:uid="{CF589985-D792-4A09-BD55-CA099347E3B7}"/>
    <cellStyle name="Обычный 6 3 2 2" xfId="2415" xr:uid="{DEA4568E-1F63-41D7-A24D-50CB41108A02}"/>
    <cellStyle name="Обычный 6 3 2 2 2" xfId="2416" xr:uid="{CFB1CB76-B802-4C7A-B3F1-F8C1F3B69DAD}"/>
    <cellStyle name="Обычный 6 3 2 3" xfId="2417" xr:uid="{0130DDED-69BC-4A55-A96D-E6258A59BBA5}"/>
    <cellStyle name="Обычный 6 3 2 4" xfId="2418" xr:uid="{9CB487BD-3102-4D9D-A5A0-CCF21A760739}"/>
    <cellStyle name="Обычный 6 3 2 4 2" xfId="2419" xr:uid="{18A16923-2043-428A-B7AF-A1857F3F2F6E}"/>
    <cellStyle name="Обычный 60" xfId="2420" xr:uid="{6D0F8E64-A9B2-45E0-BAAB-88ED7FEC336A}"/>
    <cellStyle name="Обычный 60 2" xfId="2421" xr:uid="{6F0C4721-E030-4047-BA6C-32366438062C}"/>
    <cellStyle name="Обычный 60 3" xfId="2745" xr:uid="{BF99F406-FD74-4558-9ACC-F521448B4403}"/>
    <cellStyle name="Обычный 61" xfId="2422" xr:uid="{0BFEBCF4-2AF5-47E7-9ABE-3A6BB9807698}"/>
    <cellStyle name="Обычный 61 2" xfId="2746" xr:uid="{8359ED1C-3807-49CF-B2DA-4E0486A2E78C}"/>
    <cellStyle name="Обычный 62" xfId="2423" xr:uid="{C3CC87F3-A5B2-4872-B2E8-C8C660C7CB82}"/>
    <cellStyle name="Обычный 62 2" xfId="2747" xr:uid="{95BA4754-EF1F-4C7A-BBAC-6B07BAB595A7}"/>
    <cellStyle name="Обычный 63" xfId="2424" xr:uid="{FEE854C2-8E6B-4B39-AECA-8ED3D126AD35}"/>
    <cellStyle name="Обычный 63 2" xfId="2748" xr:uid="{A298AE8A-6BEC-4A14-BEF5-03C0FA5D0802}"/>
    <cellStyle name="Обычный 64" xfId="2425" xr:uid="{EEBB7870-C70B-4A38-895B-FDA5BA125D25}"/>
    <cellStyle name="Обычный 64 2" xfId="2749" xr:uid="{7278B22D-7B4C-42FF-9FF0-AD29833A93A0}"/>
    <cellStyle name="Обычный 65" xfId="2426" xr:uid="{E77BBDAD-208A-4317-BA7E-EBED279D6A83}"/>
    <cellStyle name="Обычный 65 2" xfId="2750" xr:uid="{0A86DE2E-319D-4E5B-B60A-6411AF3E7B8D}"/>
    <cellStyle name="Обычный 66" xfId="2427" xr:uid="{F0B5E604-46C3-4FDC-A4A9-650C52F78CC8}"/>
    <cellStyle name="Обычный 66 2" xfId="2751" xr:uid="{2EF25D2E-1CD4-4243-9DAD-CCAEDFDC1707}"/>
    <cellStyle name="Обычный 67" xfId="2512" xr:uid="{B9419B79-A065-4E5A-A030-025019BE6E57}"/>
    <cellStyle name="Обычный 68" xfId="2514" xr:uid="{71B38BCE-6BE7-49E7-ABED-8AE18525BA50}"/>
    <cellStyle name="Обычный 69" xfId="2517" xr:uid="{5397DA78-F1F7-46E3-ADCC-DED2AC4C4855}"/>
    <cellStyle name="Обычный 7" xfId="2428" xr:uid="{42ED1E88-1A92-456C-BCFF-ADD2579401DE}"/>
    <cellStyle name="Обычный 7 2" xfId="2429" xr:uid="{5A8274D9-E76D-4442-A224-6A7540C61719}"/>
    <cellStyle name="Обычный 7 3" xfId="2430" xr:uid="{1C0582D9-449E-4B37-AAEB-F0DDA665E5D1}"/>
    <cellStyle name="Обычный 7 4" xfId="2431" xr:uid="{D0D13AC7-8FC2-4784-8660-5CE2414F31E3}"/>
    <cellStyle name="Обычный 7 5" xfId="2432" xr:uid="{54DF056D-9ACB-4D5A-81BD-6C6C2B2B287A}"/>
    <cellStyle name="Обычный 7 6" xfId="2433" xr:uid="{DFF27CFC-2F8D-4DFD-B349-E0843098E9A4}"/>
    <cellStyle name="Обычный 70" xfId="2525" xr:uid="{7DAA684C-A720-478E-B24E-A2346D64E399}"/>
    <cellStyle name="Обычный 71" xfId="2527" xr:uid="{2DBD2C83-AAAD-4DC1-B40F-82D935B01688}"/>
    <cellStyle name="Обычный 72" xfId="2529" xr:uid="{023A0DE9-4687-47DE-B36B-799C9F0F2037}"/>
    <cellStyle name="Обычный 73" xfId="2531" xr:uid="{76E1C29E-86AF-48AC-B707-0E6186807807}"/>
    <cellStyle name="Обычный 73 2" xfId="2767" xr:uid="{4183B622-6B01-4F72-B59D-6BF94097814D}"/>
    <cellStyle name="Обычный 73 2 2" xfId="2845" xr:uid="{68A3E533-3BD5-430B-A3B2-770C4B6B569D}"/>
    <cellStyle name="Обычный 73 3" xfId="2822" xr:uid="{D084A98D-DDEC-4D86-AB01-49DED432B121}"/>
    <cellStyle name="Обычный 74" xfId="2533" xr:uid="{DD5FEFE6-2C89-482D-B4A4-6B537037CDFC}"/>
    <cellStyle name="Обычный 74 2" xfId="2769" xr:uid="{D8F1B0D7-EFFE-4C7A-A8D7-923BCB443129}"/>
    <cellStyle name="Обычный 74 2 2" xfId="2847" xr:uid="{BF22714C-9CF3-4ECC-A43B-40624F0FA5EB}"/>
    <cellStyle name="Обычный 74 3" xfId="2824" xr:uid="{8C9CC085-4455-496D-B31F-C12C444CC8CA}"/>
    <cellStyle name="Обычный 75" xfId="2535" xr:uid="{1C4F91C9-14D5-487F-92C6-C3F948BF9199}"/>
    <cellStyle name="Обычный 75 2" xfId="2771" xr:uid="{58153BA1-D13D-497D-9D57-BBCE7FAC92DF}"/>
    <cellStyle name="Обычный 75 2 2" xfId="2849" xr:uid="{3C79BA4A-110E-42DA-BBA6-149B425CD2B3}"/>
    <cellStyle name="Обычный 75 3" xfId="2826" xr:uid="{D8637C3C-6B24-43CD-A52E-EE1D3B4A1BC4}"/>
    <cellStyle name="Обычный 76" xfId="2539" xr:uid="{531FA3C5-2312-4661-98F7-7E395507E8A8}"/>
    <cellStyle name="Обычный 77" xfId="2543" xr:uid="{F0FBDF5C-1CB3-46F2-B9DC-0016848231D5}"/>
    <cellStyle name="Обычный 77 2" xfId="2773" xr:uid="{3A94DE7B-9E9B-41BE-AD7E-58579D34887A}"/>
    <cellStyle name="Обычный 77 2 2" xfId="2851" xr:uid="{BDD0E107-9CA2-4F0F-BC0D-C054F062042E}"/>
    <cellStyle name="Обычный 77 3" xfId="2828" xr:uid="{FD73F958-3A39-47FF-8108-226B09B67A55}"/>
    <cellStyle name="Обычный 78" xfId="2544" xr:uid="{AD240D4D-57D9-4434-9FFF-FBA3E7F0C50C}"/>
    <cellStyle name="Обычный 78 2" xfId="2774" xr:uid="{F8072D05-80C2-49CD-944C-D6A38CFFD57D}"/>
    <cellStyle name="Обычный 78 2 2" xfId="2852" xr:uid="{60BECB4D-479B-4733-9AC1-F05087435C86}"/>
    <cellStyle name="Обычный 78 3" xfId="2829" xr:uid="{B727CFD5-4B0B-40B4-969B-B845E048174D}"/>
    <cellStyle name="Обычный 79" xfId="2546" xr:uid="{B6155B45-CA9C-4FD6-B606-2D741F9B7102}"/>
    <cellStyle name="Обычный 79 2" xfId="2830" xr:uid="{5821D8F2-E1EB-45BA-AA7C-411584A72253}"/>
    <cellStyle name="Обычный 8" xfId="2434" xr:uid="{51CB95F7-02E5-48F8-BF03-2286FF2E2EC6}"/>
    <cellStyle name="Обычный 80" xfId="2547" xr:uid="{EF8F3469-C4D2-4864-BD18-C7AB2D9B5DE2}"/>
    <cellStyle name="Обычный 80 2" xfId="2831" xr:uid="{379096B2-405E-4427-B387-1F2B6BD411EF}"/>
    <cellStyle name="Обычный 81" xfId="2548" xr:uid="{0F6B11CD-DE45-429D-B8EC-9AFD1E79D1E9}"/>
    <cellStyle name="Обычный 81 2" xfId="2832" xr:uid="{7EB4329B-DC53-448B-9EC6-BFD355A735B3}"/>
    <cellStyle name="Обычный 82" xfId="2549" xr:uid="{53421E10-05F2-4816-90E7-8F65E5AD7EBD}"/>
    <cellStyle name="Обычный 82 2" xfId="2833" xr:uid="{5F5DAA93-C3A9-4322-AD50-FAD914A00C86}"/>
    <cellStyle name="Обычный 83" xfId="2550" xr:uid="{E6B7DDFE-ADCE-4957-9AC5-121093AB6C0B}"/>
    <cellStyle name="Обычный 83 2" xfId="2834" xr:uid="{27133103-6712-4D77-ADF3-8E0F398E38D7}"/>
    <cellStyle name="Обычный 84" xfId="2551" xr:uid="{0F1F8BF6-350C-40C7-8DF1-AD95AB7D2302}"/>
    <cellStyle name="Обычный 84 2" xfId="2835" xr:uid="{EBAF0D11-D0B3-4570-AE94-7370FC0F5791}"/>
    <cellStyle name="Обычный 85" xfId="2552" xr:uid="{00255BA9-35CF-48A5-97AA-4AA4C480D387}"/>
    <cellStyle name="Обычный 85 2" xfId="2836" xr:uid="{5A26FE5E-5B15-48D7-8DCF-D041D7B49DA5}"/>
    <cellStyle name="Обычный 86" xfId="2553" xr:uid="{288B6C71-6C3A-4CF3-8888-4F94C532ED6D}"/>
    <cellStyle name="Обычный 86 2" xfId="2837" xr:uid="{CC75114C-1626-428F-BE6C-A0DB1BD05D5D}"/>
    <cellStyle name="Обычный 87" xfId="2554" xr:uid="{634CA1BF-CBD8-4989-8B4D-2896F5D90532}"/>
    <cellStyle name="Обычный 87 2" xfId="2838" xr:uid="{4667A476-D1E2-46EC-A33E-2483CCD79A95}"/>
    <cellStyle name="Обычный 88" xfId="2765" xr:uid="{35818B09-32A7-4931-8BD1-B63CD032ABEA}"/>
    <cellStyle name="Обычный 88 2" xfId="2843" xr:uid="{2F4F0834-C693-4056-84A7-E540917753D0}"/>
    <cellStyle name="Обычный 89" xfId="34" xr:uid="{6FCF7441-4ECE-41B6-A5B9-23602689E150}"/>
    <cellStyle name="Обычный 9" xfId="2435" xr:uid="{CEA8BEBD-A57F-4773-B71D-E7467CC0D884}"/>
    <cellStyle name="Плохой 1" xfId="2436" xr:uid="{0E1C6442-7157-452E-936C-C682F3F42680}"/>
    <cellStyle name="Плохой 2" xfId="2437" xr:uid="{949DF135-62B8-436C-8859-0CFDD2DA20E7}"/>
    <cellStyle name="Плохой 3" xfId="2438" xr:uid="{25984D1E-AECF-4EF1-8AB0-C537CC8B77A0}"/>
    <cellStyle name="Плохой 4" xfId="2439" xr:uid="{5C6F9467-DA4D-480A-896D-B0E140A967BB}"/>
    <cellStyle name="Поле сводной таблицы" xfId="2522" xr:uid="{9C7F19C8-3231-42AC-B232-7BDEF3DDD736}"/>
    <cellStyle name="Пояснение 1" xfId="2440" xr:uid="{069F3D4A-D357-4DAD-9E42-589CDF19E228}"/>
    <cellStyle name="Пояснение 2" xfId="2441" xr:uid="{A4EDE7D0-70F3-41F9-92FD-32AFEDA1A3C4}"/>
    <cellStyle name="Пояснение 3" xfId="2442" xr:uid="{8AB7FD91-2FE6-4F28-BFA3-BB6977790F8E}"/>
    <cellStyle name="Пояснение 4" xfId="2443" xr:uid="{6BB65913-7B09-41A5-BA71-D197E8289EAC}"/>
    <cellStyle name="Примечание 1" xfId="2444" xr:uid="{2A8CC035-1EBF-4EFE-99B1-8A076BEF26AF}"/>
    <cellStyle name="Примечание 1 2" xfId="2752" xr:uid="{573F64EB-0B49-4935-8CA0-518E16FC2DD1}"/>
    <cellStyle name="Примечание 1 2 2" xfId="2856" xr:uid="{D4E0D322-10D2-4C2D-A264-4C495DF5CDB3}"/>
    <cellStyle name="Примечание 2" xfId="2445" xr:uid="{EAEB2092-E111-47AB-8A79-75B3FCFA7E84}"/>
    <cellStyle name="Примечание 2 2" xfId="2753" xr:uid="{D8C9E1B1-5CC2-4348-AD1A-FC6457A4AC9A}"/>
    <cellStyle name="Примечание 2 2 2" xfId="2857" xr:uid="{80477C45-1BF1-481F-BEB2-49169C1A6BD9}"/>
    <cellStyle name="Примечание 3" xfId="2446" xr:uid="{166F3DAE-F961-434C-8FB7-722B826704C0}"/>
    <cellStyle name="Примечание 3 2" xfId="2754" xr:uid="{8C9CCDA4-8A17-48FF-A6D3-C566D23F548C}"/>
    <cellStyle name="Примечание 3 2 2" xfId="2858" xr:uid="{BA3D553D-F8E2-45BD-BBA7-D0AFDB62D3E1}"/>
    <cellStyle name="Примечание 4" xfId="2447" xr:uid="{C3314CE3-95B4-4783-8D41-EA508FA11F71}"/>
    <cellStyle name="Примечание 4 2" xfId="2755" xr:uid="{6FBB789B-D5BB-4821-BA3C-B9C8AB1AF436}"/>
    <cellStyle name="Примечание 4 2 2" xfId="2859" xr:uid="{6331DC7F-86B6-4569-A946-19B193537E3A}"/>
    <cellStyle name="проба" xfId="2448" xr:uid="{7D6404A7-ED13-45DB-99C4-713C4A313FDD}"/>
    <cellStyle name="проба 1" xfId="2449" xr:uid="{221B1577-6F88-4C08-8B24-5D53E5E08076}"/>
    <cellStyle name="проба 2" xfId="2450" xr:uid="{B970C6CF-5016-40ED-AAAC-DCA0675DD555}"/>
    <cellStyle name="проба 3" xfId="2451" xr:uid="{0F996493-C434-4D7D-BE3F-5264BA0FE245}"/>
    <cellStyle name="Процентный" xfId="1" builtinId="5"/>
    <cellStyle name="Процентный 10" xfId="2538" xr:uid="{63CF0E61-EB6A-4F4A-81CF-4A1E8934F153}"/>
    <cellStyle name="Процентный 11" xfId="36" xr:uid="{90A79C24-828C-4AAC-89CF-566EF87A3BA5}"/>
    <cellStyle name="Процентный 2" xfId="17" xr:uid="{FFE56B31-4DF6-4740-9C67-A0C965D25840}"/>
    <cellStyle name="Процентный 2 2" xfId="22" xr:uid="{62E87E61-D1BF-470E-868A-B15F2F374977}"/>
    <cellStyle name="Процентный 2 2 2" xfId="2756" xr:uid="{F56B219F-0069-423A-B971-F310E67FF16C}"/>
    <cellStyle name="Процентный 2 2 3" xfId="2453" xr:uid="{AFA02642-F163-464B-8D6B-2051EFCB918B}"/>
    <cellStyle name="Процентный 2 3" xfId="27" xr:uid="{556E5A32-3222-4CEC-8155-5005D58CB915}"/>
    <cellStyle name="Процентный 2 3 2" xfId="2528" xr:uid="{4911161D-CCE6-4AD5-AE1F-AA8BF259C3C0}"/>
    <cellStyle name="Процентный 2 4" xfId="32" xr:uid="{FC85FCD2-D5E1-4627-84B5-3CE7E3ADDF45}"/>
    <cellStyle name="Процентный 2 4 2" xfId="2545" xr:uid="{92415F4A-61B8-40AF-8508-4837281E5CE2}"/>
    <cellStyle name="Процентный 2 5" xfId="2452" xr:uid="{12912928-8474-4A4B-A49E-F0C481D66B1E}"/>
    <cellStyle name="Процентный 3" xfId="5" xr:uid="{F2B19399-1287-4DFF-AC6A-CFD3DCF4CF98}"/>
    <cellStyle name="Процентный 3 2" xfId="2454" xr:uid="{4E6C7094-3B8B-4013-8331-5B331F8422F5}"/>
    <cellStyle name="Процентный 4" xfId="2455" xr:uid="{4439B5DF-47FD-4175-804F-128E3D34635F}"/>
    <cellStyle name="Процентный 5" xfId="2456" xr:uid="{B5948283-9018-4D67-95A9-BC29A30E9438}"/>
    <cellStyle name="Процентный 5 2" xfId="2457" xr:uid="{D843FE83-E6FF-4A8D-AFEB-5F9FB1CB2068}"/>
    <cellStyle name="Процентный 6" xfId="2458" xr:uid="{152A0731-4CDC-40E6-AEA3-2882AF6C356B}"/>
    <cellStyle name="Процентный 7" xfId="2459" xr:uid="{2D3DC022-D48E-4DB8-9C7B-E8C718ED947D}"/>
    <cellStyle name="Процентный 8" xfId="2460" xr:uid="{937244C3-325E-4C03-BC03-47C2C96899F8}"/>
    <cellStyle name="Процентный 9" xfId="2532" xr:uid="{120DEDE9-8471-4C68-B791-581C46A62EC8}"/>
    <cellStyle name="Процентный 9 2" xfId="2768" xr:uid="{30626421-B42B-43BB-A741-505D603C36C1}"/>
    <cellStyle name="Процентный 9 2 2" xfId="2846" xr:uid="{42128D9B-7419-413C-9E21-79E089426DEE}"/>
    <cellStyle name="Процентный 9 3" xfId="2823" xr:uid="{A40D9537-7AB7-4ED9-A72B-38F637C05FC0}"/>
    <cellStyle name="Результат сводной таблицы" xfId="2523" xr:uid="{B76B8DC9-372D-4F8D-A944-FDB313A10307}"/>
    <cellStyle name="Связанная ячейка 1" xfId="2461" xr:uid="{A9D3594F-6258-4C06-8808-B3C95C633A1B}"/>
    <cellStyle name="Связанная ячейка 2" xfId="2462" xr:uid="{595F215A-0363-4AE6-83CD-A05FD314970A}"/>
    <cellStyle name="Связанная ячейка 3" xfId="2463" xr:uid="{EE52163B-D348-417F-B4FE-216A66CA1ED3}"/>
    <cellStyle name="Связанная ячейка 4" xfId="2464" xr:uid="{F2D7500D-DA6F-4ED9-A054-DC94D37EA99B}"/>
    <cellStyle name="Стиль 1" xfId="2465" xr:uid="{1E2A03F6-A7CD-4344-AEF1-D3BDA9B6BE3E}"/>
    <cellStyle name="Стиль 1 1" xfId="2466" xr:uid="{74B205EB-25F2-476C-8CA0-85BCD407EA31}"/>
    <cellStyle name="Стиль 1 2" xfId="2467" xr:uid="{DCB8D048-0C25-45CA-9D99-8E0A6CDD4440}"/>
    <cellStyle name="Стиль 1 3" xfId="2468" xr:uid="{1163519E-0241-4F32-84C3-86E446FA4ED2}"/>
    <cellStyle name="Стиль 1_Копия Растениеводство форма(Акционеры)" xfId="2469" xr:uid="{455B9F91-DE96-482A-A4C2-F17752484A2B}"/>
    <cellStyle name="Текст предупреждения 1" xfId="2470" xr:uid="{78ABF05A-62A0-4ABD-B2CF-9879716408A8}"/>
    <cellStyle name="Текст предупреждения 1 2" xfId="2757" xr:uid="{E3A60E3A-8270-48BE-AF09-3EA322BB35F8}"/>
    <cellStyle name="Текст предупреждения 2" xfId="2471" xr:uid="{AC1488B0-823A-4554-A568-DAACA8E71F73}"/>
    <cellStyle name="Текст предупреждения 2 2" xfId="2758" xr:uid="{9659A564-233B-45BA-9A05-8F4AE71F7578}"/>
    <cellStyle name="Текст предупреждения 3" xfId="2472" xr:uid="{F529D649-136C-4538-9E07-C2AB493DA455}"/>
    <cellStyle name="Текст предупреждения 3 2" xfId="2759" xr:uid="{4E01702A-A11D-4317-AA7E-E41C98F93F2B}"/>
    <cellStyle name="Текст предупреждения 4" xfId="2473" xr:uid="{5CDABDBE-11DA-4F42-85BE-992C429B22E7}"/>
    <cellStyle name="Текст предупреждения 4 2" xfId="2760" xr:uid="{00EA64B5-A2D6-491D-94A8-BCA156F7B5B5}"/>
    <cellStyle name="тонны" xfId="2474" xr:uid="{C7FF82C4-394B-4532-A4B1-7C57D5C725F1}"/>
    <cellStyle name="тонны 1" xfId="2475" xr:uid="{9F67391A-3628-42B3-9336-1E697DA79466}"/>
    <cellStyle name="тонны 2" xfId="2476" xr:uid="{751D3DFA-2C5A-4875-87ED-846B89A0B66C}"/>
    <cellStyle name="тонны 3" xfId="2477" xr:uid="{84F0C3AB-0425-4F32-8DC2-8B4C86E5FC9A}"/>
    <cellStyle name="тонны_АГМ" xfId="2478" xr:uid="{D44D18F6-7489-408D-A72A-5004A8111728}"/>
    <cellStyle name="Тысячи [0]_Cash_flows" xfId="2479" xr:uid="{C3809463-7F30-4A2D-A693-BBED5FBE7EBB}"/>
    <cellStyle name="Тысячи [а]" xfId="2480" xr:uid="{CA2332B1-CC59-467C-9AEE-FE90024F4C70}"/>
    <cellStyle name="Тысячи [а] 1" xfId="2481" xr:uid="{17C7C6B9-8B5E-4D31-BDAF-1F425F652501}"/>
    <cellStyle name="Тысячи [а] 2" xfId="2482" xr:uid="{B5942DEE-89CB-47F2-ABFC-DF3E485CA597}"/>
    <cellStyle name="Тысячи [а] 3" xfId="2483" xr:uid="{3FEFEEB2-D8C9-4395-9B89-6B684681C49F}"/>
    <cellStyle name="Тысячи [а]_АГМ" xfId="2484" xr:uid="{26523CAB-F67E-4AC6-ABA2-740C139E0939}"/>
    <cellStyle name="Тысячи_Cash_flows" xfId="2485" xr:uid="{AD5C6AEA-E26E-4834-89E0-A45996D97403}"/>
    <cellStyle name="Угол сводной таблицы" xfId="2524" xr:uid="{12764243-3BE1-4816-956C-EEE3932939E5}"/>
    <cellStyle name="Финансовый" xfId="2" builtinId="3"/>
    <cellStyle name="Финансовый 10" xfId="2486" xr:uid="{0BDE24FB-BD85-4754-947F-9FD39EB4A7BF}"/>
    <cellStyle name="Финансовый 11" xfId="2487" xr:uid="{762B1724-9841-480C-8F66-02FFDAA444A6}"/>
    <cellStyle name="Финансовый 12" xfId="2488" xr:uid="{5B7A285B-E248-4EE5-99FB-F0605A231F08}"/>
    <cellStyle name="Финансовый 12 2" xfId="2761" xr:uid="{03D2D0F3-4F2C-479E-8A8C-FB336D948D4A}"/>
    <cellStyle name="Финансовый 13" xfId="2489" xr:uid="{71C1A239-E077-4319-91C9-66E2A8C8EF3B}"/>
    <cellStyle name="Финансовый 13 2" xfId="2490" xr:uid="{B0732735-4394-4CFE-84CB-A65712CDBA2A}"/>
    <cellStyle name="Финансовый 14" xfId="2513" xr:uid="{38D67560-C26C-4A28-8A37-7DC29228D0DD}"/>
    <cellStyle name="Финансовый 14 2" xfId="2766" xr:uid="{3E14450B-D80F-4A6F-94D3-B43ADCD22C7D}"/>
    <cellStyle name="Финансовый 14 2 2" xfId="2844" xr:uid="{87373D0F-BC15-47CE-8575-69D84B4AE1D5}"/>
    <cellStyle name="Финансовый 14 3" xfId="2821" xr:uid="{B6B08855-C091-4134-B412-E1101982141C}"/>
    <cellStyle name="Финансовый 15" xfId="2515" xr:uid="{DBC3215A-B9FD-4F9F-92C8-8EBA28FEE827}"/>
    <cellStyle name="Финансовый 16" xfId="2518" xr:uid="{8CBA439B-2D55-4F0F-9D4F-7FF978CCACEE}"/>
    <cellStyle name="Финансовый 17" xfId="2534" xr:uid="{33BA60F2-FB14-4DCD-9029-2F3E5C0E5EEC}"/>
    <cellStyle name="Финансовый 17 2" xfId="2770" xr:uid="{C64B77DF-D05F-4034-BC53-43F39BDC8F6A}"/>
    <cellStyle name="Финансовый 17 2 2" xfId="2848" xr:uid="{75AC5A56-82D0-4D43-9672-0ECC10D9FF4F}"/>
    <cellStyle name="Финансовый 17 3" xfId="2825" xr:uid="{E3293D7D-6D84-46C9-9688-592DB13AFF75}"/>
    <cellStyle name="Финансовый 18" xfId="2537" xr:uid="{AE34B91F-0F6D-40AF-96C1-48664578B39C}"/>
    <cellStyle name="Финансовый 18 2" xfId="2772" xr:uid="{E52910FC-C89F-4B98-A36B-081519BC4A0C}"/>
    <cellStyle name="Финансовый 18 2 2" xfId="2850" xr:uid="{1FA1FE4A-6EF5-485F-A8B4-F607E365260F}"/>
    <cellStyle name="Финансовый 18 3" xfId="2827" xr:uid="{DBBB6C69-BCFB-4162-802C-C8AB61399D50}"/>
    <cellStyle name="Финансовый 19" xfId="2540" xr:uid="{00775B15-3965-483A-AC58-36EFBC6AD995}"/>
    <cellStyle name="Финансовый 2" xfId="6" xr:uid="{1D89BE05-00BE-4367-BFE8-4B5A15214BDD}"/>
    <cellStyle name="Финансовый 2 2" xfId="33" xr:uid="{EA7CDDC7-40DB-4B0D-B7F4-89F84F4E4ED9}"/>
    <cellStyle name="Финансовый 2 2 2" xfId="2530" xr:uid="{494BAEAC-C651-4B2A-A213-BBB6C4DD9AB8}"/>
    <cellStyle name="Финансовый 2 3" xfId="2491" xr:uid="{789C949E-FA74-4B7B-B63C-9483EE648F1E}"/>
    <cellStyle name="Финансовый 2 3 2" xfId="2762" xr:uid="{2A3041D6-0B2E-4577-8D4B-0623E2B2C5D7}"/>
    <cellStyle name="Финансовый 2 4" xfId="2492" xr:uid="{18750EEC-7559-4756-9400-50769DD7EEA5}"/>
    <cellStyle name="Финансовый 2 4 2" xfId="2763" xr:uid="{A7CE1133-5A18-4331-8E1D-FBF83D620222}"/>
    <cellStyle name="Финансовый 3" xfId="4" xr:uid="{C5A6FC3A-DCBE-43D5-8087-C8670A312DB6}"/>
    <cellStyle name="Финансовый 3 2" xfId="2494" xr:uid="{A115D70E-B7C7-49A6-A103-18117F33CF0E}"/>
    <cellStyle name="Финансовый 3 3" xfId="2493" xr:uid="{42415F8E-5F72-422E-A3A1-1351691F8B74}"/>
    <cellStyle name="Финансовый 3 4" xfId="2495" xr:uid="{BA93FAE0-F26A-4E43-BAD3-A5F63ECD93E4}"/>
    <cellStyle name="Финансовый 4" xfId="7" xr:uid="{9089C26D-2693-4DC5-AD2C-BE3212B4493B}"/>
    <cellStyle name="Финансовый 4 2" xfId="2496" xr:uid="{5A52AA4D-2BD2-4C65-9280-CBEF71216F89}"/>
    <cellStyle name="Финансовый 5" xfId="18" xr:uid="{39D08804-4307-43E3-AC9C-FBCF54A48738}"/>
    <cellStyle name="Финансовый 5 2" xfId="2498" xr:uid="{ED3CCB28-1CE0-401E-8F1D-31339E7E021A}"/>
    <cellStyle name="Финансовый 5 3" xfId="2497" xr:uid="{894CFBF0-7378-421A-9511-9A6D7092C236}"/>
    <cellStyle name="Финансовый 6" xfId="23" xr:uid="{226C815B-8B5C-451C-9546-100C7BCAE5F7}"/>
    <cellStyle name="Финансовый 6 2" xfId="2500" xr:uid="{CA7C0728-21D3-4EF4-A3D8-87B1E255B91D}"/>
    <cellStyle name="Финансовый 6 3" xfId="2501" xr:uid="{A7586B46-E5EA-41F5-9FCB-048C9A464C26}"/>
    <cellStyle name="Финансовый 6 4" xfId="2502" xr:uid="{FC6CB1AC-BF7C-48AE-9C0B-567385203D01}"/>
    <cellStyle name="Финансовый 6 5" xfId="2503" xr:uid="{C30ED542-7F33-4689-9B97-F1AE0B03295F}"/>
    <cellStyle name="Финансовый 6 6" xfId="2504" xr:uid="{54D15FB7-7FAC-464B-8813-5757CBFF93A9}"/>
    <cellStyle name="Финансовый 6 7" xfId="2499" xr:uid="{AB267E6D-737B-403E-8744-0269D9A7C9B5}"/>
    <cellStyle name="Финансовый 7" xfId="28" xr:uid="{F542165F-CEAF-4F67-9AE4-D023850ACC15}"/>
    <cellStyle name="Финансовый 7 2" xfId="2505" xr:uid="{DCB64E16-7B24-47BC-803B-690D44DD426C}"/>
    <cellStyle name="Финансовый 8" xfId="2506" xr:uid="{C49E2734-D507-4156-9AC0-3D422343600F}"/>
    <cellStyle name="Финансовый 9" xfId="2507" xr:uid="{A3501339-9721-48CA-A46F-9909D0C2B577}"/>
    <cellStyle name="Финансовый 9 2" xfId="2764" xr:uid="{A759DAA9-A79B-4CD4-A152-A38847A2600D}"/>
    <cellStyle name="Хороший 1" xfId="2508" xr:uid="{A620AB03-2181-4E89-895E-9F94983E1F56}"/>
    <cellStyle name="Хороший 2" xfId="2509" xr:uid="{D8623FC1-08C5-4EFD-944A-02776092B1F3}"/>
    <cellStyle name="Хороший 3" xfId="2510" xr:uid="{8D819284-646A-479E-A718-DEA5ED23FC84}"/>
    <cellStyle name="Хороший 4" xfId="2511" xr:uid="{D4C1368F-56C3-46E4-9D40-C0A7AD37987C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4" formatCode="#,##0.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74" formatCode="#,##0.0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  <alignment horizontal="center" vertical="center" textRotation="0" wrapText="1" indent="0" justifyLastLine="0" shrinkToFit="0" readingOrder="0"/>
    </dxf>
    <dxf>
      <numFmt numFmtId="4" formatCode="#,##0.00"/>
      <alignment horizontal="center" vertical="bottom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3" formatCode="#,##0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numFmt numFmtId="174" formatCode="#,##0.0"/>
    </dxf>
    <dxf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74" formatCode="#,##0.0"/>
    </dxf>
    <dxf>
      <numFmt numFmtId="17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4" formatCode="#,##0.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74" formatCode="#,##0.0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4" formatCode="#,##0.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74" formatCode="#,##0.0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1" formatCode="0.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left style="thin">
          <color rgb="FFCCC085"/>
        </left>
        <right style="thin">
          <color rgb="FFCCC085"/>
        </right>
        <top style="thin">
          <color rgb="FFCCC085"/>
        </top>
        <bottom style="thin">
          <color rgb="FFCCC085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CCC085"/>
        </left>
        <right style="thin">
          <color rgb="FFCCC085"/>
        </right>
        <top/>
        <bottom/>
      </border>
    </dxf>
    <dxf>
      <fill>
        <patternFill patternType="solid">
          <fgColor auto="1"/>
          <bgColor theme="5" tint="0.79995117038483843"/>
        </patternFill>
      </fill>
    </dxf>
    <dxf>
      <font>
        <color theme="0"/>
      </font>
      <fill>
        <patternFill patternType="solid">
          <fgColor auto="1"/>
          <bgColor theme="0" tint="-0.499984740745262"/>
        </patternFill>
      </fill>
    </dxf>
    <dxf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 style="thin">
          <color theme="2" tint="-9.9917600024414813E-2"/>
        </vertical>
        <horizontal style="thin">
          <color theme="2" tint="-9.9917600024414813E-2"/>
        </horizontal>
      </border>
    </dxf>
  </dxfs>
  <tableStyles count="1" defaultTableStyle="TableStyleMedium2" defaultPivotStyle="PivotStyleLight16">
    <tableStyle name="Стиль таблицы 1" pivot="0" count="3" xr9:uid="{A5C387A6-E29D-4BA1-8B0D-C992EF6CEA06}">
      <tableStyleElement type="wholeTable" dxfId="102"/>
      <tableStyleElement type="headerRow" dxfId="101"/>
      <tableStyleElement type="totalRow" dxfId="100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E5"/>
      <rgbColor rgb="FF99CCFF"/>
      <rgbColor rgb="FFFF99CC"/>
      <rgbColor rgb="FFCC99FF"/>
      <rgbColor rgb="FFFFCC99"/>
      <rgbColor rgb="FF3366FF"/>
      <rgbColor rgb="FF33CCCC"/>
      <rgbColor rgb="FF99CC00"/>
      <rgbColor rgb="FFEEB500"/>
      <rgbColor rgb="FFFF9900"/>
      <rgbColor rgb="FFFF6600"/>
      <rgbColor rgb="FF666699"/>
      <rgbColor rgb="FFB48450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6600"/>
      <color rgb="FF8A0000"/>
      <color rgb="FFFFF9E7"/>
      <color rgb="FFFF5757"/>
      <color rgb="FF669900"/>
      <color rgb="FFF9F9F9"/>
      <color rgb="FF5E5028"/>
      <color rgb="FFFF3333"/>
      <color rgb="FFF20000"/>
      <color rgb="FFF8F5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76546309170884E-3"/>
          <c:y val="5.559177471542729E-2"/>
          <c:w val="0.98296164864345925"/>
          <c:h val="0.861831185398842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'Озимая пшеница'!$B$11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5000"/>
                    <a:lumOff val="95000"/>
                  </a:schemeClr>
                </a:gs>
                <a:gs pos="52000">
                  <a:schemeClr val="accent4">
                    <a:lumMod val="45000"/>
                    <a:lumOff val="55000"/>
                  </a:schemeClr>
                </a:gs>
                <a:gs pos="100000">
                  <a:schemeClr val="accent4">
                    <a:lumMod val="45000"/>
                    <a:lumOff val="55000"/>
                  </a:schemeClr>
                </a:gs>
                <a:gs pos="100000">
                  <a:schemeClr val="accent4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 w="44450">
              <a:noFill/>
            </a:ln>
            <a:effectLst/>
          </c:spPr>
          <c:invertIfNegative val="0"/>
          <c:dLbls>
            <c:dLbl>
              <c:idx val="5"/>
              <c:layout>
                <c:manualLayout>
                  <c:x val="7.7960551960707877E-4"/>
                  <c:y val="-3.6640428529526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8EE-466F-9208-F65FA504B0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'Озимая пшеница'!$C$5:$I$5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'Озимая пшеница'!$C$11:$I$11</c:f>
              <c:numCache>
                <c:formatCode>##\ ###" т"</c:formatCode>
                <c:ptCount val="7"/>
                <c:pt idx="0">
                  <c:v>15809.01</c:v>
                </c:pt>
                <c:pt idx="1">
                  <c:v>18722.34</c:v>
                </c:pt>
                <c:pt idx="2">
                  <c:v>22621.25</c:v>
                </c:pt>
                <c:pt idx="3">
                  <c:v>16385.28</c:v>
                </c:pt>
                <c:pt idx="4">
                  <c:v>18615.46</c:v>
                </c:pt>
                <c:pt idx="5">
                  <c:v>18818.61</c:v>
                </c:pt>
                <c:pt idx="6">
                  <c:v>11845.97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EF-406E-ABF9-37A47779EDD6}"/>
            </c:ext>
          </c:extLst>
        </c:ser>
        <c:ser>
          <c:idx val="2"/>
          <c:order val="2"/>
          <c:tx>
            <c:strRef>
              <c:f>'Озимая пшеница'!$B$13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bg1">
                  <a:lumMod val="50000"/>
                </a:schemeClr>
              </a:fgClr>
              <a:bgClr>
                <a:schemeClr val="bg1"/>
              </a:bgClr>
            </a:pattFill>
            <a:ln>
              <a:noFill/>
            </a:ln>
            <a:effectLst>
              <a:innerShdw blurRad="114300">
                <a:schemeClr val="accent3">
                  <a:tint val="65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'Озимая пшеница'!$C$5:$I$5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'Озимая пшеница'!$C$13:$I$13</c:f>
              <c:numCache>
                <c:formatCode>00" га"</c:formatCode>
                <c:ptCount val="7"/>
                <c:pt idx="0">
                  <c:v>3068</c:v>
                </c:pt>
                <c:pt idx="1">
                  <c:v>2960</c:v>
                </c:pt>
                <c:pt idx="2">
                  <c:v>3111</c:v>
                </c:pt>
                <c:pt idx="3">
                  <c:v>3029</c:v>
                </c:pt>
                <c:pt idx="4">
                  <c:v>2882</c:v>
                </c:pt>
                <c:pt idx="5">
                  <c:v>4163</c:v>
                </c:pt>
                <c:pt idx="6">
                  <c:v>1838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54-40F8-879F-A929856AE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0"/>
        <c:axId val="638933816"/>
        <c:axId val="638929496"/>
      </c:barChart>
      <c:lineChart>
        <c:grouping val="standard"/>
        <c:varyColors val="0"/>
        <c:ser>
          <c:idx val="1"/>
          <c:order val="1"/>
          <c:tx>
            <c:strRef>
              <c:f>'Озимая пшеница'!$B$14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7"/>
            <c:spPr>
              <a:solidFill>
                <a:schemeClr val="bg1"/>
              </a:solidFill>
              <a:ln w="19050">
                <a:solidFill>
                  <a:srgbClr val="C00000">
                    <a:alpha val="98000"/>
                  </a:srgbClr>
                </a:solidFill>
              </a:ln>
              <a:effectLst/>
            </c:spPr>
          </c:marker>
          <c:dLbls>
            <c:dLbl>
              <c:idx val="5"/>
              <c:layout>
                <c:manualLayout>
                  <c:x val="-3.2139391011456434E-3"/>
                  <c:y val="-5.20599422023685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8EE-466F-9208-F65FA504B0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'Озимая пшеница'!$C$5:$F$5</c:f>
              <c:strCache>
                <c:ptCount val="4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</c:strCache>
            </c:strRef>
          </c:cat>
          <c:val>
            <c:numRef>
              <c:f>'Озимая пшеница'!$C$14:$I$14</c:f>
              <c:numCache>
                <c:formatCode>00.0" ц/га"</c:formatCode>
                <c:ptCount val="7"/>
                <c:pt idx="0">
                  <c:v>51.528715775749674</c:v>
                </c:pt>
                <c:pt idx="1">
                  <c:v>63.251148648648652</c:v>
                </c:pt>
                <c:pt idx="2">
                  <c:v>72.713757634201215</c:v>
                </c:pt>
                <c:pt idx="3">
                  <c:v>54.094684714427203</c:v>
                </c:pt>
                <c:pt idx="4">
                  <c:v>64.592158223455925</c:v>
                </c:pt>
                <c:pt idx="5">
                  <c:v>45.204443910641366</c:v>
                </c:pt>
                <c:pt idx="6">
                  <c:v>64.45032644178454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EF-406E-ABF9-37A47779EDD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38921576"/>
        <c:axId val="638919416"/>
      </c:lineChart>
      <c:catAx>
        <c:axId val="638933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38929496"/>
        <c:crosses val="autoZero"/>
        <c:auto val="1"/>
        <c:lblAlgn val="ctr"/>
        <c:lblOffset val="100"/>
        <c:noMultiLvlLbl val="0"/>
      </c:catAx>
      <c:valAx>
        <c:axId val="638929496"/>
        <c:scaling>
          <c:orientation val="minMax"/>
          <c:max val="300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38933816"/>
        <c:crosses val="autoZero"/>
        <c:crossBetween val="between"/>
      </c:valAx>
      <c:valAx>
        <c:axId val="638919416"/>
        <c:scaling>
          <c:orientation val="minMax"/>
          <c:max val="75"/>
          <c:min val="0"/>
        </c:scaling>
        <c:delete val="0"/>
        <c:axPos val="r"/>
        <c:numFmt formatCode="00.0&quot; ц/га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38921576"/>
        <c:crosses val="max"/>
        <c:crossBetween val="between"/>
        <c:majorUnit val="20"/>
      </c:valAx>
      <c:catAx>
        <c:axId val="6389215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8919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753217112157796E-2"/>
          <c:y val="3.7469587810394764E-2"/>
          <c:w val="0.98091157647719129"/>
          <c:h val="0.868691758863220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Подсолнечник!$B$11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5000"/>
                    <a:lumOff val="95000"/>
                  </a:schemeClr>
                </a:gs>
                <a:gs pos="41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 w="0"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-4.09107818805978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FFF-4175-B97A-85944273C850}"/>
                </c:ext>
              </c:extLst>
            </c:dLbl>
            <c:dLbl>
              <c:idx val="3"/>
              <c:layout>
                <c:manualLayout>
                  <c:x val="-9.4086019513884948E-4"/>
                  <c:y val="1.021897849374399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9F7-46B6-BEAF-71CE80143820}"/>
                </c:ext>
              </c:extLst>
            </c:dLbl>
            <c:dLbl>
              <c:idx val="4"/>
              <c:layout>
                <c:manualLayout>
                  <c:x val="0"/>
                  <c:y val="-8.68024830978038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3FA-4A1A-B9CD-6E5E0CB7D8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Подсолнечник!$C$5:$I$5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Подсолнечник!$C$11:$I$11</c:f>
              <c:numCache>
                <c:formatCode>##\ ###" т"</c:formatCode>
                <c:ptCount val="7"/>
                <c:pt idx="1">
                  <c:v>2652.86</c:v>
                </c:pt>
                <c:pt idx="2">
                  <c:v>2415.94</c:v>
                </c:pt>
                <c:pt idx="3">
                  <c:v>2783</c:v>
                </c:pt>
                <c:pt idx="4">
                  <c:v>1772.96</c:v>
                </c:pt>
                <c:pt idx="5">
                  <c:v>298.27999999999997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B1-4BEE-84E5-21850E7EE5C8}"/>
            </c:ext>
          </c:extLst>
        </c:ser>
        <c:ser>
          <c:idx val="1"/>
          <c:order val="1"/>
          <c:tx>
            <c:strRef>
              <c:f>Подсолнечник!$B$13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Подсолнечник!$C$5:$I$5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Подсолнечник!$C$13:$I$13</c:f>
              <c:numCache>
                <c:formatCode>00" га"</c:formatCode>
                <c:ptCount val="7"/>
                <c:pt idx="1">
                  <c:v>798</c:v>
                </c:pt>
                <c:pt idx="2">
                  <c:v>904</c:v>
                </c:pt>
                <c:pt idx="3">
                  <c:v>956</c:v>
                </c:pt>
                <c:pt idx="4">
                  <c:v>1063</c:v>
                </c:pt>
                <c:pt idx="5">
                  <c:v>410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B1-4BEE-84E5-21850E7EE5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0"/>
        <c:axId val="532934272"/>
        <c:axId val="764646712"/>
      </c:barChart>
      <c:lineChart>
        <c:grouping val="standard"/>
        <c:varyColors val="0"/>
        <c:ser>
          <c:idx val="2"/>
          <c:order val="2"/>
          <c:tx>
            <c:strRef>
              <c:f>Подсолнечник!$B$14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 cmpd="sng">
              <a:solidFill>
                <a:srgbClr val="C00000">
                  <a:alpha val="99000"/>
                </a:srgbClr>
              </a:solidFill>
              <a:prstDash val="sysDash"/>
              <a:round/>
            </a:ln>
            <a:effectLst/>
          </c:spPr>
          <c:marker>
            <c:symbol val="circle"/>
            <c:size val="7"/>
            <c:spPr>
              <a:solidFill>
                <a:schemeClr val="bg1">
                  <a:alpha val="95000"/>
                </a:schemeClr>
              </a:solidFill>
              <a:ln w="19050">
                <a:solidFill>
                  <a:srgbClr val="C00000"/>
                </a:solidFill>
              </a:ln>
              <a:effectLst/>
            </c:spPr>
          </c:marker>
          <c:dPt>
            <c:idx val="1"/>
            <c:marker>
              <c:symbol val="circle"/>
              <c:size val="7"/>
              <c:spPr>
                <a:solidFill>
                  <a:schemeClr val="bg1">
                    <a:alpha val="95000"/>
                  </a:schemeClr>
                </a:solidFill>
                <a:ln w="19050">
                  <a:solidFill>
                    <a:srgbClr val="C00000"/>
                  </a:solidFill>
                </a:ln>
                <a:effectLst/>
              </c:spPr>
            </c:marker>
            <c:bubble3D val="0"/>
            <c:spPr>
              <a:ln w="28575" cap="rnd" cmpd="sng">
                <a:solidFill>
                  <a:srgbClr val="C00000">
                    <a:alpha val="99000"/>
                  </a:srgbClr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EB1-4BEE-84E5-21850E7EE5C8}"/>
              </c:ext>
            </c:extLst>
          </c:dPt>
          <c:dLbls>
            <c:dLbl>
              <c:idx val="4"/>
              <c:layout>
                <c:manualLayout>
                  <c:x val="-1.31285586268349E-2"/>
                  <c:y val="-9.00575762139715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3FA-4A1A-B9CD-6E5E0CB7D8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Подсолнечник!$C$14:$I$14</c:f>
              <c:numCache>
                <c:formatCode>00" ц/га"</c:formatCode>
                <c:ptCount val="7"/>
                <c:pt idx="1">
                  <c:v>33.243859649122804</c:v>
                </c:pt>
                <c:pt idx="2">
                  <c:v>26.724999999999998</c:v>
                </c:pt>
                <c:pt idx="3">
                  <c:v>29.110878661087867</c:v>
                </c:pt>
                <c:pt idx="4">
                  <c:v>16.678833490122294</c:v>
                </c:pt>
                <c:pt idx="5">
                  <c:v>7.2751219512195116</c:v>
                </c:pt>
                <c:pt idx="6" formatCode="0.0&quot; ц/га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B1-4BEE-84E5-21850E7EE5C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8639672"/>
        <c:axId val="618632472"/>
      </c:lineChart>
      <c:catAx>
        <c:axId val="53293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764646712"/>
        <c:crosses val="autoZero"/>
        <c:auto val="1"/>
        <c:lblAlgn val="ctr"/>
        <c:lblOffset val="100"/>
        <c:noMultiLvlLbl val="0"/>
      </c:catAx>
      <c:valAx>
        <c:axId val="764646712"/>
        <c:scaling>
          <c:orientation val="minMax"/>
          <c:max val="4000"/>
        </c:scaling>
        <c:delete val="0"/>
        <c:axPos val="l"/>
        <c:numFmt formatCode="##\ ###&quot; тн.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2934272"/>
        <c:crosses val="autoZero"/>
        <c:crossBetween val="between"/>
      </c:valAx>
      <c:valAx>
        <c:axId val="618632472"/>
        <c:scaling>
          <c:orientation val="minMax"/>
          <c:max val="38"/>
          <c:min val="0"/>
        </c:scaling>
        <c:delete val="0"/>
        <c:axPos val="r"/>
        <c:numFmt formatCode="00&quot; ц/га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18639672"/>
        <c:crosses val="max"/>
        <c:crossBetween val="between"/>
      </c:valAx>
      <c:catAx>
        <c:axId val="618639672"/>
        <c:scaling>
          <c:orientation val="minMax"/>
        </c:scaling>
        <c:delete val="1"/>
        <c:axPos val="b"/>
        <c:majorTickMark val="none"/>
        <c:minorTickMark val="none"/>
        <c:tickLblPos val="nextTo"/>
        <c:crossAx val="618632472"/>
        <c:crosses val="autoZero"/>
        <c:auto val="1"/>
        <c:lblAlgn val="ctr"/>
        <c:lblOffset val="100"/>
        <c:noMultiLvlLbl val="0"/>
      </c:catAx>
      <c:spPr>
        <a:solidFill>
          <a:srgbClr val="F9F9F9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3710152091866629E-2"/>
          <c:y val="3.0683989501312341E-2"/>
          <c:w val="0.9810784520714213"/>
          <c:h val="0.866322696430364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'Кукуруза на зерно'!$B$11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5000"/>
                    <a:lumOff val="95000"/>
                  </a:schemeClr>
                </a:gs>
                <a:gs pos="44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5.085235945307476E-3"/>
                  <c:y val="3.222559336325323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666-4FCB-A0CF-0017DE07CD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'Кукуруза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'Кукуруза на зерно'!$C$11:$I$11</c:f>
              <c:numCache>
                <c:formatCode>##\ ###" т"</c:formatCode>
                <c:ptCount val="7"/>
                <c:pt idx="0">
                  <c:v>244.02</c:v>
                </c:pt>
                <c:pt idx="1">
                  <c:v>2003.64</c:v>
                </c:pt>
                <c:pt idx="2">
                  <c:v>626.86</c:v>
                </c:pt>
                <c:pt idx="3">
                  <c:v>5393.6</c:v>
                </c:pt>
                <c:pt idx="4">
                  <c:v>726.84</c:v>
                </c:pt>
                <c:pt idx="5">
                  <c:v>394.24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66-4FCB-A0CF-0017DE07CD29}"/>
            </c:ext>
          </c:extLst>
        </c:ser>
        <c:ser>
          <c:idx val="1"/>
          <c:order val="1"/>
          <c:tx>
            <c:strRef>
              <c:f>'Кукуруза на зерно'!$B$13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'Кукуруза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'Кукуруза на зерно'!$C$13:$I$13</c:f>
              <c:numCache>
                <c:formatCode>00" га"</c:formatCode>
                <c:ptCount val="7"/>
                <c:pt idx="0">
                  <c:v>111</c:v>
                </c:pt>
                <c:pt idx="1">
                  <c:v>242</c:v>
                </c:pt>
                <c:pt idx="2">
                  <c:v>119</c:v>
                </c:pt>
                <c:pt idx="3">
                  <c:v>900</c:v>
                </c:pt>
                <c:pt idx="4">
                  <c:v>655</c:v>
                </c:pt>
                <c:pt idx="5">
                  <c:v>66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66-4FCB-A0CF-0017DE07C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0"/>
        <c:axId val="530511568"/>
        <c:axId val="530511208"/>
      </c:barChart>
      <c:lineChart>
        <c:grouping val="standard"/>
        <c:varyColors val="0"/>
        <c:ser>
          <c:idx val="2"/>
          <c:order val="2"/>
          <c:tx>
            <c:strRef>
              <c:f>'Кукуруза на зерно'!$B$14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bg1">
                  <a:alpha val="95000"/>
                </a:schemeClr>
              </a:solidFill>
              <a:ln w="22225">
                <a:solidFill>
                  <a:srgbClr val="C00000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-2.2270766032105024E-2"/>
                  <c:y val="-9.48131796782718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FDE-4F51-9B14-523571D640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noFill/>
                    </a:ln>
                    <a:effectLst/>
                  </c:spPr>
                </c15:leaderLines>
              </c:ext>
            </c:extLst>
          </c:dLbls>
          <c:val>
            <c:numRef>
              <c:f>'Кукуруза на зерно'!$C$14:$I$14</c:f>
              <c:numCache>
                <c:formatCode>00" ц/га"</c:formatCode>
                <c:ptCount val="7"/>
                <c:pt idx="0">
                  <c:v>21.983783783783785</c:v>
                </c:pt>
                <c:pt idx="1">
                  <c:v>82.795041322314063</c:v>
                </c:pt>
                <c:pt idx="2">
                  <c:v>52.677310924369749</c:v>
                </c:pt>
                <c:pt idx="3">
                  <c:v>59.928888888888892</c:v>
                </c:pt>
                <c:pt idx="4" formatCode="0&quot; ц/га&quot;">
                  <c:v>11.096793893129771</c:v>
                </c:pt>
                <c:pt idx="5" formatCode="0&quot; ц/га&quot;">
                  <c:v>59.733333333333334</c:v>
                </c:pt>
                <c:pt idx="6" formatCode="0&quot; ц/га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66-4FCB-A0CF-0017DE07C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8146488"/>
        <c:axId val="538147928"/>
      </c:lineChart>
      <c:catAx>
        <c:axId val="53051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0511208"/>
        <c:crosses val="autoZero"/>
        <c:auto val="1"/>
        <c:lblAlgn val="ctr"/>
        <c:lblOffset val="100"/>
        <c:noMultiLvlLbl val="0"/>
      </c:catAx>
      <c:valAx>
        <c:axId val="530511208"/>
        <c:scaling>
          <c:orientation val="minMax"/>
          <c:max val="6500"/>
          <c:min val="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0511568"/>
        <c:crosses val="autoZero"/>
        <c:crossBetween val="between"/>
      </c:valAx>
      <c:valAx>
        <c:axId val="538147928"/>
        <c:scaling>
          <c:orientation val="minMax"/>
          <c:max val="90"/>
          <c:min val="0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8146488"/>
        <c:crosses val="max"/>
        <c:crossBetween val="between"/>
      </c:valAx>
      <c:catAx>
        <c:axId val="538146488"/>
        <c:scaling>
          <c:orientation val="minMax"/>
        </c:scaling>
        <c:delete val="1"/>
        <c:axPos val="b"/>
        <c:majorTickMark val="out"/>
        <c:minorTickMark val="none"/>
        <c:tickLblPos val="nextTo"/>
        <c:crossAx val="538147928"/>
        <c:crosses val="autoZero"/>
        <c:auto val="1"/>
        <c:lblAlgn val="ctr"/>
        <c:lblOffset val="100"/>
        <c:noMultiLvlLbl val="0"/>
      </c:catAx>
      <c:spPr>
        <a:solidFill>
          <a:srgbClr val="F9F9F9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114942528735632E-2"/>
          <c:y val="3.5159805974247518E-2"/>
          <c:w val="0.98001183729625152"/>
          <c:h val="0.872891890266170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'Горох на зерно'!$B$11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5000"/>
                    <a:lumOff val="95000"/>
                  </a:schemeClr>
                </a:gs>
                <a:gs pos="53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9.4311643481349405E-4"/>
                  <c:y val="3.226941418923652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CA-429F-84C8-ABFC0E40519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'Горох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'Горох на зерно'!$C$11:$I$11</c:f>
              <c:numCache>
                <c:formatCode>##\ ###" т"</c:formatCode>
                <c:ptCount val="7"/>
                <c:pt idx="1">
                  <c:v>368.83</c:v>
                </c:pt>
                <c:pt idx="2">
                  <c:v>180.7</c:v>
                </c:pt>
                <c:pt idx="5">
                  <c:v>764.29</c:v>
                </c:pt>
                <c:pt idx="6">
                  <c:v>150.19999999999999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A9-4449-995B-B36F1789494E}"/>
            </c:ext>
          </c:extLst>
        </c:ser>
        <c:ser>
          <c:idx val="1"/>
          <c:order val="1"/>
          <c:tx>
            <c:strRef>
              <c:f>'Горох на зерно'!$B$13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'Горох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'Горох на зерно'!$C$13:$I$13</c:f>
              <c:numCache>
                <c:formatCode>00" га"</c:formatCode>
                <c:ptCount val="7"/>
                <c:pt idx="1">
                  <c:v>151</c:v>
                </c:pt>
                <c:pt idx="2">
                  <c:v>191</c:v>
                </c:pt>
                <c:pt idx="5" formatCode="0&quot; га&quot;">
                  <c:v>384</c:v>
                </c:pt>
                <c:pt idx="6" formatCode="0&quot; га&quot;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A9-4449-995B-B36F178949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800960048"/>
        <c:axId val="800963288"/>
      </c:barChart>
      <c:lineChart>
        <c:grouping val="standard"/>
        <c:varyColors val="0"/>
        <c:ser>
          <c:idx val="2"/>
          <c:order val="2"/>
          <c:tx>
            <c:strRef>
              <c:f>'Горох на зерно'!$B$14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19050">
                <a:solidFill>
                  <a:srgbClr val="C00000"/>
                </a:solidFill>
              </a:ln>
              <a:effectLst/>
            </c:spPr>
          </c:marker>
          <c:dPt>
            <c:idx val="2"/>
            <c:marker>
              <c:symbol val="circle"/>
              <c:size val="6"/>
              <c:spPr>
                <a:solidFill>
                  <a:schemeClr val="accent3"/>
                </a:solidFill>
                <a:ln w="19050">
                  <a:solidFill>
                    <a:srgbClr val="C00000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C00000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0352-4497-90F6-41324A161A09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878-4EFD-862F-F4811918B3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'Горох на зерно'!$C$14:$I$14</c:f>
              <c:numCache>
                <c:formatCode>00.0" ц/га"</c:formatCode>
                <c:ptCount val="7"/>
                <c:pt idx="1">
                  <c:v>24.425827814569537</c:v>
                </c:pt>
                <c:pt idx="2" formatCode="0.0&quot; ц/га&quot;">
                  <c:v>9.4607329842931929</c:v>
                </c:pt>
                <c:pt idx="5">
                  <c:v>19.903385416666666</c:v>
                </c:pt>
                <c:pt idx="6">
                  <c:v>16.505494505494507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52-4497-90F6-41324A161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7650240"/>
        <c:axId val="777653840"/>
      </c:lineChart>
      <c:catAx>
        <c:axId val="80096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800963288"/>
        <c:crosses val="autoZero"/>
        <c:auto val="1"/>
        <c:lblAlgn val="ctr"/>
        <c:lblOffset val="100"/>
        <c:noMultiLvlLbl val="0"/>
      </c:catAx>
      <c:valAx>
        <c:axId val="800963288"/>
        <c:scaling>
          <c:orientation val="minMax"/>
          <c:max val="9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0048"/>
        <c:crosses val="autoZero"/>
        <c:crossBetween val="between"/>
      </c:valAx>
      <c:valAx>
        <c:axId val="777653840"/>
        <c:scaling>
          <c:orientation val="minMax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650240"/>
        <c:crosses val="max"/>
        <c:crossBetween val="between"/>
      </c:valAx>
      <c:catAx>
        <c:axId val="777650240"/>
        <c:scaling>
          <c:orientation val="minMax"/>
        </c:scaling>
        <c:delete val="1"/>
        <c:axPos val="b"/>
        <c:majorTickMark val="out"/>
        <c:minorTickMark val="none"/>
        <c:tickLblPos val="nextTo"/>
        <c:crossAx val="777653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114942528735632E-2"/>
          <c:y val="3.5159805974247518E-2"/>
          <c:w val="0.98001183729625152"/>
          <c:h val="0.872891890266170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Соя!$B$11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5000"/>
                    <a:lumOff val="95000"/>
                  </a:schemeClr>
                </a:gs>
                <a:gs pos="53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9.4311643481349405E-4"/>
                  <c:y val="3.226941418923652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CFC-46F8-AA18-025C2D363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Соя!$C$5:$G$5</c:f>
              <c:strCache>
                <c:ptCount val="5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</c:strCache>
            </c:strRef>
          </c:cat>
          <c:val>
            <c:numRef>
              <c:f>Соя!$C$11:$G$11</c:f>
              <c:numCache>
                <c:formatCode>##\ ###" т"</c:formatCode>
                <c:ptCount val="5"/>
                <c:pt idx="1">
                  <c:v>672.96</c:v>
                </c:pt>
                <c:pt idx="2">
                  <c:v>490.62</c:v>
                </c:pt>
                <c:pt idx="3">
                  <c:v>412.22</c:v>
                </c:pt>
                <c:pt idx="4">
                  <c:v>334.96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FC-46F8-AA18-025C2D363C3B}"/>
            </c:ext>
          </c:extLst>
        </c:ser>
        <c:ser>
          <c:idx val="1"/>
          <c:order val="1"/>
          <c:tx>
            <c:strRef>
              <c:f>Соя!$B$13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Соя!$C$5:$G$5</c:f>
              <c:strCache>
                <c:ptCount val="5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</c:strCache>
            </c:strRef>
          </c:cat>
          <c:val>
            <c:numRef>
              <c:f>Соя!$C$13:$G$13</c:f>
              <c:numCache>
                <c:formatCode>00" га"</c:formatCode>
                <c:ptCount val="5"/>
                <c:pt idx="1">
                  <c:v>311</c:v>
                </c:pt>
                <c:pt idx="2">
                  <c:v>329</c:v>
                </c:pt>
                <c:pt idx="3">
                  <c:v>332</c:v>
                </c:pt>
                <c:pt idx="4" formatCode="0&quot; га&quot;">
                  <c:v>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FC-46F8-AA18-025C2D363C3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0"/>
        <c:axId val="800960048"/>
        <c:axId val="800963288"/>
      </c:barChart>
      <c:lineChart>
        <c:grouping val="standard"/>
        <c:varyColors val="0"/>
        <c:ser>
          <c:idx val="2"/>
          <c:order val="2"/>
          <c:tx>
            <c:strRef>
              <c:f>Соя!$B$14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bg1"/>
              </a:solidFill>
              <a:ln w="22225">
                <a:solidFill>
                  <a:srgbClr val="C0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Соя!$C$14:$G$14</c:f>
              <c:numCache>
                <c:formatCode>00" ц/га"</c:formatCode>
                <c:ptCount val="5"/>
                <c:pt idx="1">
                  <c:v>21.638585209003217</c:v>
                </c:pt>
                <c:pt idx="2">
                  <c:v>14.912462006079028</c:v>
                </c:pt>
                <c:pt idx="3">
                  <c:v>12.416265060240965</c:v>
                </c:pt>
                <c:pt idx="4" formatCode="0&quot; ц/га&quot;">
                  <c:v>3.8106939704209326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FC-46F8-AA18-025C2D363C3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00969048"/>
        <c:axId val="800968688"/>
      </c:lineChart>
      <c:catAx>
        <c:axId val="80096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800963288"/>
        <c:crosses val="autoZero"/>
        <c:auto val="1"/>
        <c:lblAlgn val="ctr"/>
        <c:lblOffset val="100"/>
        <c:noMultiLvlLbl val="0"/>
      </c:catAx>
      <c:valAx>
        <c:axId val="800963288"/>
        <c:scaling>
          <c:orientation val="minMax"/>
          <c:max val="9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0048"/>
        <c:crosses val="autoZero"/>
        <c:crossBetween val="between"/>
      </c:valAx>
      <c:valAx>
        <c:axId val="800968688"/>
        <c:scaling>
          <c:orientation val="minMax"/>
          <c:max val="23"/>
          <c:min val="0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9048"/>
        <c:crosses val="max"/>
        <c:crossBetween val="between"/>
      </c:valAx>
      <c:catAx>
        <c:axId val="800969048"/>
        <c:scaling>
          <c:orientation val="minMax"/>
        </c:scaling>
        <c:delete val="1"/>
        <c:axPos val="b"/>
        <c:majorTickMark val="out"/>
        <c:minorTickMark val="none"/>
        <c:tickLblPos val="nextTo"/>
        <c:crossAx val="8009686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917988368114108E-3"/>
          <c:y val="5.2387343460638426E-2"/>
          <c:w val="0.98091157647719129"/>
          <c:h val="0.86869175886322048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'Подсолнечник кондитерский'!$B$11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D2-4F38-945E-3173CB0E4F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'Подсолнечник кондитерский'!$C$11:$I$11</c:f>
              <c:numCache>
                <c:formatCode>##\ ###" т"</c:formatCode>
                <c:ptCount val="7"/>
                <c:pt idx="5">
                  <c:v>146.08000000000001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1A-42DA-8997-03FCE093C378}"/>
            </c:ext>
          </c:extLst>
        </c:ser>
        <c:ser>
          <c:idx val="2"/>
          <c:order val="1"/>
          <c:tx>
            <c:strRef>
              <c:f>'Подсолнечник кондитерский'!$B$13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D2-4F38-945E-3173CB0E4F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'Подсолнечник кондитерский'!$C$13:$I$13</c:f>
              <c:numCache>
                <c:formatCode>00" га"</c:formatCode>
                <c:ptCount val="7"/>
                <c:pt idx="5">
                  <c:v>358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32-4D38-8D90-151D244CF577}"/>
            </c:ext>
          </c:extLst>
        </c:ser>
        <c:ser>
          <c:idx val="0"/>
          <c:order val="2"/>
          <c:tx>
            <c:strRef>
              <c:f>'Подсолнечник кондитерский'!$B$14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gradFill flip="none" rotWithShape="1">
              <a:gsLst>
                <a:gs pos="17000">
                  <a:schemeClr val="accent6">
                    <a:lumMod val="60000"/>
                    <a:lumOff val="40000"/>
                  </a:schemeClr>
                </a:gs>
                <a:gs pos="44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 w="0"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-4.09107818805978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1A-42DA-8997-03FCE093C378}"/>
                </c:ext>
              </c:extLst>
            </c:dLbl>
            <c:dLbl>
              <c:idx val="3"/>
              <c:layout>
                <c:manualLayout>
                  <c:x val="-9.4086019513884948E-4"/>
                  <c:y val="1.021897849374399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1A-42DA-8997-03FCE093C378}"/>
                </c:ext>
              </c:extLst>
            </c:dLbl>
            <c:dLbl>
              <c:idx val="4"/>
              <c:layout>
                <c:manualLayout>
                  <c:x val="0"/>
                  <c:y val="-8.68024830978038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1A-42DA-8997-03FCE093C378}"/>
                </c:ext>
              </c:extLst>
            </c:dLbl>
            <c:dLbl>
              <c:idx val="5"/>
              <c:layout>
                <c:manualLayout>
                  <c:x val="-5.6673787871078039E-2"/>
                  <c:y val="-0.1342596584142982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baseline="0">
                      <a:solidFill>
                        <a:srgbClr val="8A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ru-RU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432-4D38-8D90-151D244CF57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D2-4F38-945E-3173CB0E4F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'Подсолнечник кондитерский'!$C$5:$I$5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'Подсолнечник кондитерский'!$C$14:$I$14</c:f>
              <c:numCache>
                <c:formatCode>00" ц/га"</c:formatCode>
                <c:ptCount val="7"/>
                <c:pt idx="5">
                  <c:v>4.0804469273743011</c:v>
                </c:pt>
                <c:pt idx="6" formatCode="0.0&quot; ц/га&quot;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1A-42DA-8997-03FCE093C3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0"/>
        <c:axId val="532934272"/>
        <c:axId val="764646712"/>
      </c:barChart>
      <c:catAx>
        <c:axId val="53293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764646712"/>
        <c:crosses val="autoZero"/>
        <c:auto val="1"/>
        <c:lblAlgn val="ctr"/>
        <c:lblOffset val="100"/>
        <c:noMultiLvlLbl val="0"/>
      </c:catAx>
      <c:valAx>
        <c:axId val="764646712"/>
        <c:scaling>
          <c:orientation val="minMax"/>
          <c:max val="4000"/>
        </c:scaling>
        <c:delete val="0"/>
        <c:axPos val="l"/>
        <c:numFmt formatCode="##\ ###&quot; тн.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2934272"/>
        <c:crosses val="autoZero"/>
        <c:crossBetween val="between"/>
      </c:valAx>
      <c:spPr>
        <a:solidFill>
          <a:srgbClr val="F9F9F9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jpg"/><Relationship Id="rId3" Type="http://schemas.openxmlformats.org/officeDocument/2006/relationships/image" Target="../media/image1.jpeg"/><Relationship Id="rId7" Type="http://schemas.openxmlformats.org/officeDocument/2006/relationships/image" Target="../media/image3.jpe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jpg"/><Relationship Id="rId11" Type="http://schemas.openxmlformats.org/officeDocument/2006/relationships/chart" Target="../charts/chart6.xml"/><Relationship Id="rId5" Type="http://schemas.openxmlformats.org/officeDocument/2006/relationships/chart" Target="../charts/chart4.xml"/><Relationship Id="rId10" Type="http://schemas.openxmlformats.org/officeDocument/2006/relationships/image" Target="../media/image5.png"/><Relationship Id="rId4" Type="http://schemas.openxmlformats.org/officeDocument/2006/relationships/chart" Target="../charts/chart3.xml"/><Relationship Id="rId9" Type="http://schemas.openxmlformats.org/officeDocument/2006/relationships/chart" Target="../charts/chart5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186938</xdr:colOff>
      <xdr:row>25</xdr:row>
      <xdr:rowOff>158113</xdr:rowOff>
    </xdr:from>
    <xdr:to>
      <xdr:col>12</xdr:col>
      <xdr:colOff>39081</xdr:colOff>
      <xdr:row>44</xdr:row>
      <xdr:rowOff>155758</xdr:rowOff>
    </xdr:to>
    <xdr:grpSp>
      <xdr:nvGrpSpPr>
        <xdr:cNvPr id="2" name="Группа 1">
          <a:extLst>
            <a:ext uri="{FF2B5EF4-FFF2-40B4-BE49-F238E27FC236}">
              <a16:creationId xmlns:a16="http://schemas.microsoft.com/office/drawing/2014/main" id="{E16910C2-810C-7C17-2A37-AD3BE4CFACF1}"/>
            </a:ext>
          </a:extLst>
        </xdr:cNvPr>
        <xdr:cNvGrpSpPr/>
      </xdr:nvGrpSpPr>
      <xdr:grpSpPr>
        <a:xfrm>
          <a:off x="186938" y="6006463"/>
          <a:ext cx="7167343" cy="3979095"/>
          <a:chOff x="151378" y="19415758"/>
          <a:chExt cx="7319743" cy="3373940"/>
        </a:xfrm>
      </xdr:grpSpPr>
      <xdr:sp macro="" textlink="">
        <xdr:nvSpPr>
          <xdr:cNvPr id="30" name="Прямоугольник 29">
            <a:extLst>
              <a:ext uri="{FF2B5EF4-FFF2-40B4-BE49-F238E27FC236}">
                <a16:creationId xmlns:a16="http://schemas.microsoft.com/office/drawing/2014/main" id="{9986A1A0-184D-45E0-9947-FB6ACD094FDA}"/>
              </a:ext>
            </a:extLst>
          </xdr:cNvPr>
          <xdr:cNvSpPr/>
        </xdr:nvSpPr>
        <xdr:spPr>
          <a:xfrm>
            <a:off x="151378" y="19415758"/>
            <a:ext cx="7319743" cy="3373940"/>
          </a:xfrm>
          <a:prstGeom prst="rect">
            <a:avLst/>
          </a:prstGeom>
          <a:ln>
            <a:solidFill>
              <a:schemeClr val="bg1">
                <a:lumMod val="75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ru-RU" sz="1600" u="sng" baseline="0"/>
          </a:p>
          <a:p>
            <a:pPr algn="l"/>
            <a:endParaRPr lang="ru-RU" sz="1600" u="sng" baseline="0"/>
          </a:p>
          <a:p>
            <a:pPr algn="r"/>
            <a:endParaRPr lang="ru-RU" sz="1600" u="sng" baseline="0"/>
          </a:p>
          <a:p>
            <a:pPr algn="l"/>
            <a:endParaRPr lang="ru-RU" sz="1600" u="sng" baseline="0"/>
          </a:p>
          <a:p>
            <a:pPr algn="l"/>
            <a:endParaRPr lang="ru-RU" sz="1600" u="sng" baseline="0"/>
          </a:p>
        </xdr:txBody>
      </xdr:sp>
      <xdr:sp macro="" textlink="">
        <xdr:nvSpPr>
          <xdr:cNvPr id="61" name="Прямоугольник 60">
            <a:extLst>
              <a:ext uri="{FF2B5EF4-FFF2-40B4-BE49-F238E27FC236}">
                <a16:creationId xmlns:a16="http://schemas.microsoft.com/office/drawing/2014/main" id="{363184EF-06EE-46A7-BFE2-9E78103C9B63}"/>
              </a:ext>
            </a:extLst>
          </xdr:cNvPr>
          <xdr:cNvSpPr/>
        </xdr:nvSpPr>
        <xdr:spPr>
          <a:xfrm>
            <a:off x="3167628" y="19558452"/>
            <a:ext cx="4278085" cy="410936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ГОРОХ НА ЗЕРНО</a:t>
            </a:r>
          </a:p>
        </xdr:txBody>
      </xdr:sp>
      <xdr:grpSp>
        <xdr:nvGrpSpPr>
          <xdr:cNvPr id="143" name="Группа 142">
            <a:extLst>
              <a:ext uri="{FF2B5EF4-FFF2-40B4-BE49-F238E27FC236}">
                <a16:creationId xmlns:a16="http://schemas.microsoft.com/office/drawing/2014/main" id="{723CD086-5033-4140-B69D-7680F37AC450}"/>
              </a:ext>
            </a:extLst>
          </xdr:cNvPr>
          <xdr:cNvGrpSpPr/>
        </xdr:nvGrpSpPr>
        <xdr:grpSpPr>
          <a:xfrm>
            <a:off x="3808980" y="20107273"/>
            <a:ext cx="3578711" cy="2585357"/>
            <a:chOff x="3824741" y="1863083"/>
            <a:chExt cx="3513799" cy="2585357"/>
          </a:xfrm>
        </xdr:grpSpPr>
        <xdr:sp macro="" textlink="'Горох на зерно'!C21">
          <xdr:nvSpPr>
            <xdr:cNvPr id="144" name="Прямоугольник 143">
              <a:extLst>
                <a:ext uri="{FF2B5EF4-FFF2-40B4-BE49-F238E27FC236}">
                  <a16:creationId xmlns:a16="http://schemas.microsoft.com/office/drawing/2014/main" id="{ABFF0A9E-6D4D-6A5D-B34A-83BB257AB882}"/>
                </a:ext>
              </a:extLst>
            </xdr:cNvPr>
            <xdr:cNvSpPr/>
          </xdr:nvSpPr>
          <xdr:spPr>
            <a:xfrm>
              <a:off x="5577341" y="22440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2455BF36-37E0-4143-B704-9C7391C66744}" type="TxLink">
                <a:rPr lang="en-US" sz="2000" b="0" i="0" u="none" strike="noStrike">
                  <a:solidFill>
                    <a:srgbClr val="000000"/>
                  </a:solidFill>
                  <a:latin typeface="Arial"/>
                  <a:cs typeface="Arial"/>
                </a:rPr>
                <a:pPr algn="r"/>
                <a:t>150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145" name="Группа 144">
              <a:extLst>
                <a:ext uri="{FF2B5EF4-FFF2-40B4-BE49-F238E27FC236}">
                  <a16:creationId xmlns:a16="http://schemas.microsoft.com/office/drawing/2014/main" id="{BD15CECD-E806-DFAF-4FF0-A421C377B03F}"/>
                </a:ext>
              </a:extLst>
            </xdr:cNvPr>
            <xdr:cNvGrpSpPr/>
          </xdr:nvGrpSpPr>
          <xdr:grpSpPr>
            <a:xfrm>
              <a:off x="3824741" y="1863083"/>
              <a:ext cx="3513799" cy="2585357"/>
              <a:chOff x="3824741" y="1824983"/>
              <a:chExt cx="3513799" cy="2585357"/>
            </a:xfrm>
          </xdr:grpSpPr>
          <xdr:sp macro="" textlink="">
            <xdr:nvSpPr>
              <xdr:cNvPr id="146" name="Прямоугольник 145">
                <a:extLst>
                  <a:ext uri="{FF2B5EF4-FFF2-40B4-BE49-F238E27FC236}">
                    <a16:creationId xmlns:a16="http://schemas.microsoft.com/office/drawing/2014/main" id="{8041D1F1-F9CE-B882-982A-25DCEE53A22D}"/>
                  </a:ext>
                </a:extLst>
              </xdr:cNvPr>
              <xdr:cNvSpPr/>
            </xdr:nvSpPr>
            <xdr:spPr>
              <a:xfrm>
                <a:off x="3867150" y="1841500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147" name="Прямоугольник 146">
                <a:extLst>
                  <a:ext uri="{FF2B5EF4-FFF2-40B4-BE49-F238E27FC236}">
                    <a16:creationId xmlns:a16="http://schemas.microsoft.com/office/drawing/2014/main" id="{667D8F81-1ABA-A0EB-0EC8-02BB4E49381C}"/>
                  </a:ext>
                </a:extLst>
              </xdr:cNvPr>
              <xdr:cNvSpPr/>
            </xdr:nvSpPr>
            <xdr:spPr>
              <a:xfrm>
                <a:off x="3850141" y="2218683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Факт:</a:t>
                </a:r>
              </a:p>
            </xdr:txBody>
          </xdr:sp>
          <xdr:sp macro="" textlink="'Горох на зерно'!C20">
            <xdr:nvSpPr>
              <xdr:cNvPr id="148" name="Прямоугольник 147">
                <a:extLst>
                  <a:ext uri="{FF2B5EF4-FFF2-40B4-BE49-F238E27FC236}">
                    <a16:creationId xmlns:a16="http://schemas.microsoft.com/office/drawing/2014/main" id="{4B852A12-0C11-03B2-F1D1-7BD34DC48A4D}"/>
                  </a:ext>
                </a:extLst>
              </xdr:cNvPr>
              <xdr:cNvSpPr/>
            </xdr:nvSpPr>
            <xdr:spPr>
              <a:xfrm>
                <a:off x="5588000" y="18249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093370E1-DC80-42A3-80CA-A0F9B7C28AB0}" type="TxLink">
                  <a:rPr lang="en-US" sz="2000" b="0" i="0" u="none" strike="noStrike">
                    <a:solidFill>
                      <a:srgbClr val="757171"/>
                    </a:solidFill>
                    <a:latin typeface="Arial"/>
                    <a:cs typeface="Arial"/>
                  </a:rPr>
                  <a:pPr algn="r"/>
                  <a:t> т</a:t>
                </a:fld>
                <a:endParaRPr lang="ru-RU" sz="2000" b="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'Горох на зерно'!C24">
            <xdr:nvSpPr>
              <xdr:cNvPr id="149" name="Прямоугольник 148">
                <a:extLst>
                  <a:ext uri="{FF2B5EF4-FFF2-40B4-BE49-F238E27FC236}">
                    <a16:creationId xmlns:a16="http://schemas.microsoft.com/office/drawing/2014/main" id="{BA347E70-8D6E-9A7B-E382-4B2C5E8C3A04}"/>
                  </a:ext>
                </a:extLst>
              </xdr:cNvPr>
              <xdr:cNvSpPr/>
            </xdr:nvSpPr>
            <xdr:spPr>
              <a:xfrm>
                <a:off x="6007100" y="2616200"/>
                <a:ext cx="1168400" cy="495300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3E26F50-3464-46F7-B0B8-5A368A84FA0D}" type="TxLink">
                  <a:rPr lang="en-US" sz="2000" b="1" i="0" u="none" strike="noStrike">
                    <a:solidFill>
                      <a:srgbClr val="EE0000"/>
                    </a:solidFill>
                    <a:latin typeface="Arial"/>
                    <a:cs typeface="Arial"/>
                  </a:rPr>
                  <a:pPr algn="r"/>
                  <a:t>0,0%</a:t>
                </a:fld>
                <a:endParaRPr lang="ru-RU" sz="2000" b="1">
                  <a:solidFill>
                    <a:srgbClr val="EE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150" name="Прямоугольник 149">
                <a:extLst>
                  <a:ext uri="{FF2B5EF4-FFF2-40B4-BE49-F238E27FC236}">
                    <a16:creationId xmlns:a16="http://schemas.microsoft.com/office/drawing/2014/main" id="{B3057080-905D-A589-F39C-2B0852D07D78}"/>
                  </a:ext>
                </a:extLst>
              </xdr:cNvPr>
              <xdr:cNvSpPr/>
            </xdr:nvSpPr>
            <xdr:spPr>
              <a:xfrm>
                <a:off x="3850140" y="2637783"/>
                <a:ext cx="16870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Выполнение:</a:t>
                </a:r>
              </a:p>
            </xdr:txBody>
          </xdr:sp>
          <xdr:sp macro="" textlink="">
            <xdr:nvSpPr>
              <xdr:cNvPr id="151" name="Прямоугольник 150">
                <a:extLst>
                  <a:ext uri="{FF2B5EF4-FFF2-40B4-BE49-F238E27FC236}">
                    <a16:creationId xmlns:a16="http://schemas.microsoft.com/office/drawing/2014/main" id="{189E11A5-EE49-49AF-6C12-D7A98AA5EF85}"/>
                  </a:ext>
                </a:extLst>
              </xdr:cNvPr>
              <xdr:cNvSpPr/>
            </xdr:nvSpPr>
            <xdr:spPr>
              <a:xfrm>
                <a:off x="3850141" y="3514083"/>
                <a:ext cx="18775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Начало</a:t>
                </a:r>
                <a:r>
                  <a:rPr lang="ru-RU" sz="1800" baseline="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уборки:</a:t>
                </a:r>
                <a:endPara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152" name="Прямоугольник 151">
                <a:extLst>
                  <a:ext uri="{FF2B5EF4-FFF2-40B4-BE49-F238E27FC236}">
                    <a16:creationId xmlns:a16="http://schemas.microsoft.com/office/drawing/2014/main" id="{A2981A35-C9BC-5EC3-9423-9594B649C631}"/>
                  </a:ext>
                </a:extLst>
              </xdr:cNvPr>
              <xdr:cNvSpPr/>
            </xdr:nvSpPr>
            <xdr:spPr>
              <a:xfrm>
                <a:off x="3824741" y="3945883"/>
                <a:ext cx="22966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Окончание уборки:</a:t>
                </a:r>
              </a:p>
            </xdr:txBody>
          </xdr:sp>
          <xdr:cxnSp macro="">
            <xdr:nvCxnSpPr>
              <xdr:cNvPr id="153" name="Прямая соединительная линия 152">
                <a:extLst>
                  <a:ext uri="{FF2B5EF4-FFF2-40B4-BE49-F238E27FC236}">
                    <a16:creationId xmlns:a16="http://schemas.microsoft.com/office/drawing/2014/main" id="{C89C118F-9AC3-898B-AD8D-D7AF4D550931}"/>
                  </a:ext>
                </a:extLst>
              </xdr:cNvPr>
              <xdr:cNvCxnSpPr/>
            </xdr:nvCxnSpPr>
            <xdr:spPr>
              <a:xfrm>
                <a:off x="5410200" y="3289300"/>
                <a:ext cx="1800000" cy="0"/>
              </a:xfrm>
              <a:prstGeom prst="line">
                <a:avLst/>
              </a:prstGeom>
            </xdr:spPr>
            <xdr:style>
              <a:lnRef idx="2">
                <a:schemeClr val="accent3"/>
              </a:lnRef>
              <a:fillRef idx="0">
                <a:schemeClr val="accent3"/>
              </a:fillRef>
              <a:effectRef idx="1">
                <a:schemeClr val="accent3"/>
              </a:effectRef>
              <a:fontRef idx="minor">
                <a:schemeClr val="tx1"/>
              </a:fontRef>
            </xdr:style>
          </xdr:cxnSp>
          <xdr:sp macro="" textlink="'Горох на зерно'!I6">
            <xdr:nvSpPr>
              <xdr:cNvPr id="154" name="Прямоугольник 153">
                <a:extLst>
                  <a:ext uri="{FF2B5EF4-FFF2-40B4-BE49-F238E27FC236}">
                    <a16:creationId xmlns:a16="http://schemas.microsoft.com/office/drawing/2014/main" id="{49EF3F84-5A5D-F00C-4B2F-46B953390DBB}"/>
                  </a:ext>
                </a:extLst>
              </xdr:cNvPr>
              <xdr:cNvSpPr/>
            </xdr:nvSpPr>
            <xdr:spPr>
              <a:xfrm>
                <a:off x="6032708" y="3511540"/>
                <a:ext cx="13058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E145CFB7-0F1F-4662-82E7-E0AE55E2B9A1}" type="TxLink">
                  <a:rPr lang="en-US" sz="15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25.06.2026</a:t>
                </a:fld>
                <a:endParaRPr lang="en-US" sz="15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'Горох на зерно'!I7">
            <xdr:nvSpPr>
              <xdr:cNvPr id="155" name="Прямоугольник 154">
                <a:extLst>
                  <a:ext uri="{FF2B5EF4-FFF2-40B4-BE49-F238E27FC236}">
                    <a16:creationId xmlns:a16="http://schemas.microsoft.com/office/drawing/2014/main" id="{CDBD1291-F32B-A01F-71FC-3E26B78791E2}"/>
                  </a:ext>
                </a:extLst>
              </xdr:cNvPr>
              <xdr:cNvSpPr/>
            </xdr:nvSpPr>
            <xdr:spPr>
              <a:xfrm>
                <a:off x="6045409" y="3920483"/>
                <a:ext cx="12804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71D70617-224B-4588-A1DD-A05D9B90D21B}" type="TxLink">
                  <a:rPr lang="en-US" sz="15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 </a:t>
                </a:fld>
                <a:endParaRPr lang="en-US" sz="15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</xdr:grpSp>
    <xdr:clientData/>
  </xdr:twoCellAnchor>
  <xdr:twoCellAnchor>
    <xdr:from>
      <xdr:col>13</xdr:col>
      <xdr:colOff>50800</xdr:colOff>
      <xdr:row>3</xdr:row>
      <xdr:rowOff>122465</xdr:rowOff>
    </xdr:from>
    <xdr:to>
      <xdr:col>39</xdr:col>
      <xdr:colOff>0</xdr:colOff>
      <xdr:row>23</xdr:row>
      <xdr:rowOff>88900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35DB9462-2F09-42BF-8054-264744F51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27214</xdr:colOff>
      <xdr:row>53</xdr:row>
      <xdr:rowOff>70758</xdr:rowOff>
    </xdr:from>
    <xdr:to>
      <xdr:col>38</xdr:col>
      <xdr:colOff>540657</xdr:colOff>
      <xdr:row>74</xdr:row>
      <xdr:rowOff>166915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8DF06E56-CD44-4041-9495-ECACCA0C7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141741</xdr:colOff>
      <xdr:row>4</xdr:row>
      <xdr:rowOff>8883</xdr:rowOff>
    </xdr:from>
    <xdr:to>
      <xdr:col>11</xdr:col>
      <xdr:colOff>606205</xdr:colOff>
      <xdr:row>23</xdr:row>
      <xdr:rowOff>2083</xdr:rowOff>
    </xdr:to>
    <xdr:grpSp>
      <xdr:nvGrpSpPr>
        <xdr:cNvPr id="47" name="Группа 46">
          <a:extLst>
            <a:ext uri="{FF2B5EF4-FFF2-40B4-BE49-F238E27FC236}">
              <a16:creationId xmlns:a16="http://schemas.microsoft.com/office/drawing/2014/main" id="{7FB1D384-6CF9-3C9D-B7DE-84F181684F36}"/>
            </a:ext>
          </a:extLst>
        </xdr:cNvPr>
        <xdr:cNvGrpSpPr/>
      </xdr:nvGrpSpPr>
      <xdr:grpSpPr>
        <a:xfrm>
          <a:off x="141741" y="1456683"/>
          <a:ext cx="7170064" cy="3974650"/>
          <a:chOff x="87313" y="1437633"/>
          <a:chExt cx="4746624" cy="2916000"/>
        </a:xfrm>
        <a:solidFill>
          <a:sysClr val="window" lastClr="FFFFF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5" name="Прямоугольник 14">
            <a:extLst>
              <a:ext uri="{FF2B5EF4-FFF2-40B4-BE49-F238E27FC236}">
                <a16:creationId xmlns:a16="http://schemas.microsoft.com/office/drawing/2014/main" id="{A9AB1ED7-486D-2AD1-5EFF-F5A3C99C88AE}"/>
              </a:ext>
            </a:extLst>
          </xdr:cNvPr>
          <xdr:cNvSpPr/>
        </xdr:nvSpPr>
        <xdr:spPr>
          <a:xfrm>
            <a:off x="87313" y="1437633"/>
            <a:ext cx="4746624" cy="2916000"/>
          </a:xfrm>
          <a:prstGeom prst="rect">
            <a:avLst/>
          </a:prstGeom>
          <a:ln/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r"/>
            <a:endParaRPr lang="ru-RU" sz="1200" baseline="0">
              <a:latin typeface="Arial" panose="020B0604020202020204" pitchFamily="34" charset="0"/>
              <a:cs typeface="Arial" panose="020B0604020202020204" pitchFamily="34" charset="0"/>
            </a:endParaRPr>
          </a:p>
          <a:p>
            <a:pPr algn="r"/>
            <a:endParaRPr lang="ru-RU" sz="1200" baseline="0">
              <a:latin typeface="Arial" panose="020B0604020202020204" pitchFamily="34" charset="0"/>
              <a:cs typeface="Arial" panose="020B0604020202020204" pitchFamily="34" charset="0"/>
            </a:endParaRPr>
          </a:p>
          <a:p>
            <a:pPr algn="r"/>
            <a:endParaRPr lang="ru-RU" sz="1200"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pic>
        <xdr:nvPicPr>
          <xdr:cNvPr id="7" name="Рисунок 6">
            <a:extLst>
              <a:ext uri="{FF2B5EF4-FFF2-40B4-BE49-F238E27FC236}">
                <a16:creationId xmlns:a16="http://schemas.microsoft.com/office/drawing/2014/main" id="{5DFFC353-88F4-4288-9A4B-76BC33DF3C8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23033" y="1760425"/>
            <a:ext cx="2457222" cy="1775173"/>
          </a:xfrm>
          <a:prstGeom prst="rect">
            <a:avLst/>
          </a:prstGeom>
          <a:grpFill/>
          <a:ln>
            <a:solidFill>
              <a:schemeClr val="bg1"/>
            </a:solidFill>
          </a:ln>
        </xdr:spPr>
      </xdr:pic>
    </xdr:grpSp>
    <xdr:clientData/>
  </xdr:twoCellAnchor>
  <xdr:twoCellAnchor>
    <xdr:from>
      <xdr:col>12</xdr:col>
      <xdr:colOff>598714</xdr:colOff>
      <xdr:row>100</xdr:row>
      <xdr:rowOff>163287</xdr:rowOff>
    </xdr:from>
    <xdr:to>
      <xdr:col>38</xdr:col>
      <xdr:colOff>449036</xdr:colOff>
      <xdr:row>122</xdr:row>
      <xdr:rowOff>81644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7331D5A3-BB0D-4A49-B275-BD8C8CC3D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14</xdr:col>
      <xdr:colOff>285749</xdr:colOff>
      <xdr:row>72</xdr:row>
      <xdr:rowOff>59531</xdr:rowOff>
    </xdr:from>
    <xdr:ext cx="184731" cy="264560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6DF69683-5137-8F85-A559-21FD213EC4F1}"/>
            </a:ext>
          </a:extLst>
        </xdr:cNvPr>
        <xdr:cNvSpPr txBox="1"/>
      </xdr:nvSpPr>
      <xdr:spPr>
        <a:xfrm>
          <a:off x="8786812" y="9560719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ru-RU" sz="1100"/>
        </a:p>
      </xdr:txBody>
    </xdr:sp>
    <xdr:clientData/>
  </xdr:oneCellAnchor>
  <xdr:twoCellAnchor>
    <xdr:from>
      <xdr:col>13</xdr:col>
      <xdr:colOff>40820</xdr:colOff>
      <xdr:row>25</xdr:row>
      <xdr:rowOff>146140</xdr:rowOff>
    </xdr:from>
    <xdr:to>
      <xdr:col>38</xdr:col>
      <xdr:colOff>548640</xdr:colOff>
      <xdr:row>47</xdr:row>
      <xdr:rowOff>45720</xdr:rowOff>
    </xdr:to>
    <xdr:graphicFrame macro="">
      <xdr:nvGraphicFramePr>
        <xdr:cNvPr id="29" name="Диаграмма 28">
          <a:extLst>
            <a:ext uri="{FF2B5EF4-FFF2-40B4-BE49-F238E27FC236}">
              <a16:creationId xmlns:a16="http://schemas.microsoft.com/office/drawing/2014/main" id="{2923E835-BBD7-4BD6-8A7D-68FFE22997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139472</xdr:colOff>
      <xdr:row>101</xdr:row>
      <xdr:rowOff>11903</xdr:rowOff>
    </xdr:from>
    <xdr:to>
      <xdr:col>11</xdr:col>
      <xdr:colOff>603936</xdr:colOff>
      <xdr:row>119</xdr:row>
      <xdr:rowOff>182903</xdr:rowOff>
    </xdr:to>
    <xdr:grpSp>
      <xdr:nvGrpSpPr>
        <xdr:cNvPr id="54" name="Группа 53">
          <a:extLst>
            <a:ext uri="{FF2B5EF4-FFF2-40B4-BE49-F238E27FC236}">
              <a16:creationId xmlns:a16="http://schemas.microsoft.com/office/drawing/2014/main" id="{C3F7F62A-3513-5BF1-1AA2-B63B51F9688A}"/>
            </a:ext>
          </a:extLst>
        </xdr:cNvPr>
        <xdr:cNvGrpSpPr/>
      </xdr:nvGrpSpPr>
      <xdr:grpSpPr>
        <a:xfrm>
          <a:off x="139472" y="16452053"/>
          <a:ext cx="7170064" cy="3790500"/>
          <a:chOff x="166687" y="9251153"/>
          <a:chExt cx="4715719" cy="2880000"/>
        </a:xfrm>
      </xdr:grpSpPr>
      <xdr:sp macro="" textlink="">
        <xdr:nvSpPr>
          <xdr:cNvPr id="23" name="Прямоугольник 22">
            <a:extLst>
              <a:ext uri="{FF2B5EF4-FFF2-40B4-BE49-F238E27FC236}">
                <a16:creationId xmlns:a16="http://schemas.microsoft.com/office/drawing/2014/main" id="{6926F98C-B2A7-4BEE-96A8-4AD982CB7247}"/>
              </a:ext>
            </a:extLst>
          </xdr:cNvPr>
          <xdr:cNvSpPr/>
        </xdr:nvSpPr>
        <xdr:spPr>
          <a:xfrm>
            <a:off x="166687" y="9251153"/>
            <a:ext cx="4715719" cy="2880000"/>
          </a:xfrm>
          <a:prstGeom prst="rect">
            <a:avLst/>
          </a:prstGeom>
          <a:ln>
            <a:solidFill>
              <a:schemeClr val="bg1">
                <a:lumMod val="75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ru-RU" sz="1600" b="0" u="sng" baseline="0"/>
          </a:p>
          <a:p>
            <a:pPr algn="l"/>
            <a:endParaRPr lang="ru-RU" sz="1600" b="0" u="sng" baseline="0"/>
          </a:p>
          <a:p>
            <a:pPr algn="l"/>
            <a:endParaRPr lang="ru-RU" sz="1600" b="0" u="sng" baseline="0"/>
          </a:p>
          <a:p>
            <a:pPr algn="r"/>
            <a:endParaRPr lang="ru-RU" sz="1600" b="0" u="sng" baseline="0"/>
          </a:p>
        </xdr:txBody>
      </xdr:sp>
      <xdr:pic>
        <xdr:nvPicPr>
          <xdr:cNvPr id="41" name="Рисунок 40">
            <a:extLst>
              <a:ext uri="{FF2B5EF4-FFF2-40B4-BE49-F238E27FC236}">
                <a16:creationId xmlns:a16="http://schemas.microsoft.com/office/drawing/2014/main" id="{A5C4CCEA-EDCB-4177-BE2C-672EF730EB8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47850" y="9725364"/>
            <a:ext cx="2541135" cy="1617552"/>
          </a:xfrm>
          <a:prstGeom prst="rect">
            <a:avLst/>
          </a:prstGeom>
        </xdr:spPr>
      </xdr:pic>
    </xdr:grpSp>
    <xdr:clientData/>
  </xdr:twoCellAnchor>
  <xdr:twoCellAnchor>
    <xdr:from>
      <xdr:col>4</xdr:col>
      <xdr:colOff>557893</xdr:colOff>
      <xdr:row>4</xdr:row>
      <xdr:rowOff>149678</xdr:rowOff>
    </xdr:from>
    <xdr:to>
      <xdr:col>11</xdr:col>
      <xdr:colOff>489857</xdr:colOff>
      <xdr:row>7</xdr:row>
      <xdr:rowOff>27215</xdr:rowOff>
    </xdr:to>
    <xdr:sp macro="" textlink="">
      <xdr:nvSpPr>
        <xdr:cNvPr id="55" name="Прямоугольник 54">
          <a:extLst>
            <a:ext uri="{FF2B5EF4-FFF2-40B4-BE49-F238E27FC236}">
              <a16:creationId xmlns:a16="http://schemas.microsoft.com/office/drawing/2014/main" id="{B0C3708E-57F6-C145-3940-D55339E2EC84}"/>
            </a:ext>
          </a:extLst>
        </xdr:cNvPr>
        <xdr:cNvSpPr/>
      </xdr:nvSpPr>
      <xdr:spPr>
        <a:xfrm>
          <a:off x="3007179" y="1279071"/>
          <a:ext cx="4218214" cy="408215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ru-RU" sz="2400" b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ОЗИМАЯ ПШЕНИЦА</a:t>
          </a:r>
        </a:p>
      </xdr:txBody>
    </xdr:sp>
    <xdr:clientData/>
  </xdr:twoCellAnchor>
  <xdr:twoCellAnchor>
    <xdr:from>
      <xdr:col>0</xdr:col>
      <xdr:colOff>303777</xdr:colOff>
      <xdr:row>53</xdr:row>
      <xdr:rowOff>117702</xdr:rowOff>
    </xdr:from>
    <xdr:to>
      <xdr:col>12</xdr:col>
      <xdr:colOff>155920</xdr:colOff>
      <xdr:row>72</xdr:row>
      <xdr:rowOff>110902</xdr:rowOff>
    </xdr:to>
    <xdr:grpSp>
      <xdr:nvGrpSpPr>
        <xdr:cNvPr id="9" name="Группа 8">
          <a:extLst>
            <a:ext uri="{FF2B5EF4-FFF2-40B4-BE49-F238E27FC236}">
              <a16:creationId xmlns:a16="http://schemas.microsoft.com/office/drawing/2014/main" id="{A589EE28-43AE-D22D-454E-2BC720077C41}"/>
            </a:ext>
          </a:extLst>
        </xdr:cNvPr>
        <xdr:cNvGrpSpPr/>
      </xdr:nvGrpSpPr>
      <xdr:grpSpPr>
        <a:xfrm>
          <a:off x="303777" y="11757252"/>
          <a:ext cx="7167343" cy="3955600"/>
          <a:chOff x="646677" y="10150702"/>
          <a:chExt cx="7319743" cy="3371400"/>
        </a:xfrm>
      </xdr:grpSpPr>
      <xdr:grpSp>
        <xdr:nvGrpSpPr>
          <xdr:cNvPr id="8" name="Группа 7">
            <a:extLst>
              <a:ext uri="{FF2B5EF4-FFF2-40B4-BE49-F238E27FC236}">
                <a16:creationId xmlns:a16="http://schemas.microsoft.com/office/drawing/2014/main" id="{1999D351-9E63-641A-41E7-2D083C12C94D}"/>
              </a:ext>
            </a:extLst>
          </xdr:cNvPr>
          <xdr:cNvGrpSpPr/>
        </xdr:nvGrpSpPr>
        <xdr:grpSpPr>
          <a:xfrm>
            <a:off x="646677" y="10150702"/>
            <a:ext cx="7319743" cy="3371400"/>
            <a:chOff x="176777" y="10493602"/>
            <a:chExt cx="7319743" cy="3371400"/>
          </a:xfrm>
        </xdr:grpSpPr>
        <xdr:grpSp>
          <xdr:nvGrpSpPr>
            <xdr:cNvPr id="24" name="Группа 23">
              <a:extLst>
                <a:ext uri="{FF2B5EF4-FFF2-40B4-BE49-F238E27FC236}">
                  <a16:creationId xmlns:a16="http://schemas.microsoft.com/office/drawing/2014/main" id="{CEBA5C08-CC49-0ADD-DE01-696742CA259C}"/>
                </a:ext>
              </a:extLst>
            </xdr:cNvPr>
            <xdr:cNvGrpSpPr/>
          </xdr:nvGrpSpPr>
          <xdr:grpSpPr>
            <a:xfrm>
              <a:off x="176777" y="10493602"/>
              <a:ext cx="7319743" cy="3371400"/>
              <a:chOff x="41710" y="4183754"/>
              <a:chExt cx="4714875" cy="2144448"/>
            </a:xfrm>
            <a:effectLst/>
          </xdr:grpSpPr>
          <xdr:sp macro="" textlink="">
            <xdr:nvSpPr>
              <xdr:cNvPr id="16" name="Прямоугольник 15">
                <a:extLst>
                  <a:ext uri="{FF2B5EF4-FFF2-40B4-BE49-F238E27FC236}">
                    <a16:creationId xmlns:a16="http://schemas.microsoft.com/office/drawing/2014/main" id="{F1679FCB-7A45-4E73-B6CC-DD7F43500596}"/>
                  </a:ext>
                </a:extLst>
              </xdr:cNvPr>
              <xdr:cNvSpPr/>
            </xdr:nvSpPr>
            <xdr:spPr>
              <a:xfrm>
                <a:off x="41710" y="4183754"/>
                <a:ext cx="4714875" cy="2144448"/>
              </a:xfrm>
              <a:prstGeom prst="rect">
                <a:avLst/>
              </a:prstGeom>
              <a:ln>
                <a:solidFill>
                  <a:schemeClr val="bg1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xdr:spPr>
            <xdr:style>
              <a:lnRef idx="2">
                <a:schemeClr val="accent3"/>
              </a:lnRef>
              <a:fillRef idx="1">
                <a:schemeClr val="lt1"/>
              </a:fillRef>
              <a:effectRef idx="0">
                <a:schemeClr val="accent3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r"/>
                <a:endParaRPr lang="ru-RU" sz="1600" u="sng"/>
              </a:p>
            </xdr:txBody>
          </xdr:sp>
          <xdr:pic>
            <xdr:nvPicPr>
              <xdr:cNvPr id="21" name="Рисунок 20">
                <a:extLst>
                  <a:ext uri="{FF2B5EF4-FFF2-40B4-BE49-F238E27FC236}">
                    <a16:creationId xmlns:a16="http://schemas.microsoft.com/office/drawing/2014/main" id="{CD10AFEF-FFFD-46C7-B21F-BA6B9BA6DDA3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7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tretch>
                <a:fillRect/>
              </a:stretch>
            </xdr:blipFill>
            <xdr:spPr>
              <a:xfrm>
                <a:off x="227107" y="4435207"/>
                <a:ext cx="2216583" cy="1666601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</xdr:pic>
        </xdr:grpSp>
        <xdr:cxnSp macro="">
          <xdr:nvCxnSpPr>
            <xdr:cNvPr id="65" name="Прямая соединительная линия 64">
              <a:extLst>
                <a:ext uri="{FF2B5EF4-FFF2-40B4-BE49-F238E27FC236}">
                  <a16:creationId xmlns:a16="http://schemas.microsoft.com/office/drawing/2014/main" id="{72EC4892-7BCE-45F3-8405-F3F1FE8BD246}"/>
                </a:ext>
              </a:extLst>
            </xdr:cNvPr>
            <xdr:cNvCxnSpPr/>
          </xdr:nvCxnSpPr>
          <xdr:spPr>
            <a:xfrm>
              <a:off x="3759200" y="11217502"/>
              <a:ext cx="3663500" cy="0"/>
            </a:xfrm>
            <a:prstGeom prst="line">
              <a:avLst/>
            </a:prstGeom>
          </xdr:spPr>
          <xdr:style>
            <a:lnRef idx="1">
              <a:schemeClr val="accent3"/>
            </a:lnRef>
            <a:fillRef idx="0">
              <a:schemeClr val="accent3"/>
            </a:fillRef>
            <a:effectRef idx="0">
              <a:schemeClr val="accent3"/>
            </a:effectRef>
            <a:fontRef idx="minor">
              <a:schemeClr val="tx1"/>
            </a:fontRef>
          </xdr:style>
        </xdr:cxnSp>
        <xdr:grpSp>
          <xdr:nvGrpSpPr>
            <xdr:cNvPr id="117" name="Группа 116">
              <a:extLst>
                <a:ext uri="{FF2B5EF4-FFF2-40B4-BE49-F238E27FC236}">
                  <a16:creationId xmlns:a16="http://schemas.microsoft.com/office/drawing/2014/main" id="{A8976645-1402-4AEE-B08E-F49C500835C3}"/>
                </a:ext>
              </a:extLst>
            </xdr:cNvPr>
            <xdr:cNvGrpSpPr/>
          </xdr:nvGrpSpPr>
          <xdr:grpSpPr>
            <a:xfrm>
              <a:off x="3961377" y="11242902"/>
              <a:ext cx="3487956" cy="2585357"/>
              <a:chOff x="3824741" y="1863083"/>
              <a:chExt cx="3424691" cy="2585357"/>
            </a:xfrm>
          </xdr:grpSpPr>
          <xdr:sp macro="" textlink="Подсолнечник!C21">
            <xdr:nvSpPr>
              <xdr:cNvPr id="118" name="Прямоугольник 117">
                <a:extLst>
                  <a:ext uri="{FF2B5EF4-FFF2-40B4-BE49-F238E27FC236}">
                    <a16:creationId xmlns:a16="http://schemas.microsoft.com/office/drawing/2014/main" id="{E393AAC6-DC99-039D-977B-FD3B707C9406}"/>
                  </a:ext>
                </a:extLst>
              </xdr:cNvPr>
              <xdr:cNvSpPr/>
            </xdr:nvSpPr>
            <xdr:spPr>
              <a:xfrm>
                <a:off x="5577341" y="22440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F4430510-E96F-4AA6-9C1A-A7B536D7A25C}" type="TxLink">
                  <a:rPr lang="en-US" sz="2000" b="0" i="0" u="none" strike="noStrike">
                    <a:solidFill>
                      <a:srgbClr val="000000"/>
                    </a:solidFill>
                    <a:latin typeface="Arial"/>
                    <a:cs typeface="Arial"/>
                  </a:rPr>
                  <a:pPr algn="r"/>
                  <a:t> т</a:t>
                </a:fld>
                <a:endParaRPr lang="ru-RU" sz="2000" b="0">
                  <a:solidFill>
                    <a:sysClr val="windowText" lastClr="0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grpSp>
            <xdr:nvGrpSpPr>
              <xdr:cNvPr id="119" name="Группа 118">
                <a:extLst>
                  <a:ext uri="{FF2B5EF4-FFF2-40B4-BE49-F238E27FC236}">
                    <a16:creationId xmlns:a16="http://schemas.microsoft.com/office/drawing/2014/main" id="{2DCB5CB7-1E64-D053-A088-B66E32E6446E}"/>
                  </a:ext>
                </a:extLst>
              </xdr:cNvPr>
              <xdr:cNvGrpSpPr/>
            </xdr:nvGrpSpPr>
            <xdr:grpSpPr>
              <a:xfrm>
                <a:off x="3824741" y="1863083"/>
                <a:ext cx="3424691" cy="2585357"/>
                <a:chOff x="3824741" y="1824983"/>
                <a:chExt cx="3424691" cy="2585357"/>
              </a:xfrm>
            </xdr:grpSpPr>
            <xdr:sp macro="" textlink="">
              <xdr:nvSpPr>
                <xdr:cNvPr id="120" name="Прямоугольник 119">
                  <a:extLst>
                    <a:ext uri="{FF2B5EF4-FFF2-40B4-BE49-F238E27FC236}">
                      <a16:creationId xmlns:a16="http://schemas.microsoft.com/office/drawing/2014/main" id="{0A4909BE-B2F7-C80A-E894-98DF32A50FCF}"/>
                    </a:ext>
                  </a:extLst>
                </xdr:cNvPr>
                <xdr:cNvSpPr/>
              </xdr:nvSpPr>
              <xdr:spPr>
                <a:xfrm>
                  <a:off x="3867150" y="1841500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План:</a:t>
                  </a:r>
                </a:p>
              </xdr:txBody>
            </xdr:sp>
            <xdr:sp macro="" textlink="">
              <xdr:nvSpPr>
                <xdr:cNvPr id="121" name="Прямоугольник 120">
                  <a:extLst>
                    <a:ext uri="{FF2B5EF4-FFF2-40B4-BE49-F238E27FC236}">
                      <a16:creationId xmlns:a16="http://schemas.microsoft.com/office/drawing/2014/main" id="{17A8DC4D-40C2-00DF-18E3-6574627830D3}"/>
                    </a:ext>
                  </a:extLst>
                </xdr:cNvPr>
                <xdr:cNvSpPr/>
              </xdr:nvSpPr>
              <xdr:spPr>
                <a:xfrm>
                  <a:off x="3850141" y="2218683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Факт:</a:t>
                  </a:r>
                </a:p>
              </xdr:txBody>
            </xdr:sp>
            <xdr:sp macro="" textlink="Подсолнечник!C20">
              <xdr:nvSpPr>
                <xdr:cNvPr id="122" name="Прямоугольник 121">
                  <a:extLst>
                    <a:ext uri="{FF2B5EF4-FFF2-40B4-BE49-F238E27FC236}">
                      <a16:creationId xmlns:a16="http://schemas.microsoft.com/office/drawing/2014/main" id="{50BC25F7-3AAC-AF2E-471B-88E1989475BC}"/>
                    </a:ext>
                  </a:extLst>
                </xdr:cNvPr>
                <xdr:cNvSpPr/>
              </xdr:nvSpPr>
              <xdr:spPr>
                <a:xfrm>
                  <a:off x="5588000" y="1824983"/>
                  <a:ext cx="1633991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CEF79F72-F1E8-483A-B83C-060700CF0FB0}" type="TxLink">
                    <a:rPr lang="en-US" sz="2000" b="0" i="0" u="none" strike="noStrike">
                      <a:solidFill>
                        <a:srgbClr val="757171"/>
                      </a:solidFill>
                      <a:latin typeface="Arial"/>
                      <a:cs typeface="Arial"/>
                    </a:rPr>
                    <a:pPr algn="r"/>
                    <a:t>2 639 т</a:t>
                  </a:fld>
                  <a:endParaRPr lang="ru-RU" sz="2000" b="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Подсолнечник!C24">
              <xdr:nvSpPr>
                <xdr:cNvPr id="123" name="Прямоугольник 122">
                  <a:extLst>
                    <a:ext uri="{FF2B5EF4-FFF2-40B4-BE49-F238E27FC236}">
                      <a16:creationId xmlns:a16="http://schemas.microsoft.com/office/drawing/2014/main" id="{928FA680-3478-14BC-0869-3ADEC6E732F1}"/>
                    </a:ext>
                  </a:extLst>
                </xdr:cNvPr>
                <xdr:cNvSpPr/>
              </xdr:nvSpPr>
              <xdr:spPr>
                <a:xfrm>
                  <a:off x="6007100" y="2616200"/>
                  <a:ext cx="1168400" cy="495300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1CE8FB5E-4129-41BA-9B67-702725F6C36C}" type="TxLink">
                    <a:rPr lang="en-US" sz="2000" b="1" i="0" u="none" strike="noStrike">
                      <a:solidFill>
                        <a:srgbClr val="EE0000"/>
                      </a:solidFill>
                      <a:latin typeface="Arial"/>
                      <a:cs typeface="Arial"/>
                    </a:rPr>
                    <a:pPr algn="r"/>
                    <a:t>0,0%</a:t>
                  </a:fld>
                  <a:endParaRPr lang="ru-RU" sz="2000" b="1">
                    <a:solidFill>
                      <a:srgbClr val="EE0000"/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124" name="Прямоугольник 123">
                  <a:extLst>
                    <a:ext uri="{FF2B5EF4-FFF2-40B4-BE49-F238E27FC236}">
                      <a16:creationId xmlns:a16="http://schemas.microsoft.com/office/drawing/2014/main" id="{0F5C1651-25A0-2EA6-781E-16F770FED609}"/>
                    </a:ext>
                  </a:extLst>
                </xdr:cNvPr>
                <xdr:cNvSpPr/>
              </xdr:nvSpPr>
              <xdr:spPr>
                <a:xfrm>
                  <a:off x="3850140" y="2637783"/>
                  <a:ext cx="16870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Выполнение:</a:t>
                  </a:r>
                </a:p>
              </xdr:txBody>
            </xdr:sp>
            <xdr:sp macro="" textlink="">
              <xdr:nvSpPr>
                <xdr:cNvPr id="125" name="Прямоугольник 124">
                  <a:extLst>
                    <a:ext uri="{FF2B5EF4-FFF2-40B4-BE49-F238E27FC236}">
                      <a16:creationId xmlns:a16="http://schemas.microsoft.com/office/drawing/2014/main" id="{CCB82F3A-F2D6-644F-0770-311D4AB9229D}"/>
                    </a:ext>
                  </a:extLst>
                </xdr:cNvPr>
                <xdr:cNvSpPr/>
              </xdr:nvSpPr>
              <xdr:spPr>
                <a:xfrm>
                  <a:off x="3850141" y="3514083"/>
                  <a:ext cx="18775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Начало</a:t>
                  </a:r>
                  <a:r>
                    <a:rPr lang="ru-RU" sz="1800" baseline="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 уборки:</a:t>
                  </a:r>
                  <a:endPara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126" name="Прямоугольник 125">
                  <a:extLst>
                    <a:ext uri="{FF2B5EF4-FFF2-40B4-BE49-F238E27FC236}">
                      <a16:creationId xmlns:a16="http://schemas.microsoft.com/office/drawing/2014/main" id="{CDFEA6FA-3F42-05CE-278C-AF7768D6429B}"/>
                    </a:ext>
                  </a:extLst>
                </xdr:cNvPr>
                <xdr:cNvSpPr/>
              </xdr:nvSpPr>
              <xdr:spPr>
                <a:xfrm>
                  <a:off x="3824741" y="3945883"/>
                  <a:ext cx="22966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Окончание уборки:</a:t>
                  </a:r>
                </a:p>
              </xdr:txBody>
            </xdr:sp>
            <xdr:cxnSp macro="">
              <xdr:nvCxnSpPr>
                <xdr:cNvPr id="127" name="Прямая соединительная линия 126">
                  <a:extLst>
                    <a:ext uri="{FF2B5EF4-FFF2-40B4-BE49-F238E27FC236}">
                      <a16:creationId xmlns:a16="http://schemas.microsoft.com/office/drawing/2014/main" id="{519BC890-BD39-B6D5-03C8-2A47F5FDEB60}"/>
                    </a:ext>
                  </a:extLst>
                </xdr:cNvPr>
                <xdr:cNvCxnSpPr/>
              </xdr:nvCxnSpPr>
              <xdr:spPr>
                <a:xfrm>
                  <a:off x="5410200" y="3289300"/>
                  <a:ext cx="1800000" cy="0"/>
                </a:xfrm>
                <a:prstGeom prst="line">
                  <a:avLst/>
                </a:prstGeom>
              </xdr:spPr>
              <xdr:style>
                <a:lnRef idx="2">
                  <a:schemeClr val="accent3"/>
                </a:lnRef>
                <a:fillRef idx="0">
                  <a:schemeClr val="accent3"/>
                </a:fillRef>
                <a:effectRef idx="1">
                  <a:schemeClr val="accent3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9" name="Прямоугольник 128">
                  <a:extLst>
                    <a:ext uri="{FF2B5EF4-FFF2-40B4-BE49-F238E27FC236}">
                      <a16:creationId xmlns:a16="http://schemas.microsoft.com/office/drawing/2014/main" id="{46EEB88E-7EEF-1B71-5A52-63DFB37ECC64}"/>
                    </a:ext>
                  </a:extLst>
                </xdr:cNvPr>
                <xdr:cNvSpPr/>
              </xdr:nvSpPr>
              <xdr:spPr>
                <a:xfrm>
                  <a:off x="5969000" y="3920483"/>
                  <a:ext cx="1280432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endParaRPr lang="en-US" sz="2000" b="0" i="0" u="none" strike="noStrike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</xdr:grpSp>
        </xdr:grpSp>
      </xdr:grpSp>
      <xdr:sp macro="" textlink="">
        <xdr:nvSpPr>
          <xdr:cNvPr id="59" name="Прямоугольник 58">
            <a:extLst>
              <a:ext uri="{FF2B5EF4-FFF2-40B4-BE49-F238E27FC236}">
                <a16:creationId xmlns:a16="http://schemas.microsoft.com/office/drawing/2014/main" id="{354CE841-8AD7-4853-A054-64B4B1768FE2}"/>
              </a:ext>
            </a:extLst>
          </xdr:cNvPr>
          <xdr:cNvSpPr/>
        </xdr:nvSpPr>
        <xdr:spPr>
          <a:xfrm>
            <a:off x="2790637" y="10392003"/>
            <a:ext cx="5095040" cy="410029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ПОДСОЛНЕЧНИК ТОВАРНЫЙ</a:t>
            </a:r>
          </a:p>
        </xdr:txBody>
      </xdr:sp>
    </xdr:grpSp>
    <xdr:clientData/>
  </xdr:twoCellAnchor>
  <xdr:twoCellAnchor>
    <xdr:from>
      <xdr:col>5</xdr:col>
      <xdr:colOff>44222</xdr:colOff>
      <xdr:row>101</xdr:row>
      <xdr:rowOff>147975</xdr:rowOff>
    </xdr:from>
    <xdr:to>
      <xdr:col>11</xdr:col>
      <xdr:colOff>588507</xdr:colOff>
      <xdr:row>104</xdr:row>
      <xdr:rowOff>25511</xdr:rowOff>
    </xdr:to>
    <xdr:sp macro="" textlink="">
      <xdr:nvSpPr>
        <xdr:cNvPr id="60" name="Прямоугольник 59">
          <a:extLst>
            <a:ext uri="{FF2B5EF4-FFF2-40B4-BE49-F238E27FC236}">
              <a16:creationId xmlns:a16="http://schemas.microsoft.com/office/drawing/2014/main" id="{0DB278D1-A802-4C98-AAEB-55A02D2E3CB4}"/>
            </a:ext>
          </a:extLst>
        </xdr:cNvPr>
        <xdr:cNvSpPr/>
      </xdr:nvSpPr>
      <xdr:spPr>
        <a:xfrm>
          <a:off x="3105829" y="9414439"/>
          <a:ext cx="4218214" cy="408215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ru-RU" sz="2400" b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КУКУРУЗА НА ЗЕРНО</a:t>
          </a:r>
        </a:p>
      </xdr:txBody>
    </xdr:sp>
    <xdr:clientData/>
  </xdr:twoCellAnchor>
  <xdr:twoCellAnchor>
    <xdr:from>
      <xdr:col>5</xdr:col>
      <xdr:colOff>584424</xdr:colOff>
      <xdr:row>7</xdr:row>
      <xdr:rowOff>10886</xdr:rowOff>
    </xdr:from>
    <xdr:to>
      <xdr:col>11</xdr:col>
      <xdr:colOff>526824</xdr:colOff>
      <xdr:row>7</xdr:row>
      <xdr:rowOff>10886</xdr:rowOff>
    </xdr:to>
    <xdr:cxnSp macro="">
      <xdr:nvCxnSpPr>
        <xdr:cNvPr id="64" name="Прямая соединительная линия 63">
          <a:extLst>
            <a:ext uri="{FF2B5EF4-FFF2-40B4-BE49-F238E27FC236}">
              <a16:creationId xmlns:a16="http://schemas.microsoft.com/office/drawing/2014/main" id="{623D5CA4-9F13-3CA0-36A5-F9B7531F5D1D}"/>
            </a:ext>
          </a:extLst>
        </xdr:cNvPr>
        <xdr:cNvCxnSpPr/>
      </xdr:nvCxnSpPr>
      <xdr:spPr>
        <a:xfrm>
          <a:off x="3632424" y="1696811"/>
          <a:ext cx="3600000" cy="0"/>
        </a:xfrm>
        <a:prstGeom prst="line">
          <a:avLst/>
        </a:prstGeom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12472</xdr:colOff>
      <xdr:row>104</xdr:row>
      <xdr:rowOff>37303</xdr:rowOff>
    </xdr:from>
    <xdr:to>
      <xdr:col>11</xdr:col>
      <xdr:colOff>564472</xdr:colOff>
      <xdr:row>104</xdr:row>
      <xdr:rowOff>37303</xdr:rowOff>
    </xdr:to>
    <xdr:cxnSp macro="">
      <xdr:nvCxnSpPr>
        <xdr:cNvPr id="66" name="Прямая соединительная линия 65">
          <a:extLst>
            <a:ext uri="{FF2B5EF4-FFF2-40B4-BE49-F238E27FC236}">
              <a16:creationId xmlns:a16="http://schemas.microsoft.com/office/drawing/2014/main" id="{CF9020AF-6190-4E11-A742-7D35B02B1B82}"/>
            </a:ext>
          </a:extLst>
        </xdr:cNvPr>
        <xdr:cNvCxnSpPr/>
      </xdr:nvCxnSpPr>
      <xdr:spPr>
        <a:xfrm>
          <a:off x="3670072" y="10603703"/>
          <a:ext cx="360000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38100</xdr:colOff>
      <xdr:row>29</xdr:row>
      <xdr:rowOff>79373</xdr:rowOff>
    </xdr:from>
    <xdr:to>
      <xdr:col>11</xdr:col>
      <xdr:colOff>590100</xdr:colOff>
      <xdr:row>29</xdr:row>
      <xdr:rowOff>79373</xdr:rowOff>
    </xdr:to>
    <xdr:cxnSp macro="">
      <xdr:nvCxnSpPr>
        <xdr:cNvPr id="67" name="Прямая соединительная линия 66">
          <a:extLst>
            <a:ext uri="{FF2B5EF4-FFF2-40B4-BE49-F238E27FC236}">
              <a16:creationId xmlns:a16="http://schemas.microsoft.com/office/drawing/2014/main" id="{79C06A25-9B74-4E10-B5D3-1F60318C4DFC}"/>
            </a:ext>
          </a:extLst>
        </xdr:cNvPr>
        <xdr:cNvCxnSpPr/>
      </xdr:nvCxnSpPr>
      <xdr:spPr>
        <a:xfrm>
          <a:off x="3771900" y="5807073"/>
          <a:ext cx="366350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167141</xdr:colOff>
      <xdr:row>8</xdr:row>
      <xdr:rowOff>8883</xdr:rowOff>
    </xdr:from>
    <xdr:to>
      <xdr:col>11</xdr:col>
      <xdr:colOff>556532</xdr:colOff>
      <xdr:row>22</xdr:row>
      <xdr:rowOff>105040</xdr:rowOff>
    </xdr:to>
    <xdr:grpSp>
      <xdr:nvGrpSpPr>
        <xdr:cNvPr id="116" name="Группа 115">
          <a:extLst>
            <a:ext uri="{FF2B5EF4-FFF2-40B4-BE49-F238E27FC236}">
              <a16:creationId xmlns:a16="http://schemas.microsoft.com/office/drawing/2014/main" id="{600D0B43-E87E-7376-21A7-0E42CEB3CB6B}"/>
            </a:ext>
          </a:extLst>
        </xdr:cNvPr>
        <xdr:cNvGrpSpPr/>
      </xdr:nvGrpSpPr>
      <xdr:grpSpPr>
        <a:xfrm>
          <a:off x="3824741" y="2294883"/>
          <a:ext cx="3437391" cy="3029857"/>
          <a:chOff x="3824741" y="1863083"/>
          <a:chExt cx="3437391" cy="2585357"/>
        </a:xfrm>
      </xdr:grpSpPr>
      <xdr:sp macro="" textlink="'Озимая пшеница'!C21">
        <xdr:nvSpPr>
          <xdr:cNvPr id="71" name="Прямоугольник 70">
            <a:extLst>
              <a:ext uri="{FF2B5EF4-FFF2-40B4-BE49-F238E27FC236}">
                <a16:creationId xmlns:a16="http://schemas.microsoft.com/office/drawing/2014/main" id="{922F8459-6084-46A9-A241-A356C8CE01B3}"/>
              </a:ext>
            </a:extLst>
          </xdr:cNvPr>
          <xdr:cNvSpPr/>
        </xdr:nvSpPr>
        <xdr:spPr>
          <a:xfrm>
            <a:off x="5577341" y="2244083"/>
            <a:ext cx="1633991" cy="464457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fld id="{930C3DEE-0FA7-45F8-A80D-C1E4589C37C0}" type="TxLink">
              <a:rPr lang="en-US" sz="2000" b="0" i="0" u="none" strike="noStrike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pPr algn="r"/>
              <a:t>11 846 т</a:t>
            </a:fld>
            <a:endParaRPr lang="ru-RU" sz="2000" b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grpSp>
        <xdr:nvGrpSpPr>
          <xdr:cNvPr id="82" name="Группа 81">
            <a:extLst>
              <a:ext uri="{FF2B5EF4-FFF2-40B4-BE49-F238E27FC236}">
                <a16:creationId xmlns:a16="http://schemas.microsoft.com/office/drawing/2014/main" id="{4AA14FA9-435D-9EFA-DF0B-6B63F79E5C17}"/>
              </a:ext>
            </a:extLst>
          </xdr:cNvPr>
          <xdr:cNvGrpSpPr/>
        </xdr:nvGrpSpPr>
        <xdr:grpSpPr>
          <a:xfrm>
            <a:off x="3824741" y="1863083"/>
            <a:ext cx="3437391" cy="2585357"/>
            <a:chOff x="3824741" y="1824983"/>
            <a:chExt cx="3437391" cy="2585357"/>
          </a:xfrm>
        </xdr:grpSpPr>
        <xdr:sp macro="" textlink="">
          <xdr:nvSpPr>
            <xdr:cNvPr id="62" name="Прямоугольник 61">
              <a:extLst>
                <a:ext uri="{FF2B5EF4-FFF2-40B4-BE49-F238E27FC236}">
                  <a16:creationId xmlns:a16="http://schemas.microsoft.com/office/drawing/2014/main" id="{852EB082-116B-ADCE-B0FA-DE58760B35F1}"/>
                </a:ext>
              </a:extLst>
            </xdr:cNvPr>
            <xdr:cNvSpPr/>
          </xdr:nvSpPr>
          <xdr:spPr>
            <a:xfrm>
              <a:off x="3867150" y="1841500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План:</a:t>
              </a:r>
            </a:p>
          </xdr:txBody>
        </xdr:sp>
        <xdr:sp macro="" textlink="">
          <xdr:nvSpPr>
            <xdr:cNvPr id="68" name="Прямоугольник 67">
              <a:extLst>
                <a:ext uri="{FF2B5EF4-FFF2-40B4-BE49-F238E27FC236}">
                  <a16:creationId xmlns:a16="http://schemas.microsoft.com/office/drawing/2014/main" id="{B00CBB93-372D-497C-8328-1FDD720FCE81}"/>
                </a:ext>
              </a:extLst>
            </xdr:cNvPr>
            <xdr:cNvSpPr/>
          </xdr:nvSpPr>
          <xdr:spPr>
            <a:xfrm>
              <a:off x="3850141" y="2218683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Факт:</a:t>
              </a:r>
            </a:p>
          </xdr:txBody>
        </xdr:sp>
        <xdr:sp macro="" textlink="'Озимая пшеница'!C20">
          <xdr:nvSpPr>
            <xdr:cNvPr id="69" name="Прямоугольник 68">
              <a:extLst>
                <a:ext uri="{FF2B5EF4-FFF2-40B4-BE49-F238E27FC236}">
                  <a16:creationId xmlns:a16="http://schemas.microsoft.com/office/drawing/2014/main" id="{F5654F6B-06B8-42CC-9258-3D972637A558}"/>
                </a:ext>
              </a:extLst>
            </xdr:cNvPr>
            <xdr:cNvSpPr/>
          </xdr:nvSpPr>
          <xdr:spPr>
            <a:xfrm>
              <a:off x="5588000" y="18249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4521F31C-9DDC-4AD5-A382-604C1FF0A0A4}" type="TxLink">
                <a:rPr lang="en-US" sz="2000" b="0" i="0" u="none" strike="noStrike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pPr algn="r"/>
                <a:t>24 307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'Озимая пшеница'!C24">
          <xdr:nvSpPr>
            <xdr:cNvPr id="72" name="Прямоугольник 71">
              <a:extLst>
                <a:ext uri="{FF2B5EF4-FFF2-40B4-BE49-F238E27FC236}">
                  <a16:creationId xmlns:a16="http://schemas.microsoft.com/office/drawing/2014/main" id="{A78AC8C0-D97C-9EA1-0B30-42EFAE292001}"/>
                </a:ext>
              </a:extLst>
            </xdr:cNvPr>
            <xdr:cNvSpPr/>
          </xdr:nvSpPr>
          <xdr:spPr>
            <a:xfrm>
              <a:off x="6007100" y="2616200"/>
              <a:ext cx="1168400" cy="495300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79B7ADF1-AC12-4EBF-9B70-39CC1774396B}" type="TxLink">
                <a:rPr lang="en-US" sz="2000" b="1" i="0" u="none" strike="noStrike">
                  <a:solidFill>
                    <a:srgbClr val="EE0000"/>
                  </a:solidFill>
                  <a:latin typeface="Arial"/>
                  <a:cs typeface="Arial"/>
                </a:rPr>
                <a:pPr algn="r"/>
                <a:t>48,7%</a:t>
              </a:fld>
              <a:endParaRPr lang="ru-RU" sz="2000" b="1">
                <a:solidFill>
                  <a:srgbClr val="EE0000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74" name="Прямоугольник 73">
              <a:extLst>
                <a:ext uri="{FF2B5EF4-FFF2-40B4-BE49-F238E27FC236}">
                  <a16:creationId xmlns:a16="http://schemas.microsoft.com/office/drawing/2014/main" id="{47717081-3698-4BF7-B7EE-A43176F8CD0B}"/>
                </a:ext>
              </a:extLst>
            </xdr:cNvPr>
            <xdr:cNvSpPr/>
          </xdr:nvSpPr>
          <xdr:spPr>
            <a:xfrm>
              <a:off x="3850140" y="2637783"/>
              <a:ext cx="16870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Выполнение:</a:t>
              </a:r>
            </a:p>
          </xdr:txBody>
        </xdr:sp>
        <xdr:sp macro="" textlink="">
          <xdr:nvSpPr>
            <xdr:cNvPr id="75" name="Прямоугольник 74">
              <a:extLst>
                <a:ext uri="{FF2B5EF4-FFF2-40B4-BE49-F238E27FC236}">
                  <a16:creationId xmlns:a16="http://schemas.microsoft.com/office/drawing/2014/main" id="{97CD4CCE-F4E1-43F3-9C25-ED6B380D376B}"/>
                </a:ext>
              </a:extLst>
            </xdr:cNvPr>
            <xdr:cNvSpPr/>
          </xdr:nvSpPr>
          <xdr:spPr>
            <a:xfrm>
              <a:off x="3850141" y="3514083"/>
              <a:ext cx="18775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Начало</a:t>
              </a:r>
              <a:r>
                <a:rPr lang="ru-RU" sz="1800" baseline="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уборки:</a:t>
              </a:r>
              <a:endParaRPr lang="ru-RU" sz="1800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76" name="Прямоугольник 75">
              <a:extLst>
                <a:ext uri="{FF2B5EF4-FFF2-40B4-BE49-F238E27FC236}">
                  <a16:creationId xmlns:a16="http://schemas.microsoft.com/office/drawing/2014/main" id="{219EAADE-FD53-4FFB-82E1-761F753D9C1D}"/>
                </a:ext>
              </a:extLst>
            </xdr:cNvPr>
            <xdr:cNvSpPr/>
          </xdr:nvSpPr>
          <xdr:spPr>
            <a:xfrm>
              <a:off x="3824741" y="3945883"/>
              <a:ext cx="22966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Окончание уборки:</a:t>
              </a:r>
            </a:p>
          </xdr:txBody>
        </xdr:sp>
        <xdr:cxnSp macro="">
          <xdr:nvCxnSpPr>
            <xdr:cNvPr id="78" name="Прямая соединительная линия 77">
              <a:extLst>
                <a:ext uri="{FF2B5EF4-FFF2-40B4-BE49-F238E27FC236}">
                  <a16:creationId xmlns:a16="http://schemas.microsoft.com/office/drawing/2014/main" id="{01F67022-8FC2-C692-95D3-83A13A434447}"/>
                </a:ext>
              </a:extLst>
            </xdr:cNvPr>
            <xdr:cNvCxnSpPr/>
          </xdr:nvCxnSpPr>
          <xdr:spPr>
            <a:xfrm>
              <a:off x="5410200" y="3289300"/>
              <a:ext cx="1800000" cy="0"/>
            </a:xfrm>
            <a:prstGeom prst="line">
              <a:avLst/>
            </a:prstGeom>
          </xdr:spPr>
          <xdr:style>
            <a:lnRef idx="2">
              <a:schemeClr val="accent3"/>
            </a:lnRef>
            <a:fillRef idx="0">
              <a:schemeClr val="accent3"/>
            </a:fillRef>
            <a:effectRef idx="1">
              <a:schemeClr val="accent3"/>
            </a:effectRef>
            <a:fontRef idx="minor">
              <a:schemeClr val="tx1"/>
            </a:fontRef>
          </xdr:style>
        </xdr:cxnSp>
        <xdr:sp macro="" textlink="'Озимая пшеница'!I6">
          <xdr:nvSpPr>
            <xdr:cNvPr id="80" name="Прямоугольник 79">
              <a:extLst>
                <a:ext uri="{FF2B5EF4-FFF2-40B4-BE49-F238E27FC236}">
                  <a16:creationId xmlns:a16="http://schemas.microsoft.com/office/drawing/2014/main" id="{2343112B-12B4-48EA-A782-43D85E62925A}"/>
                </a:ext>
              </a:extLst>
            </xdr:cNvPr>
            <xdr:cNvSpPr/>
          </xdr:nvSpPr>
          <xdr:spPr>
            <a:xfrm>
              <a:off x="5956300" y="3475983"/>
              <a:ext cx="13058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r"/>
              <a:fld id="{C9026DAF-516E-4BF7-BF29-325E810320FF}" type="TxLink">
                <a:rPr lang="en-US" sz="1500" b="0" i="0" u="none" strike="noStrike">
                  <a:solidFill>
                    <a:srgbClr val="996600"/>
                  </a:solidFill>
                  <a:latin typeface="Arial"/>
                  <a:ea typeface="+mn-ea"/>
                  <a:cs typeface="Arial"/>
                </a:rPr>
                <a:pPr marL="0" indent="0" algn="r"/>
                <a:t>01.07.2026</a:t>
              </a:fld>
              <a:endParaRPr lang="en-US" sz="1500" b="0" i="0" u="none" strike="noStrike">
                <a:solidFill>
                  <a:srgbClr val="9966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81" name="Прямоугольник 80">
              <a:extLst>
                <a:ext uri="{FF2B5EF4-FFF2-40B4-BE49-F238E27FC236}">
                  <a16:creationId xmlns:a16="http://schemas.microsoft.com/office/drawing/2014/main" id="{540D1926-B887-4C7A-A544-C912E030653B}"/>
                </a:ext>
              </a:extLst>
            </xdr:cNvPr>
            <xdr:cNvSpPr/>
          </xdr:nvSpPr>
          <xdr:spPr>
            <a:xfrm>
              <a:off x="5969000" y="3920483"/>
              <a:ext cx="12804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endParaRPr lang="en-US" sz="2000" b="0" i="0" u="none" strike="noStrike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</xdr:grpSp>
    </xdr:grpSp>
    <xdr:clientData/>
  </xdr:twoCellAnchor>
  <xdr:twoCellAnchor>
    <xdr:from>
      <xdr:col>6</xdr:col>
      <xdr:colOff>190272</xdr:colOff>
      <xdr:row>104</xdr:row>
      <xdr:rowOff>100803</xdr:rowOff>
    </xdr:from>
    <xdr:to>
      <xdr:col>11</xdr:col>
      <xdr:colOff>579663</xdr:colOff>
      <xdr:row>119</xdr:row>
      <xdr:rowOff>19160</xdr:rowOff>
    </xdr:to>
    <xdr:grpSp>
      <xdr:nvGrpSpPr>
        <xdr:cNvPr id="130" name="Группа 129">
          <a:extLst>
            <a:ext uri="{FF2B5EF4-FFF2-40B4-BE49-F238E27FC236}">
              <a16:creationId xmlns:a16="http://schemas.microsoft.com/office/drawing/2014/main" id="{0AC53C48-D53A-475B-8AEB-5AEF98767DD5}"/>
            </a:ext>
          </a:extLst>
        </xdr:cNvPr>
        <xdr:cNvGrpSpPr/>
      </xdr:nvGrpSpPr>
      <xdr:grpSpPr>
        <a:xfrm>
          <a:off x="3847872" y="17169603"/>
          <a:ext cx="3437391" cy="2909207"/>
          <a:chOff x="3824741" y="1863083"/>
          <a:chExt cx="3437391" cy="2585357"/>
        </a:xfrm>
      </xdr:grpSpPr>
      <xdr:sp macro="" textlink="'Кукуруза на зерно'!C21">
        <xdr:nvSpPr>
          <xdr:cNvPr id="131" name="Прямоугольник 130">
            <a:extLst>
              <a:ext uri="{FF2B5EF4-FFF2-40B4-BE49-F238E27FC236}">
                <a16:creationId xmlns:a16="http://schemas.microsoft.com/office/drawing/2014/main" id="{303D49A0-20BE-0200-940F-56CF65271B11}"/>
              </a:ext>
            </a:extLst>
          </xdr:cNvPr>
          <xdr:cNvSpPr/>
        </xdr:nvSpPr>
        <xdr:spPr>
          <a:xfrm>
            <a:off x="5532613" y="2272550"/>
            <a:ext cx="1633991" cy="464457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fld id="{8BF0CA44-107A-448B-A6DF-1B9E6AFFB3C8}" type="TxLink">
              <a:rPr lang="en-US" sz="2000" b="0" i="0" u="none" strike="noStrike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pPr algn="r"/>
              <a:t> т</a:t>
            </a:fld>
            <a:endParaRPr lang="ru-RU" sz="2000" b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grpSp>
        <xdr:nvGrpSpPr>
          <xdr:cNvPr id="132" name="Группа 131">
            <a:extLst>
              <a:ext uri="{FF2B5EF4-FFF2-40B4-BE49-F238E27FC236}">
                <a16:creationId xmlns:a16="http://schemas.microsoft.com/office/drawing/2014/main" id="{E5CC91BD-6D53-2774-6996-83380EFB3F6A}"/>
              </a:ext>
            </a:extLst>
          </xdr:cNvPr>
          <xdr:cNvGrpSpPr/>
        </xdr:nvGrpSpPr>
        <xdr:grpSpPr>
          <a:xfrm>
            <a:off x="3824741" y="1863083"/>
            <a:ext cx="3437391" cy="2585357"/>
            <a:chOff x="3824741" y="1824983"/>
            <a:chExt cx="3437391" cy="2585357"/>
          </a:xfrm>
        </xdr:grpSpPr>
        <xdr:sp macro="" textlink="">
          <xdr:nvSpPr>
            <xdr:cNvPr id="133" name="Прямоугольник 132">
              <a:extLst>
                <a:ext uri="{FF2B5EF4-FFF2-40B4-BE49-F238E27FC236}">
                  <a16:creationId xmlns:a16="http://schemas.microsoft.com/office/drawing/2014/main" id="{A6F0DF06-691B-F472-DCAA-4AAF6A5B4331}"/>
                </a:ext>
              </a:extLst>
            </xdr:cNvPr>
            <xdr:cNvSpPr/>
          </xdr:nvSpPr>
          <xdr:spPr>
            <a:xfrm>
              <a:off x="3867150" y="1841500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План:</a:t>
              </a:r>
            </a:p>
          </xdr:txBody>
        </xdr:sp>
        <xdr:sp macro="" textlink="">
          <xdr:nvSpPr>
            <xdr:cNvPr id="134" name="Прямоугольник 133">
              <a:extLst>
                <a:ext uri="{FF2B5EF4-FFF2-40B4-BE49-F238E27FC236}">
                  <a16:creationId xmlns:a16="http://schemas.microsoft.com/office/drawing/2014/main" id="{86898813-52A7-90E2-6FC0-93E38CB3CB32}"/>
                </a:ext>
              </a:extLst>
            </xdr:cNvPr>
            <xdr:cNvSpPr/>
          </xdr:nvSpPr>
          <xdr:spPr>
            <a:xfrm>
              <a:off x="3850141" y="2218683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Факт:</a:t>
              </a:r>
            </a:p>
          </xdr:txBody>
        </xdr:sp>
        <xdr:sp macro="" textlink="'Кукуруза на зерно'!C20">
          <xdr:nvSpPr>
            <xdr:cNvPr id="135" name="Прямоугольник 134">
              <a:extLst>
                <a:ext uri="{FF2B5EF4-FFF2-40B4-BE49-F238E27FC236}">
                  <a16:creationId xmlns:a16="http://schemas.microsoft.com/office/drawing/2014/main" id="{929D4AD7-8B5B-0E84-0DE4-DEA5FBC55C59}"/>
                </a:ext>
              </a:extLst>
            </xdr:cNvPr>
            <xdr:cNvSpPr/>
          </xdr:nvSpPr>
          <xdr:spPr>
            <a:xfrm>
              <a:off x="5588000" y="18249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D7358127-D660-479B-8595-95331CADB4CC}" type="TxLink">
                <a:rPr lang="en-US" sz="2000" b="0" i="0" u="none" strike="noStrike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pPr algn="r"/>
                <a:t>1 541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'Кукуруза на зерно'!C24">
          <xdr:nvSpPr>
            <xdr:cNvPr id="136" name="Прямоугольник 135">
              <a:extLst>
                <a:ext uri="{FF2B5EF4-FFF2-40B4-BE49-F238E27FC236}">
                  <a16:creationId xmlns:a16="http://schemas.microsoft.com/office/drawing/2014/main" id="{1222CE0E-7C15-45E6-AD5D-8C3360324F7F}"/>
                </a:ext>
              </a:extLst>
            </xdr:cNvPr>
            <xdr:cNvSpPr/>
          </xdr:nvSpPr>
          <xdr:spPr>
            <a:xfrm>
              <a:off x="6007100" y="2616200"/>
              <a:ext cx="1168400" cy="495300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3706E0FC-0F83-4D43-A548-2EF193DC9FB4}" type="TxLink">
                <a:rPr lang="en-US" sz="2000" b="1" i="0" u="none" strike="noStrike">
                  <a:solidFill>
                    <a:srgbClr val="C00000"/>
                  </a:solidFill>
                  <a:latin typeface="Arial"/>
                  <a:cs typeface="Arial"/>
                </a:rPr>
                <a:pPr algn="r"/>
                <a:t>0,0%</a:t>
              </a:fld>
              <a:endParaRPr lang="ru-RU" sz="2000" b="1">
                <a:solidFill>
                  <a:srgbClr val="C00000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37" name="Прямоугольник 136">
              <a:extLst>
                <a:ext uri="{FF2B5EF4-FFF2-40B4-BE49-F238E27FC236}">
                  <a16:creationId xmlns:a16="http://schemas.microsoft.com/office/drawing/2014/main" id="{CE56B96E-C84E-9D40-C839-9A58496B6AFD}"/>
                </a:ext>
              </a:extLst>
            </xdr:cNvPr>
            <xdr:cNvSpPr/>
          </xdr:nvSpPr>
          <xdr:spPr>
            <a:xfrm>
              <a:off x="3850140" y="2637783"/>
              <a:ext cx="16870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Выполнение:</a:t>
              </a:r>
            </a:p>
          </xdr:txBody>
        </xdr:sp>
        <xdr:sp macro="" textlink="">
          <xdr:nvSpPr>
            <xdr:cNvPr id="138" name="Прямоугольник 137">
              <a:extLst>
                <a:ext uri="{FF2B5EF4-FFF2-40B4-BE49-F238E27FC236}">
                  <a16:creationId xmlns:a16="http://schemas.microsoft.com/office/drawing/2014/main" id="{FEC16FA5-A9FB-2155-9AFD-D1C1F2608996}"/>
                </a:ext>
              </a:extLst>
            </xdr:cNvPr>
            <xdr:cNvSpPr/>
          </xdr:nvSpPr>
          <xdr:spPr>
            <a:xfrm>
              <a:off x="3850141" y="3514083"/>
              <a:ext cx="18775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Начало</a:t>
              </a:r>
              <a:r>
                <a:rPr lang="ru-RU" sz="1800" baseline="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уборки:</a:t>
              </a:r>
              <a:endParaRPr lang="ru-RU" sz="1800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39" name="Прямоугольник 138">
              <a:extLst>
                <a:ext uri="{FF2B5EF4-FFF2-40B4-BE49-F238E27FC236}">
                  <a16:creationId xmlns:a16="http://schemas.microsoft.com/office/drawing/2014/main" id="{3DD06533-8EB9-09AB-6CBB-6C861EA9F403}"/>
                </a:ext>
              </a:extLst>
            </xdr:cNvPr>
            <xdr:cNvSpPr/>
          </xdr:nvSpPr>
          <xdr:spPr>
            <a:xfrm>
              <a:off x="3824741" y="3945883"/>
              <a:ext cx="22966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Окончание уборки:</a:t>
              </a:r>
            </a:p>
          </xdr:txBody>
        </xdr:sp>
        <xdr:cxnSp macro="">
          <xdr:nvCxnSpPr>
            <xdr:cNvPr id="140" name="Прямая соединительная линия 139">
              <a:extLst>
                <a:ext uri="{FF2B5EF4-FFF2-40B4-BE49-F238E27FC236}">
                  <a16:creationId xmlns:a16="http://schemas.microsoft.com/office/drawing/2014/main" id="{079306C0-7CE2-ACE3-2CFA-581242533C24}"/>
                </a:ext>
              </a:extLst>
            </xdr:cNvPr>
            <xdr:cNvCxnSpPr/>
          </xdr:nvCxnSpPr>
          <xdr:spPr>
            <a:xfrm>
              <a:off x="5410200" y="3289300"/>
              <a:ext cx="1800000" cy="0"/>
            </a:xfrm>
            <a:prstGeom prst="line">
              <a:avLst/>
            </a:prstGeom>
          </xdr:spPr>
          <xdr:style>
            <a:lnRef idx="2">
              <a:schemeClr val="accent3"/>
            </a:lnRef>
            <a:fillRef idx="0">
              <a:schemeClr val="accent3"/>
            </a:fillRef>
            <a:effectRef idx="1">
              <a:schemeClr val="accent3"/>
            </a:effectRef>
            <a:fontRef idx="minor">
              <a:schemeClr val="tx1"/>
            </a:fontRef>
          </xdr:style>
        </xdr:cxnSp>
        <xdr:sp macro="" textlink="">
          <xdr:nvSpPr>
            <xdr:cNvPr id="141" name="Прямоугольник 140">
              <a:extLst>
                <a:ext uri="{FF2B5EF4-FFF2-40B4-BE49-F238E27FC236}">
                  <a16:creationId xmlns:a16="http://schemas.microsoft.com/office/drawing/2014/main" id="{0ACD8B30-13C4-8A81-A5F8-72C1ECABECA5}"/>
                </a:ext>
              </a:extLst>
            </xdr:cNvPr>
            <xdr:cNvSpPr/>
          </xdr:nvSpPr>
          <xdr:spPr>
            <a:xfrm>
              <a:off x="5956300" y="3475983"/>
              <a:ext cx="13058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endParaRPr lang="en-US" sz="2000" b="0" i="0" u="none" strike="noStrike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42" name="Прямоугольник 141">
              <a:extLst>
                <a:ext uri="{FF2B5EF4-FFF2-40B4-BE49-F238E27FC236}">
                  <a16:creationId xmlns:a16="http://schemas.microsoft.com/office/drawing/2014/main" id="{5DDFF508-11FC-51F3-2873-393B505C2E6F}"/>
                </a:ext>
              </a:extLst>
            </xdr:cNvPr>
            <xdr:cNvSpPr/>
          </xdr:nvSpPr>
          <xdr:spPr>
            <a:xfrm>
              <a:off x="5969000" y="3920483"/>
              <a:ext cx="12804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endParaRPr lang="en-US" sz="2000" b="0" i="0" u="none" strike="noStrike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</xdr:grpSp>
    </xdr:grpSp>
    <xdr:clientData/>
  </xdr:twoCellAnchor>
  <xdr:twoCellAnchor>
    <xdr:from>
      <xdr:col>9</xdr:col>
      <xdr:colOff>484641</xdr:colOff>
      <xdr:row>19</xdr:row>
      <xdr:rowOff>167633</xdr:rowOff>
    </xdr:from>
    <xdr:to>
      <xdr:col>11</xdr:col>
      <xdr:colOff>571911</xdr:colOff>
      <xdr:row>22</xdr:row>
      <xdr:rowOff>100230</xdr:rowOff>
    </xdr:to>
    <xdr:sp macro="" textlink="'Озимая пшеница'!I7">
      <xdr:nvSpPr>
        <xdr:cNvPr id="4" name="Прямоугольник 3">
          <a:extLst>
            <a:ext uri="{FF2B5EF4-FFF2-40B4-BE49-F238E27FC236}">
              <a16:creationId xmlns:a16="http://schemas.microsoft.com/office/drawing/2014/main" id="{688A7583-BF0E-4A93-9A9D-B5DE9B1A6862}"/>
            </a:ext>
          </a:extLst>
        </xdr:cNvPr>
        <xdr:cNvSpPr/>
      </xdr:nvSpPr>
      <xdr:spPr>
        <a:xfrm>
          <a:off x="5913891" y="3914133"/>
          <a:ext cx="1293770" cy="456472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F877E588-AD3C-45B4-8552-A998F186922B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37077</xdr:colOff>
      <xdr:row>67</xdr:row>
      <xdr:rowOff>76200</xdr:rowOff>
    </xdr:from>
    <xdr:to>
      <xdr:col>12</xdr:col>
      <xdr:colOff>123709</xdr:colOff>
      <xdr:row>70</xdr:row>
      <xdr:rowOff>1099</xdr:rowOff>
    </xdr:to>
    <xdr:sp macro="" textlink="Подсолнечник!I6">
      <xdr:nvSpPr>
        <xdr:cNvPr id="5" name="Прямоугольник 4">
          <a:extLst>
            <a:ext uri="{FF2B5EF4-FFF2-40B4-BE49-F238E27FC236}">
              <a16:creationId xmlns:a16="http://schemas.microsoft.com/office/drawing/2014/main" id="{2A666A6B-465D-4EB9-8DE8-214A4C42D53F}"/>
            </a:ext>
          </a:extLst>
        </xdr:cNvPr>
        <xdr:cNvSpPr/>
      </xdr:nvSpPr>
      <xdr:spPr>
        <a:xfrm>
          <a:off x="6133077" y="12477750"/>
          <a:ext cx="1305832" cy="49639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7066C795-1221-419F-8016-79A805B866F5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472440</xdr:colOff>
      <xdr:row>113</xdr:row>
      <xdr:rowOff>152400</xdr:rowOff>
    </xdr:from>
    <xdr:to>
      <xdr:col>11</xdr:col>
      <xdr:colOff>553357</xdr:colOff>
      <xdr:row>116</xdr:row>
      <xdr:rowOff>94444</xdr:rowOff>
    </xdr:to>
    <xdr:sp macro="" textlink="'Кукуруза на зерно'!I6">
      <xdr:nvSpPr>
        <xdr:cNvPr id="6" name="Прямоугольник 5">
          <a:extLst>
            <a:ext uri="{FF2B5EF4-FFF2-40B4-BE49-F238E27FC236}">
              <a16:creationId xmlns:a16="http://schemas.microsoft.com/office/drawing/2014/main" id="{809922A4-100A-43E5-B2EF-05A504E9BDBE}"/>
            </a:ext>
          </a:extLst>
        </xdr:cNvPr>
        <xdr:cNvSpPr/>
      </xdr:nvSpPr>
      <xdr:spPr>
        <a:xfrm>
          <a:off x="6130290" y="23488650"/>
          <a:ext cx="1338217" cy="456394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DA15AFE6-8894-49E1-87A9-DB38912383BE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37077</xdr:colOff>
      <xdr:row>69</xdr:row>
      <xdr:rowOff>136752</xdr:rowOff>
    </xdr:from>
    <xdr:to>
      <xdr:col>12</xdr:col>
      <xdr:colOff>123709</xdr:colOff>
      <xdr:row>72</xdr:row>
      <xdr:rowOff>61651</xdr:rowOff>
    </xdr:to>
    <xdr:sp macro="" textlink="Подсолнечник!I7">
      <xdr:nvSpPr>
        <xdr:cNvPr id="10" name="Прямоугольник 9">
          <a:extLst>
            <a:ext uri="{FF2B5EF4-FFF2-40B4-BE49-F238E27FC236}">
              <a16:creationId xmlns:a16="http://schemas.microsoft.com/office/drawing/2014/main" id="{01EC63FE-11F5-47FF-9E3A-923F94FFB0F9}"/>
            </a:ext>
          </a:extLst>
        </xdr:cNvPr>
        <xdr:cNvSpPr/>
      </xdr:nvSpPr>
      <xdr:spPr>
        <a:xfrm>
          <a:off x="6133077" y="12919302"/>
          <a:ext cx="1305832" cy="49639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5FE9A023-25CD-45BE-9311-26094E6AA1D3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466725</xdr:colOff>
      <xdr:row>116</xdr:row>
      <xdr:rowOff>76200</xdr:rowOff>
    </xdr:from>
    <xdr:to>
      <xdr:col>11</xdr:col>
      <xdr:colOff>540022</xdr:colOff>
      <xdr:row>119</xdr:row>
      <xdr:rowOff>27769</xdr:rowOff>
    </xdr:to>
    <xdr:sp macro="" textlink="'Кукуруза на зерно'!I7">
      <xdr:nvSpPr>
        <xdr:cNvPr id="11" name="Прямоугольник 10">
          <a:extLst>
            <a:ext uri="{FF2B5EF4-FFF2-40B4-BE49-F238E27FC236}">
              <a16:creationId xmlns:a16="http://schemas.microsoft.com/office/drawing/2014/main" id="{CE452AD9-BB5D-49D4-B893-8A99E7C8AEBD}"/>
            </a:ext>
          </a:extLst>
        </xdr:cNvPr>
        <xdr:cNvSpPr/>
      </xdr:nvSpPr>
      <xdr:spPr>
        <a:xfrm>
          <a:off x="6124575" y="23926800"/>
          <a:ext cx="1330597" cy="46591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FE4263FE-93DF-4237-8BD4-A14306AAACCA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186938</xdr:colOff>
      <xdr:row>128</xdr:row>
      <xdr:rowOff>158113</xdr:rowOff>
    </xdr:from>
    <xdr:to>
      <xdr:col>12</xdr:col>
      <xdr:colOff>39081</xdr:colOff>
      <xdr:row>147</xdr:row>
      <xdr:rowOff>155758</xdr:rowOff>
    </xdr:to>
    <xdr:grpSp>
      <xdr:nvGrpSpPr>
        <xdr:cNvPr id="12" name="Группа 11">
          <a:extLst>
            <a:ext uri="{FF2B5EF4-FFF2-40B4-BE49-F238E27FC236}">
              <a16:creationId xmlns:a16="http://schemas.microsoft.com/office/drawing/2014/main" id="{AA4912D2-DDD5-46D1-B7D9-FEB97264F0FA}"/>
            </a:ext>
          </a:extLst>
        </xdr:cNvPr>
        <xdr:cNvGrpSpPr/>
      </xdr:nvGrpSpPr>
      <xdr:grpSpPr>
        <a:xfrm>
          <a:off x="186938" y="21202650"/>
          <a:ext cx="7167343" cy="0"/>
          <a:chOff x="151378" y="19415758"/>
          <a:chExt cx="7319743" cy="3373940"/>
        </a:xfrm>
      </xdr:grpSpPr>
      <xdr:grpSp>
        <xdr:nvGrpSpPr>
          <xdr:cNvPr id="13" name="Группа 12">
            <a:extLst>
              <a:ext uri="{FF2B5EF4-FFF2-40B4-BE49-F238E27FC236}">
                <a16:creationId xmlns:a16="http://schemas.microsoft.com/office/drawing/2014/main" id="{0B24A030-B329-392B-29EE-ABD1890928BB}"/>
              </a:ext>
            </a:extLst>
          </xdr:cNvPr>
          <xdr:cNvGrpSpPr/>
        </xdr:nvGrpSpPr>
        <xdr:grpSpPr>
          <a:xfrm>
            <a:off x="151378" y="19415758"/>
            <a:ext cx="7319743" cy="3373940"/>
            <a:chOff x="178593" y="13389428"/>
            <a:chExt cx="6135121" cy="2880000"/>
          </a:xfrm>
          <a:effectLst/>
        </xdr:grpSpPr>
        <xdr:sp macro="" textlink="">
          <xdr:nvSpPr>
            <xdr:cNvPr id="39" name="Прямоугольник 38">
              <a:extLst>
                <a:ext uri="{FF2B5EF4-FFF2-40B4-BE49-F238E27FC236}">
                  <a16:creationId xmlns:a16="http://schemas.microsoft.com/office/drawing/2014/main" id="{80AF576F-0436-4AF9-6991-05D79347BE82}"/>
                </a:ext>
              </a:extLst>
            </xdr:cNvPr>
            <xdr:cNvSpPr/>
          </xdr:nvSpPr>
          <xdr:spPr>
            <a:xfrm>
              <a:off x="178593" y="13389428"/>
              <a:ext cx="6135121" cy="2880000"/>
            </a:xfrm>
            <a:prstGeom prst="rect">
              <a:avLst/>
            </a:prstGeom>
            <a:ln>
              <a:solidFill>
                <a:schemeClr val="bg1">
                  <a:lumMod val="75000"/>
                </a:scheme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3"/>
            </a:lnRef>
            <a:fillRef idx="1">
              <a:schemeClr val="lt1"/>
            </a:fillRef>
            <a:effectRef idx="0">
              <a:schemeClr val="accent3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ru-RU" sz="1600" u="sng" baseline="0"/>
            </a:p>
            <a:p>
              <a:pPr algn="l"/>
              <a:endParaRPr lang="ru-RU" sz="1600" u="sng" baseline="0"/>
            </a:p>
            <a:p>
              <a:pPr algn="r"/>
              <a:endParaRPr lang="ru-RU" sz="1600" u="sng" baseline="0"/>
            </a:p>
            <a:p>
              <a:pPr algn="l"/>
              <a:endParaRPr lang="ru-RU" sz="1600" u="sng" baseline="0"/>
            </a:p>
            <a:p>
              <a:pPr algn="l"/>
              <a:endParaRPr lang="ru-RU" sz="1600" u="sng" baseline="0"/>
            </a:p>
          </xdr:txBody>
        </xdr:sp>
        <xdr:pic>
          <xdr:nvPicPr>
            <xdr:cNvPr id="40" name="Рисунок 39">
              <a:extLst>
                <a:ext uri="{FF2B5EF4-FFF2-40B4-BE49-F238E27FC236}">
                  <a16:creationId xmlns:a16="http://schemas.microsoft.com/office/drawing/2014/main" id="{AF260E2C-4BFA-6C76-9BE3-020004FDAB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192191" y="13781317"/>
              <a:ext cx="3445214" cy="2156242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</xdr:pic>
      </xdr:grpSp>
      <xdr:sp macro="" textlink="">
        <xdr:nvSpPr>
          <xdr:cNvPr id="14" name="Прямоугольник 13">
            <a:extLst>
              <a:ext uri="{FF2B5EF4-FFF2-40B4-BE49-F238E27FC236}">
                <a16:creationId xmlns:a16="http://schemas.microsoft.com/office/drawing/2014/main" id="{7F05A7B8-6209-1445-4DE8-F41B86716CC8}"/>
              </a:ext>
            </a:extLst>
          </xdr:cNvPr>
          <xdr:cNvSpPr/>
        </xdr:nvSpPr>
        <xdr:spPr>
          <a:xfrm>
            <a:off x="3167628" y="19558452"/>
            <a:ext cx="4278085" cy="410936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СОЯ</a:t>
            </a:r>
          </a:p>
        </xdr:txBody>
      </xdr:sp>
      <xdr:grpSp>
        <xdr:nvGrpSpPr>
          <xdr:cNvPr id="17" name="Группа 16">
            <a:extLst>
              <a:ext uri="{FF2B5EF4-FFF2-40B4-BE49-F238E27FC236}">
                <a16:creationId xmlns:a16="http://schemas.microsoft.com/office/drawing/2014/main" id="{579BDD1F-AB8D-51D8-D835-5E8F74C25E30}"/>
              </a:ext>
            </a:extLst>
          </xdr:cNvPr>
          <xdr:cNvGrpSpPr/>
        </xdr:nvGrpSpPr>
        <xdr:grpSpPr>
          <a:xfrm>
            <a:off x="3808980" y="20107273"/>
            <a:ext cx="3578711" cy="2585357"/>
            <a:chOff x="3824741" y="1863083"/>
            <a:chExt cx="3513799" cy="2585357"/>
          </a:xfrm>
        </xdr:grpSpPr>
        <xdr:sp macro="" textlink="Соя!C23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63A89E1C-C0AE-3D47-1A68-531B12F592EA}"/>
                </a:ext>
              </a:extLst>
            </xdr:cNvPr>
            <xdr:cNvSpPr/>
          </xdr:nvSpPr>
          <xdr:spPr>
            <a:xfrm>
              <a:off x="5577341" y="22440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75D69C76-13AB-4132-B437-DA306E2C5BE3}" type="TxLink">
                <a:rPr lang="en-US" sz="2000" b="0" i="0" u="none" strike="noStrike">
                  <a:solidFill>
                    <a:srgbClr val="000000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pPr algn="r"/>
                <a:t>335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20" name="Группа 19">
              <a:extLst>
                <a:ext uri="{FF2B5EF4-FFF2-40B4-BE49-F238E27FC236}">
                  <a16:creationId xmlns:a16="http://schemas.microsoft.com/office/drawing/2014/main" id="{31AF3749-A9F4-EE89-475F-9A6EBC8D946B}"/>
                </a:ext>
              </a:extLst>
            </xdr:cNvPr>
            <xdr:cNvGrpSpPr/>
          </xdr:nvGrpSpPr>
          <xdr:grpSpPr>
            <a:xfrm>
              <a:off x="3824741" y="1863083"/>
              <a:ext cx="3513799" cy="2585357"/>
              <a:chOff x="3824741" y="1824983"/>
              <a:chExt cx="3513799" cy="2585357"/>
            </a:xfrm>
          </xdr:grpSpPr>
          <xdr:sp macro="" textlink="">
            <xdr:nvSpPr>
              <xdr:cNvPr id="22" name="Прямоугольник 21">
                <a:extLst>
                  <a:ext uri="{FF2B5EF4-FFF2-40B4-BE49-F238E27FC236}">
                    <a16:creationId xmlns:a16="http://schemas.microsoft.com/office/drawing/2014/main" id="{1CCADA45-F80C-39C4-F508-44CE6D6AB6B8}"/>
                  </a:ext>
                </a:extLst>
              </xdr:cNvPr>
              <xdr:cNvSpPr/>
            </xdr:nvSpPr>
            <xdr:spPr>
              <a:xfrm>
                <a:off x="3867150" y="1841500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26" name="Прямоугольник 25">
                <a:extLst>
                  <a:ext uri="{FF2B5EF4-FFF2-40B4-BE49-F238E27FC236}">
                    <a16:creationId xmlns:a16="http://schemas.microsoft.com/office/drawing/2014/main" id="{0761AA71-9726-3C26-A641-D3B6AC2EA9C4}"/>
                  </a:ext>
                </a:extLst>
              </xdr:cNvPr>
              <xdr:cNvSpPr/>
            </xdr:nvSpPr>
            <xdr:spPr>
              <a:xfrm>
                <a:off x="3850141" y="2218683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Факт:</a:t>
                </a:r>
              </a:p>
            </xdr:txBody>
          </xdr:sp>
          <xdr:sp macro="" textlink="Соя!C20">
            <xdr:nvSpPr>
              <xdr:cNvPr id="27" name="Прямоугольник 26">
                <a:extLst>
                  <a:ext uri="{FF2B5EF4-FFF2-40B4-BE49-F238E27FC236}">
                    <a16:creationId xmlns:a16="http://schemas.microsoft.com/office/drawing/2014/main" id="{544EB185-CEDF-4255-CE1B-52DF2AE4737D}"/>
                  </a:ext>
                </a:extLst>
              </xdr:cNvPr>
              <xdr:cNvSpPr/>
            </xdr:nvSpPr>
            <xdr:spPr>
              <a:xfrm>
                <a:off x="5588000" y="18249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9AE9D511-0002-4969-A294-1CEAC86D57CD}" type="TxLink">
                  <a:rPr lang="en-US" sz="2000" b="0" i="0" u="none" strike="noStrike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r"/>
                  <a:t>1 929 т</a:t>
                </a:fld>
                <a:endParaRPr lang="ru-RU" sz="2000" b="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Соя!C26">
            <xdr:nvSpPr>
              <xdr:cNvPr id="28" name="Прямоугольник 27">
                <a:extLst>
                  <a:ext uri="{FF2B5EF4-FFF2-40B4-BE49-F238E27FC236}">
                    <a16:creationId xmlns:a16="http://schemas.microsoft.com/office/drawing/2014/main" id="{F9E8BDE0-E7CF-3BC6-3CF1-E915D2AD252D}"/>
                  </a:ext>
                </a:extLst>
              </xdr:cNvPr>
              <xdr:cNvSpPr/>
            </xdr:nvSpPr>
            <xdr:spPr>
              <a:xfrm>
                <a:off x="6007100" y="2616200"/>
                <a:ext cx="1168400" cy="495300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2EC55E50-7050-4569-8FAF-6FEC272DFCE0}" type="TxLink">
                  <a:rPr lang="en-US" sz="2000" b="1" i="0" u="none" strike="noStrike">
                    <a:solidFill>
                      <a:srgbClr val="C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r"/>
                  <a:t>17,4%</a:t>
                </a:fld>
                <a:endParaRPr lang="ru-RU" sz="2000" b="1">
                  <a:solidFill>
                    <a:srgbClr val="C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31" name="Прямоугольник 30">
                <a:extLst>
                  <a:ext uri="{FF2B5EF4-FFF2-40B4-BE49-F238E27FC236}">
                    <a16:creationId xmlns:a16="http://schemas.microsoft.com/office/drawing/2014/main" id="{526E54A8-BCA5-3EB6-91B8-57730CA2DEB9}"/>
                  </a:ext>
                </a:extLst>
              </xdr:cNvPr>
              <xdr:cNvSpPr/>
            </xdr:nvSpPr>
            <xdr:spPr>
              <a:xfrm>
                <a:off x="3850140" y="2637783"/>
                <a:ext cx="16870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Выполнение:</a:t>
                </a:r>
              </a:p>
            </xdr:txBody>
          </xdr:sp>
          <xdr:sp macro="" textlink="">
            <xdr:nvSpPr>
              <xdr:cNvPr id="32" name="Прямоугольник 31">
                <a:extLst>
                  <a:ext uri="{FF2B5EF4-FFF2-40B4-BE49-F238E27FC236}">
                    <a16:creationId xmlns:a16="http://schemas.microsoft.com/office/drawing/2014/main" id="{065E0A5B-5AB6-D924-E396-1392C128A818}"/>
                  </a:ext>
                </a:extLst>
              </xdr:cNvPr>
              <xdr:cNvSpPr/>
            </xdr:nvSpPr>
            <xdr:spPr>
              <a:xfrm>
                <a:off x="3850141" y="3514083"/>
                <a:ext cx="18775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Начало</a:t>
                </a:r>
                <a:r>
                  <a:rPr lang="ru-RU" sz="1800" baseline="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уборки:</a:t>
                </a:r>
                <a:endPara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34" name="Прямоугольник 33">
                <a:extLst>
                  <a:ext uri="{FF2B5EF4-FFF2-40B4-BE49-F238E27FC236}">
                    <a16:creationId xmlns:a16="http://schemas.microsoft.com/office/drawing/2014/main" id="{C631E9CA-0892-89D0-42BA-47D88189F663}"/>
                  </a:ext>
                </a:extLst>
              </xdr:cNvPr>
              <xdr:cNvSpPr/>
            </xdr:nvSpPr>
            <xdr:spPr>
              <a:xfrm>
                <a:off x="3824741" y="3945883"/>
                <a:ext cx="22966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Окончание уборки:</a:t>
                </a:r>
              </a:p>
            </xdr:txBody>
          </xdr:sp>
          <xdr:cxnSp macro="">
            <xdr:nvCxnSpPr>
              <xdr:cNvPr id="35" name="Прямая соединительная линия 34">
                <a:extLst>
                  <a:ext uri="{FF2B5EF4-FFF2-40B4-BE49-F238E27FC236}">
                    <a16:creationId xmlns:a16="http://schemas.microsoft.com/office/drawing/2014/main" id="{0E7E29D9-6B12-3842-2CDC-AFD30C296294}"/>
                  </a:ext>
                </a:extLst>
              </xdr:cNvPr>
              <xdr:cNvCxnSpPr/>
            </xdr:nvCxnSpPr>
            <xdr:spPr>
              <a:xfrm>
                <a:off x="5410200" y="3289300"/>
                <a:ext cx="1800000" cy="0"/>
              </a:xfrm>
              <a:prstGeom prst="line">
                <a:avLst/>
              </a:prstGeom>
            </xdr:spPr>
            <xdr:style>
              <a:lnRef idx="2">
                <a:schemeClr val="accent3"/>
              </a:lnRef>
              <a:fillRef idx="0">
                <a:schemeClr val="accent3"/>
              </a:fillRef>
              <a:effectRef idx="1">
                <a:schemeClr val="accent3"/>
              </a:effectRef>
              <a:fontRef idx="minor">
                <a:schemeClr val="tx1"/>
              </a:fontRef>
            </xdr:style>
          </xdr:cxnSp>
          <xdr:sp macro="" textlink="Соя!K6">
            <xdr:nvSpPr>
              <xdr:cNvPr id="37" name="Прямоугольник 36">
                <a:extLst>
                  <a:ext uri="{FF2B5EF4-FFF2-40B4-BE49-F238E27FC236}">
                    <a16:creationId xmlns:a16="http://schemas.microsoft.com/office/drawing/2014/main" id="{6B1CF03E-D6A9-7268-CFF9-DB51735BC262}"/>
                  </a:ext>
                </a:extLst>
              </xdr:cNvPr>
              <xdr:cNvSpPr/>
            </xdr:nvSpPr>
            <xdr:spPr>
              <a:xfrm>
                <a:off x="6032708" y="3511540"/>
                <a:ext cx="13058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A52173E0-34EE-459E-868D-C236C8B88FF4}" type="TxLink">
                  <a:rPr lang="en-US" sz="16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15.08.2024</a:t>
                </a:fld>
                <a:endParaRPr lang="en-US" sz="16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Соя!G7">
            <xdr:nvSpPr>
              <xdr:cNvPr id="38" name="Прямоугольник 37">
                <a:extLst>
                  <a:ext uri="{FF2B5EF4-FFF2-40B4-BE49-F238E27FC236}">
                    <a16:creationId xmlns:a16="http://schemas.microsoft.com/office/drawing/2014/main" id="{F3F005DF-C1A5-301F-0145-E7DF0E183846}"/>
                  </a:ext>
                </a:extLst>
              </xdr:cNvPr>
              <xdr:cNvSpPr/>
            </xdr:nvSpPr>
            <xdr:spPr>
              <a:xfrm>
                <a:off x="6045409" y="3920483"/>
                <a:ext cx="12804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B7EF3C22-39FD-4A26-AA7C-8BB24F8B6DBC}" type="TxLink">
                  <a:rPr lang="en-US" sz="1600" b="0" i="0" u="none" strike="noStrike">
                    <a:solidFill>
                      <a:srgbClr val="9966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r"/>
                  <a:t>29.09.2024</a:t>
                </a:fld>
                <a:endParaRPr lang="en-US" sz="16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</xdr:grpSp>
    <xdr:clientData/>
  </xdr:twoCellAnchor>
  <xdr:twoCellAnchor>
    <xdr:from>
      <xdr:col>13</xdr:col>
      <xdr:colOff>40820</xdr:colOff>
      <xdr:row>128</xdr:row>
      <xdr:rowOff>148045</xdr:rowOff>
    </xdr:from>
    <xdr:to>
      <xdr:col>38</xdr:col>
      <xdr:colOff>499836</xdr:colOff>
      <xdr:row>149</xdr:row>
      <xdr:rowOff>129359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D50BE00C-6463-4ACD-A24E-01C49EED2D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38100</xdr:colOff>
      <xdr:row>132</xdr:row>
      <xdr:rowOff>79373</xdr:rowOff>
    </xdr:from>
    <xdr:to>
      <xdr:col>11</xdr:col>
      <xdr:colOff>590100</xdr:colOff>
      <xdr:row>132</xdr:row>
      <xdr:rowOff>79373</xdr:rowOff>
    </xdr:to>
    <xdr:cxnSp macro="">
      <xdr:nvCxnSpPr>
        <xdr:cNvPr id="43" name="Прямая соединительная линия 42">
          <a:extLst>
            <a:ext uri="{FF2B5EF4-FFF2-40B4-BE49-F238E27FC236}">
              <a16:creationId xmlns:a16="http://schemas.microsoft.com/office/drawing/2014/main" id="{4EDBC7E3-6085-481E-8BE5-1C7097EBB43F}"/>
            </a:ext>
          </a:extLst>
        </xdr:cNvPr>
        <xdr:cNvCxnSpPr/>
      </xdr:nvCxnSpPr>
      <xdr:spPr>
        <a:xfrm>
          <a:off x="3810000" y="6423023"/>
          <a:ext cx="369525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529838</xdr:colOff>
      <xdr:row>28</xdr:row>
      <xdr:rowOff>158112</xdr:rowOff>
    </xdr:from>
    <xdr:to>
      <xdr:col>6</xdr:col>
      <xdr:colOff>97823</xdr:colOff>
      <xdr:row>41</xdr:row>
      <xdr:rowOff>133350</xdr:rowOff>
    </xdr:to>
    <xdr:pic>
      <xdr:nvPicPr>
        <xdr:cNvPr id="44" name="Рисунок 43">
          <a:extLst>
            <a:ext uri="{FF2B5EF4-FFF2-40B4-BE49-F238E27FC236}">
              <a16:creationId xmlns:a16="http://schemas.microsoft.com/office/drawing/2014/main" id="{19ED9EC5-8D2B-CCCC-2689-4CBCF65A85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29838" y="6311262"/>
          <a:ext cx="3345600" cy="2451738"/>
        </a:xfrm>
        <a:prstGeom prst="rect">
          <a:avLst/>
        </a:prstGeom>
      </xdr:spPr>
    </xdr:pic>
    <xdr:clientData/>
  </xdr:twoCellAnchor>
  <xdr:twoCellAnchor>
    <xdr:from>
      <xdr:col>13</xdr:col>
      <xdr:colOff>27214</xdr:colOff>
      <xdr:row>77</xdr:row>
      <xdr:rowOff>70758</xdr:rowOff>
    </xdr:from>
    <xdr:to>
      <xdr:col>38</xdr:col>
      <xdr:colOff>540657</xdr:colOff>
      <xdr:row>98</xdr:row>
      <xdr:rowOff>166915</xdr:rowOff>
    </xdr:to>
    <xdr:graphicFrame macro="">
      <xdr:nvGraphicFramePr>
        <xdr:cNvPr id="45" name="Диаграмма 44">
          <a:extLst>
            <a:ext uri="{FF2B5EF4-FFF2-40B4-BE49-F238E27FC236}">
              <a16:creationId xmlns:a16="http://schemas.microsoft.com/office/drawing/2014/main" id="{DD708908-8653-4F5C-98A2-414D8B00C6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oneCellAnchor>
    <xdr:from>
      <xdr:col>14</xdr:col>
      <xdr:colOff>285749</xdr:colOff>
      <xdr:row>96</xdr:row>
      <xdr:rowOff>59531</xdr:rowOff>
    </xdr:from>
    <xdr:ext cx="184731" cy="264560"/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BA0B68FB-061C-4C3C-9087-FA0AB1A33D18}"/>
            </a:ext>
          </a:extLst>
        </xdr:cNvPr>
        <xdr:cNvSpPr txBox="1"/>
      </xdr:nvSpPr>
      <xdr:spPr>
        <a:xfrm>
          <a:off x="9179559" y="14676596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ru-RU" sz="1100"/>
        </a:p>
      </xdr:txBody>
    </xdr:sp>
    <xdr:clientData/>
  </xdr:oneCellAnchor>
  <xdr:twoCellAnchor>
    <xdr:from>
      <xdr:col>0</xdr:col>
      <xdr:colOff>303777</xdr:colOff>
      <xdr:row>77</xdr:row>
      <xdr:rowOff>117702</xdr:rowOff>
    </xdr:from>
    <xdr:to>
      <xdr:col>12</xdr:col>
      <xdr:colOff>155920</xdr:colOff>
      <xdr:row>96</xdr:row>
      <xdr:rowOff>110902</xdr:rowOff>
    </xdr:to>
    <xdr:grpSp>
      <xdr:nvGrpSpPr>
        <xdr:cNvPr id="48" name="Группа 47">
          <a:extLst>
            <a:ext uri="{FF2B5EF4-FFF2-40B4-BE49-F238E27FC236}">
              <a16:creationId xmlns:a16="http://schemas.microsoft.com/office/drawing/2014/main" id="{85534714-B83A-4A06-B6EA-A962EF3589F0}"/>
            </a:ext>
          </a:extLst>
        </xdr:cNvPr>
        <xdr:cNvGrpSpPr/>
      </xdr:nvGrpSpPr>
      <xdr:grpSpPr>
        <a:xfrm>
          <a:off x="303777" y="16230600"/>
          <a:ext cx="7167343" cy="0"/>
          <a:chOff x="646677" y="10150702"/>
          <a:chExt cx="7319743" cy="3371400"/>
        </a:xfrm>
      </xdr:grpSpPr>
      <xdr:grpSp>
        <xdr:nvGrpSpPr>
          <xdr:cNvPr id="49" name="Группа 48">
            <a:extLst>
              <a:ext uri="{FF2B5EF4-FFF2-40B4-BE49-F238E27FC236}">
                <a16:creationId xmlns:a16="http://schemas.microsoft.com/office/drawing/2014/main" id="{D592108B-6942-0030-18C9-05B3CF12948A}"/>
              </a:ext>
            </a:extLst>
          </xdr:cNvPr>
          <xdr:cNvGrpSpPr/>
        </xdr:nvGrpSpPr>
        <xdr:grpSpPr>
          <a:xfrm>
            <a:off x="646677" y="10150702"/>
            <a:ext cx="7319743" cy="3371400"/>
            <a:chOff x="176777" y="10493602"/>
            <a:chExt cx="7319743" cy="3371400"/>
          </a:xfrm>
        </xdr:grpSpPr>
        <xdr:sp macro="" textlink="">
          <xdr:nvSpPr>
            <xdr:cNvPr id="87" name="Прямоугольник 86">
              <a:extLst>
                <a:ext uri="{FF2B5EF4-FFF2-40B4-BE49-F238E27FC236}">
                  <a16:creationId xmlns:a16="http://schemas.microsoft.com/office/drawing/2014/main" id="{BD708B29-1E5D-F5CB-6F9E-A1FBF16CCD17}"/>
                </a:ext>
              </a:extLst>
            </xdr:cNvPr>
            <xdr:cNvSpPr/>
          </xdr:nvSpPr>
          <xdr:spPr>
            <a:xfrm>
              <a:off x="176777" y="10493602"/>
              <a:ext cx="7319743" cy="3371400"/>
            </a:xfrm>
            <a:prstGeom prst="rect">
              <a:avLst/>
            </a:prstGeom>
            <a:ln>
              <a:solidFill>
                <a:schemeClr val="bg1">
                  <a:lumMod val="75000"/>
                </a:scheme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3"/>
            </a:lnRef>
            <a:fillRef idx="1">
              <a:schemeClr val="lt1"/>
            </a:fillRef>
            <a:effectRef idx="0">
              <a:schemeClr val="accent3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r"/>
              <a:endParaRPr lang="ru-RU" sz="1600" u="sng"/>
            </a:p>
          </xdr:txBody>
        </xdr:sp>
        <xdr:cxnSp macro="">
          <xdr:nvCxnSpPr>
            <xdr:cNvPr id="53" name="Прямая соединительная линия 52">
              <a:extLst>
                <a:ext uri="{FF2B5EF4-FFF2-40B4-BE49-F238E27FC236}">
                  <a16:creationId xmlns:a16="http://schemas.microsoft.com/office/drawing/2014/main" id="{45A3F347-7A15-0F77-B470-E862CAC94C01}"/>
                </a:ext>
              </a:extLst>
            </xdr:cNvPr>
            <xdr:cNvCxnSpPr/>
          </xdr:nvCxnSpPr>
          <xdr:spPr>
            <a:xfrm>
              <a:off x="3759200" y="11217502"/>
              <a:ext cx="3663500" cy="0"/>
            </a:xfrm>
            <a:prstGeom prst="line">
              <a:avLst/>
            </a:prstGeom>
          </xdr:spPr>
          <xdr:style>
            <a:lnRef idx="1">
              <a:schemeClr val="accent3"/>
            </a:lnRef>
            <a:fillRef idx="0">
              <a:schemeClr val="accent3"/>
            </a:fillRef>
            <a:effectRef idx="0">
              <a:schemeClr val="accent3"/>
            </a:effectRef>
            <a:fontRef idx="minor">
              <a:schemeClr val="tx1"/>
            </a:fontRef>
          </xdr:style>
        </xdr:cxnSp>
        <xdr:grpSp>
          <xdr:nvGrpSpPr>
            <xdr:cNvPr id="56" name="Группа 55">
              <a:extLst>
                <a:ext uri="{FF2B5EF4-FFF2-40B4-BE49-F238E27FC236}">
                  <a16:creationId xmlns:a16="http://schemas.microsoft.com/office/drawing/2014/main" id="{DCE05951-1AA7-CB9F-D7EC-68700372DFA3}"/>
                </a:ext>
              </a:extLst>
            </xdr:cNvPr>
            <xdr:cNvGrpSpPr/>
          </xdr:nvGrpSpPr>
          <xdr:grpSpPr>
            <a:xfrm>
              <a:off x="3961377" y="11242902"/>
              <a:ext cx="3487956" cy="2585357"/>
              <a:chOff x="3824741" y="1863083"/>
              <a:chExt cx="3424691" cy="2585357"/>
            </a:xfrm>
          </xdr:grpSpPr>
          <xdr:sp macro="" textlink="'Подсолнечник кондитерский'!C21">
            <xdr:nvSpPr>
              <xdr:cNvPr id="57" name="Прямоугольник 56">
                <a:extLst>
                  <a:ext uri="{FF2B5EF4-FFF2-40B4-BE49-F238E27FC236}">
                    <a16:creationId xmlns:a16="http://schemas.microsoft.com/office/drawing/2014/main" id="{20B7A0A2-AB9F-3ADE-A9CE-5C24E71CC8C2}"/>
                  </a:ext>
                </a:extLst>
              </xdr:cNvPr>
              <xdr:cNvSpPr/>
            </xdr:nvSpPr>
            <xdr:spPr>
              <a:xfrm>
                <a:off x="5577341" y="22440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A33C99E-D298-43BE-BE31-DFFDB10D113D}" type="TxLink">
                  <a:rPr lang="en-US" sz="2000" b="1" i="0" u="none" strike="noStrike">
                    <a:solidFill>
                      <a:srgbClr val="000000"/>
                    </a:solidFill>
                    <a:latin typeface="Arial"/>
                    <a:cs typeface="Arial"/>
                  </a:rPr>
                  <a:pPr algn="r"/>
                  <a:t> т</a:t>
                </a:fld>
                <a:endParaRPr lang="ru-RU" sz="2000" b="0">
                  <a:solidFill>
                    <a:sysClr val="windowText" lastClr="0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grpSp>
            <xdr:nvGrpSpPr>
              <xdr:cNvPr id="58" name="Группа 57">
                <a:extLst>
                  <a:ext uri="{FF2B5EF4-FFF2-40B4-BE49-F238E27FC236}">
                    <a16:creationId xmlns:a16="http://schemas.microsoft.com/office/drawing/2014/main" id="{68D970B4-3AAE-0898-84A5-AD21F100B831}"/>
                  </a:ext>
                </a:extLst>
              </xdr:cNvPr>
              <xdr:cNvGrpSpPr/>
            </xdr:nvGrpSpPr>
            <xdr:grpSpPr>
              <a:xfrm>
                <a:off x="3824741" y="1863083"/>
                <a:ext cx="3424691" cy="2585357"/>
                <a:chOff x="3824741" y="1824983"/>
                <a:chExt cx="3424691" cy="2585357"/>
              </a:xfrm>
            </xdr:grpSpPr>
            <xdr:sp macro="" textlink="">
              <xdr:nvSpPr>
                <xdr:cNvPr id="63" name="Прямоугольник 62">
                  <a:extLst>
                    <a:ext uri="{FF2B5EF4-FFF2-40B4-BE49-F238E27FC236}">
                      <a16:creationId xmlns:a16="http://schemas.microsoft.com/office/drawing/2014/main" id="{8581F8D0-5136-8902-FBB9-B31E7FC1DC35}"/>
                    </a:ext>
                  </a:extLst>
                </xdr:cNvPr>
                <xdr:cNvSpPr/>
              </xdr:nvSpPr>
              <xdr:spPr>
                <a:xfrm>
                  <a:off x="3867150" y="1841500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План:</a:t>
                  </a:r>
                </a:p>
              </xdr:txBody>
            </xdr:sp>
            <xdr:sp macro="" textlink="">
              <xdr:nvSpPr>
                <xdr:cNvPr id="70" name="Прямоугольник 69">
                  <a:extLst>
                    <a:ext uri="{FF2B5EF4-FFF2-40B4-BE49-F238E27FC236}">
                      <a16:creationId xmlns:a16="http://schemas.microsoft.com/office/drawing/2014/main" id="{25BA12CE-0801-EEE9-CA6D-1B7016FA5405}"/>
                    </a:ext>
                  </a:extLst>
                </xdr:cNvPr>
                <xdr:cNvSpPr/>
              </xdr:nvSpPr>
              <xdr:spPr>
                <a:xfrm>
                  <a:off x="3850141" y="2218683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Факт:</a:t>
                  </a:r>
                </a:p>
              </xdr:txBody>
            </xdr:sp>
            <xdr:sp macro="" textlink="'Подсолнечник кондитерский'!C20">
              <xdr:nvSpPr>
                <xdr:cNvPr id="73" name="Прямоугольник 72">
                  <a:extLst>
                    <a:ext uri="{FF2B5EF4-FFF2-40B4-BE49-F238E27FC236}">
                      <a16:creationId xmlns:a16="http://schemas.microsoft.com/office/drawing/2014/main" id="{4B4B8CFB-29A4-81C1-0E2C-CC3D09761F64}"/>
                    </a:ext>
                  </a:extLst>
                </xdr:cNvPr>
                <xdr:cNvSpPr/>
              </xdr:nvSpPr>
              <xdr:spPr>
                <a:xfrm>
                  <a:off x="5588000" y="1824983"/>
                  <a:ext cx="1633991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B4E1ABEB-E9C1-4C89-AF63-F2E479A3B71F}" type="TxLink">
                    <a:rPr lang="en-US" sz="2000" b="0" i="0" u="none" strike="noStrike">
                      <a:solidFill>
                        <a:srgbClr val="757171"/>
                      </a:solidFill>
                      <a:latin typeface="Arial"/>
                      <a:cs typeface="Arial"/>
                    </a:rPr>
                    <a:pPr algn="r"/>
                    <a:t> т</a:t>
                  </a:fld>
                  <a:endParaRPr lang="ru-RU" sz="2000" b="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'Подсолнечник кондитерский'!C24">
              <xdr:nvSpPr>
                <xdr:cNvPr id="77" name="Прямоугольник 76">
                  <a:extLst>
                    <a:ext uri="{FF2B5EF4-FFF2-40B4-BE49-F238E27FC236}">
                      <a16:creationId xmlns:a16="http://schemas.microsoft.com/office/drawing/2014/main" id="{81183266-48BE-D039-D36A-ACA98F74DAED}"/>
                    </a:ext>
                  </a:extLst>
                </xdr:cNvPr>
                <xdr:cNvSpPr/>
              </xdr:nvSpPr>
              <xdr:spPr>
                <a:xfrm>
                  <a:off x="6007100" y="2616200"/>
                  <a:ext cx="1168400" cy="495300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7BEC27BB-B10E-446F-A5A1-E66ECD7EA163}" type="TxLink">
                    <a:rPr lang="en-US" sz="2000" b="1" i="0" u="none" strike="noStrike">
                      <a:solidFill>
                        <a:srgbClr val="EE0000"/>
                      </a:solidFill>
                      <a:latin typeface="Arial"/>
                      <a:cs typeface="Arial"/>
                    </a:rPr>
                    <a:pPr algn="r"/>
                    <a:t>0,0%</a:t>
                  </a:fld>
                  <a:endParaRPr lang="ru-RU" sz="2000" b="1">
                    <a:solidFill>
                      <a:srgbClr val="EE0000"/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79" name="Прямоугольник 78">
                  <a:extLst>
                    <a:ext uri="{FF2B5EF4-FFF2-40B4-BE49-F238E27FC236}">
                      <a16:creationId xmlns:a16="http://schemas.microsoft.com/office/drawing/2014/main" id="{B78A59DE-E21F-095A-8B3B-0D187BC56D69}"/>
                    </a:ext>
                  </a:extLst>
                </xdr:cNvPr>
                <xdr:cNvSpPr/>
              </xdr:nvSpPr>
              <xdr:spPr>
                <a:xfrm>
                  <a:off x="3850140" y="2637783"/>
                  <a:ext cx="16870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Выполнение:</a:t>
                  </a:r>
                </a:p>
              </xdr:txBody>
            </xdr:sp>
            <xdr:sp macro="" textlink="">
              <xdr:nvSpPr>
                <xdr:cNvPr id="83" name="Прямоугольник 82">
                  <a:extLst>
                    <a:ext uri="{FF2B5EF4-FFF2-40B4-BE49-F238E27FC236}">
                      <a16:creationId xmlns:a16="http://schemas.microsoft.com/office/drawing/2014/main" id="{BE464997-585A-68D9-7D42-370EB7ECC65B}"/>
                    </a:ext>
                  </a:extLst>
                </xdr:cNvPr>
                <xdr:cNvSpPr/>
              </xdr:nvSpPr>
              <xdr:spPr>
                <a:xfrm>
                  <a:off x="3850141" y="3514083"/>
                  <a:ext cx="18775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Начало</a:t>
                  </a:r>
                  <a:r>
                    <a:rPr lang="ru-RU" sz="1800" baseline="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 уборки:</a:t>
                  </a:r>
                  <a:endPara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84" name="Прямоугольник 83">
                  <a:extLst>
                    <a:ext uri="{FF2B5EF4-FFF2-40B4-BE49-F238E27FC236}">
                      <a16:creationId xmlns:a16="http://schemas.microsoft.com/office/drawing/2014/main" id="{7CC6A129-1D59-58C3-E5E5-A38AA8282884}"/>
                    </a:ext>
                  </a:extLst>
                </xdr:cNvPr>
                <xdr:cNvSpPr/>
              </xdr:nvSpPr>
              <xdr:spPr>
                <a:xfrm>
                  <a:off x="3824741" y="3945883"/>
                  <a:ext cx="22966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Окончание уборки:</a:t>
                  </a:r>
                </a:p>
              </xdr:txBody>
            </xdr:sp>
            <xdr:cxnSp macro="">
              <xdr:nvCxnSpPr>
                <xdr:cNvPr id="85" name="Прямая соединительная линия 84">
                  <a:extLst>
                    <a:ext uri="{FF2B5EF4-FFF2-40B4-BE49-F238E27FC236}">
                      <a16:creationId xmlns:a16="http://schemas.microsoft.com/office/drawing/2014/main" id="{92617F44-274F-45C0-8596-DBB77A7D607B}"/>
                    </a:ext>
                  </a:extLst>
                </xdr:cNvPr>
                <xdr:cNvCxnSpPr/>
              </xdr:nvCxnSpPr>
              <xdr:spPr>
                <a:xfrm>
                  <a:off x="5410200" y="3289300"/>
                  <a:ext cx="1800000" cy="0"/>
                </a:xfrm>
                <a:prstGeom prst="line">
                  <a:avLst/>
                </a:prstGeom>
              </xdr:spPr>
              <xdr:style>
                <a:lnRef idx="2">
                  <a:schemeClr val="accent3"/>
                </a:lnRef>
                <a:fillRef idx="0">
                  <a:schemeClr val="accent3"/>
                </a:fillRef>
                <a:effectRef idx="1">
                  <a:schemeClr val="accent3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86" name="Прямоугольник 85">
                  <a:extLst>
                    <a:ext uri="{FF2B5EF4-FFF2-40B4-BE49-F238E27FC236}">
                      <a16:creationId xmlns:a16="http://schemas.microsoft.com/office/drawing/2014/main" id="{965020DE-1908-66C8-0F3D-A5F3906041A7}"/>
                    </a:ext>
                  </a:extLst>
                </xdr:cNvPr>
                <xdr:cNvSpPr/>
              </xdr:nvSpPr>
              <xdr:spPr>
                <a:xfrm>
                  <a:off x="5969000" y="3920483"/>
                  <a:ext cx="1280432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endParaRPr lang="en-US" sz="2000" b="0" i="0" u="none" strike="noStrike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</xdr:grpSp>
        </xdr:grpSp>
      </xdr:grpSp>
      <xdr:sp macro="" textlink="">
        <xdr:nvSpPr>
          <xdr:cNvPr id="50" name="Прямоугольник 49">
            <a:extLst>
              <a:ext uri="{FF2B5EF4-FFF2-40B4-BE49-F238E27FC236}">
                <a16:creationId xmlns:a16="http://schemas.microsoft.com/office/drawing/2014/main" id="{74983EF2-4E44-E6ED-846F-EEBCF714E70C}"/>
              </a:ext>
            </a:extLst>
          </xdr:cNvPr>
          <xdr:cNvSpPr/>
        </xdr:nvSpPr>
        <xdr:spPr>
          <a:xfrm>
            <a:off x="2386305" y="10392003"/>
            <a:ext cx="5499373" cy="410029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ПОДСОЛНЕЧНИК КОНДИТЕРСКИЙ</a:t>
            </a:r>
          </a:p>
        </xdr:txBody>
      </xdr:sp>
    </xdr:grpSp>
    <xdr:clientData/>
  </xdr:twoCellAnchor>
  <xdr:twoCellAnchor>
    <xdr:from>
      <xdr:col>10</xdr:col>
      <xdr:colOff>37077</xdr:colOff>
      <xdr:row>91</xdr:row>
      <xdr:rowOff>76200</xdr:rowOff>
    </xdr:from>
    <xdr:to>
      <xdr:col>12</xdr:col>
      <xdr:colOff>123709</xdr:colOff>
      <xdr:row>94</xdr:row>
      <xdr:rowOff>1099</xdr:rowOff>
    </xdr:to>
    <xdr:sp macro="" textlink="'Подсолнечник кондитерский'!I6">
      <xdr:nvSpPr>
        <xdr:cNvPr id="89" name="Прямоугольник 88">
          <a:extLst>
            <a:ext uri="{FF2B5EF4-FFF2-40B4-BE49-F238E27FC236}">
              <a16:creationId xmlns:a16="http://schemas.microsoft.com/office/drawing/2014/main" id="{96BBA508-B3C4-4F4D-A1D0-6660DC7BFF55}"/>
            </a:ext>
          </a:extLst>
        </xdr:cNvPr>
        <xdr:cNvSpPr/>
      </xdr:nvSpPr>
      <xdr:spPr>
        <a:xfrm>
          <a:off x="6387077" y="13665200"/>
          <a:ext cx="1358537" cy="544024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33F0D99D-48D2-4E2E-A122-46226648F58B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37077</xdr:colOff>
      <xdr:row>93</xdr:row>
      <xdr:rowOff>136752</xdr:rowOff>
    </xdr:from>
    <xdr:to>
      <xdr:col>12</xdr:col>
      <xdr:colOff>123709</xdr:colOff>
      <xdr:row>96</xdr:row>
      <xdr:rowOff>61651</xdr:rowOff>
    </xdr:to>
    <xdr:sp macro="" textlink="'Подсолнечник кондитерский'!I7">
      <xdr:nvSpPr>
        <xdr:cNvPr id="90" name="Прямоугольник 89">
          <a:extLst>
            <a:ext uri="{FF2B5EF4-FFF2-40B4-BE49-F238E27FC236}">
              <a16:creationId xmlns:a16="http://schemas.microsoft.com/office/drawing/2014/main" id="{EC48CC2B-75E6-4EC2-AD26-F98ABDBDC09A}"/>
            </a:ext>
          </a:extLst>
        </xdr:cNvPr>
        <xdr:cNvSpPr/>
      </xdr:nvSpPr>
      <xdr:spPr>
        <a:xfrm>
          <a:off x="6387077" y="14134692"/>
          <a:ext cx="1358537" cy="544024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6B4974F2-021F-4E72-B57E-E9AEFB6102C5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32</xdr:col>
      <xdr:colOff>15240</xdr:colOff>
      <xdr:row>122</xdr:row>
      <xdr:rowOff>152400</xdr:rowOff>
    </xdr:from>
    <xdr:to>
      <xdr:col>34</xdr:col>
      <xdr:colOff>266700</xdr:colOff>
      <xdr:row>124</xdr:row>
      <xdr:rowOff>95250</xdr:rowOff>
    </xdr:to>
    <xdr:sp macro="" textlink="">
      <xdr:nvSpPr>
        <xdr:cNvPr id="33" name="Прямоугольник 32">
          <a:extLst>
            <a:ext uri="{FF2B5EF4-FFF2-40B4-BE49-F238E27FC236}">
              <a16:creationId xmlns:a16="http://schemas.microsoft.com/office/drawing/2014/main" id="{A1E6293A-3140-5104-16DD-E7C4BF7D9EF2}"/>
            </a:ext>
          </a:extLst>
        </xdr:cNvPr>
        <xdr:cNvSpPr/>
      </xdr:nvSpPr>
      <xdr:spPr>
        <a:xfrm>
          <a:off x="19522440" y="20040600"/>
          <a:ext cx="1470660" cy="32385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ru-RU" sz="1300"/>
            <a:t>богара + полив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9525</xdr:rowOff>
    </xdr:from>
    <xdr:to>
      <xdr:col>1</xdr:col>
      <xdr:colOff>952500</xdr:colOff>
      <xdr:row>4</xdr:row>
      <xdr:rowOff>953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B9011BB-BB85-40D7-BAAD-503CC5BAB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9550" y="9525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9525</xdr:rowOff>
    </xdr:from>
    <xdr:to>
      <xdr:col>1</xdr:col>
      <xdr:colOff>952500</xdr:colOff>
      <xdr:row>4</xdr:row>
      <xdr:rowOff>953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318970-A10D-422A-889C-F38BFD3C7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9550" y="11430"/>
          <a:ext cx="914400" cy="90392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85725</xdr:colOff>
      <xdr:row>0</xdr:row>
      <xdr:rowOff>0</xdr:rowOff>
    </xdr:from>
    <xdr:to>
      <xdr:col>1</xdr:col>
      <xdr:colOff>1005840</xdr:colOff>
      <xdr:row>3</xdr:row>
      <xdr:rowOff>148590</xdr:rowOff>
    </xdr:to>
    <xdr:pic>
      <xdr:nvPicPr>
        <xdr:cNvPr id="6" name="Рисунок 5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76957A1-19EE-4C49-BAE5-1D82496B8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304800" y="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0</xdr:row>
      <xdr:rowOff>9525</xdr:rowOff>
    </xdr:from>
    <xdr:to>
      <xdr:col>1</xdr:col>
      <xdr:colOff>971550</xdr:colOff>
      <xdr:row>4</xdr:row>
      <xdr:rowOff>953</xdr:rowOff>
    </xdr:to>
    <xdr:pic>
      <xdr:nvPicPr>
        <xdr:cNvPr id="6" name="Рисунок 5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841034-CFCA-485F-9950-0BBD7E899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8600" y="9525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19050</xdr:rowOff>
    </xdr:from>
    <xdr:to>
      <xdr:col>1</xdr:col>
      <xdr:colOff>1101090</xdr:colOff>
      <xdr:row>4</xdr:row>
      <xdr:rowOff>0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3FB289-5A42-4814-AD9E-2C4286D313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321945" y="19050"/>
          <a:ext cx="939165" cy="91821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19050</xdr:rowOff>
    </xdr:from>
    <xdr:to>
      <xdr:col>1</xdr:col>
      <xdr:colOff>1101090</xdr:colOff>
      <xdr:row>4</xdr:row>
      <xdr:rowOff>0</xdr:rowOff>
    </xdr:to>
    <xdr:pic>
      <xdr:nvPicPr>
        <xdr:cNvPr id="6" name="Рисунок 5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79FF65-FD0C-E1AE-ADDC-0F79A8B46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1925" y="1905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27</xdr:col>
      <xdr:colOff>289814</xdr:colOff>
      <xdr:row>55</xdr:row>
      <xdr:rowOff>189262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152AA0FD-4FBA-2C4A-DF13-B4B8D0CF8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62000"/>
          <a:ext cx="18285714" cy="99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12</xdr:col>
      <xdr:colOff>250738</xdr:colOff>
      <xdr:row>101</xdr:row>
      <xdr:rowOff>18309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AA3031B4-D067-4A4E-DF3A-4B0E4FBD4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3335000"/>
          <a:ext cx="9161905" cy="5923809"/>
        </a:xfrm>
        <a:prstGeom prst="rect">
          <a:avLst/>
        </a:prstGeom>
      </xdr:spPr>
    </xdr:pic>
    <xdr:clientData/>
  </xdr:twoCellAnchor>
  <xdr:twoCellAnchor editAs="oneCell">
    <xdr:from>
      <xdr:col>6</xdr:col>
      <xdr:colOff>455083</xdr:colOff>
      <xdr:row>102</xdr:row>
      <xdr:rowOff>42333</xdr:rowOff>
    </xdr:from>
    <xdr:to>
      <xdr:col>17</xdr:col>
      <xdr:colOff>426726</xdr:colOff>
      <xdr:row>137</xdr:row>
      <xdr:rowOff>22452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AFC36A6-D6A2-DA5A-D3C1-057659E88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83250" y="19473333"/>
          <a:ext cx="6723809" cy="664761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9D840-13FA-4479-A5B1-55216163EE14}" name="Таблица2" displayName="Таблица2" ref="A1:Q129" totalsRowShown="0" headerRowDxfId="99" dataDxfId="98" tableBorderDxfId="97">
  <autoFilter ref="A1:Q129" xr:uid="{7AB9D840-13FA-4479-A5B1-55216163EE14}">
    <filterColumn colId="16">
      <filters>
        <dateGroupItem year="2025" month="6" day="28" dateTimeGrouping="day"/>
      </filters>
    </filterColumn>
  </autoFilter>
  <tableColumns count="17">
    <tableColumn id="1" xr3:uid="{BD7BBAE5-3903-40AA-A154-CF7C80C01C88}" name="№ п/п" dataDxfId="96"/>
    <tableColumn id="2" xr3:uid="{A6133D52-F32A-48F8-8160-EE9F3E7BCC2B}" name="Период" dataDxfId="95"/>
    <tableColumn id="3" xr3:uid="{DBBE2516-69AF-4510-A40B-0DFD7A20CD70}" name="Столбец1" dataDxfId="94"/>
    <tableColumn id="4" xr3:uid="{6EEF63AA-1105-4EC2-9445-8B2F4B4A42F4}" name="Столбец2" dataDxfId="93"/>
    <tableColumn id="5" xr3:uid="{2BE34E30-79B2-45DD-B112-E33359422A1D}" name="Номер документа" dataDxfId="92"/>
    <tableColumn id="6" xr3:uid="{17D96885-E386-4980-916D-59202F62EA14}" name="Водитель" dataDxfId="91"/>
    <tableColumn id="7" xr3:uid="{A0996405-1345-4DDF-A21F-A87279448D54}" name="№ машины" dataDxfId="90"/>
    <tableColumn id="8" xr3:uid="{D0A823BC-FEC0-44AB-A279-BD7C5B35C13F}" name="№ прицепа" dataDxfId="89"/>
    <tableColumn id="9" xr3:uid="{52E7B572-97AA-4261-87B4-7B0F0BAF5437}" name="Груз" dataDxfId="88"/>
    <tableColumn id="10" xr3:uid="{88B4B016-B597-403B-81E0-6CD24CCA4C71}" name="Столбец3" dataDxfId="87"/>
    <tableColumn id="11" xr3:uid="{BCBF7C6F-E99B-4C5F-85F5-4C78281504FF}" name="Номера полей" dataDxfId="86"/>
    <tableColumn id="12" xr3:uid="{51CC42CD-2494-428C-831C-CD84B2210406}" name="Пункт назначения" dataDxfId="85"/>
    <tableColumn id="13" xr3:uid="{4CB8D1BB-A41C-46C8-AAE4-E02208560766}" name="Пункт отправления" dataDxfId="84"/>
    <tableColumn id="14" xr3:uid="{C81D4617-9DD9-47DD-ACF8-B3643DE6AA1E}" name="Брутто" dataDxfId="83"/>
    <tableColumn id="15" xr3:uid="{6E5E3747-3C2A-4B4F-9B1F-4AC99581B081}" name="Тара" dataDxfId="82"/>
    <tableColumn id="16" xr3:uid="{62E439C4-62E3-45C5-81EC-2EC9E84B2CA8}" name="Нетто" dataDxfId="81"/>
    <tableColumn id="17" xr3:uid="{79E1FECD-11F7-4610-8CCC-AF282F92265F}" name="Дата отчета" dataDxfId="80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386047-3CD3-4FD5-A78C-97489C88A923}" name="Таблица3" displayName="Таблица3" ref="A1:H29" totalsRowCount="1" headerRowDxfId="79" dataDxfId="78" totalsRowDxfId="77">
  <autoFilter ref="A1:H28" xr:uid="{1F386047-3CD3-4FD5-A78C-97489C88A923}">
    <filterColumn colId="0">
      <filters>
        <filter val="Подсолнечник кондитерский"/>
      </filters>
    </filterColumn>
  </autoFilter>
  <tableColumns count="8">
    <tableColumn id="1" xr3:uid="{8C4B5D9A-09AE-4360-8541-ABB55CFE344E}" name="Культура" dataDxfId="76" totalsRowDxfId="75"/>
    <tableColumn id="8" xr3:uid="{45996493-CB27-4240-99B6-F3EB35BBB7E0}" name="Поле" dataDxfId="74" totalsRowDxfId="73"/>
    <tableColumn id="2" xr3:uid="{2C2437D6-338A-4485-AFC0-01B963F7C22D}" name="Сорт семян" dataDxfId="72" totalsRowDxfId="71"/>
    <tableColumn id="3" xr3:uid="{394479ED-A4F8-4A14-9EA3-F48A1E528C24}" name="Площадь поля, га" totalsRowFunction="sum" dataDxfId="70" totalsRowDxfId="69"/>
    <tableColumn id="4" xr3:uid="{F7875A48-E8A9-4831-B5CC-0469F061B3C8}" name="Дата уборки" dataDxfId="68" totalsRowDxfId="67"/>
    <tableColumn id="5" xr3:uid="{26EDC6B9-373E-4DC3-8F94-D1D933B22ED9}" name="Площадь уборки, га" totalsRowFunction="sum" dataDxfId="66" totalsRowDxfId="65"/>
    <tableColumn id="6" xr3:uid="{819217DC-C680-4920-8ECC-650F2EF30220}" name="Валовый сбор, кг" totalsRowFunction="sum" dataDxfId="64" totalsRowDxfId="63"/>
    <tableColumn id="7" xr3:uid="{F272B016-BED0-490C-890E-201C5911FFE3}" name="Урожайность, ц/га" totalsRowFunction="custom" dataDxfId="62" totalsRowDxfId="61">
      <calculatedColumnFormula>IFERROR(Таблица3[[#This Row],[Валовый сбор, кг]]/100/Таблица3[[#This Row],[Площадь уборки, га]], "-")</calculatedColumnFormula>
      <totalsRowFormula>IFERROR(Таблица3[[#Totals],[Валовый сбор, кг]]/100/Таблица3[[#Totals],[Площадь уборки, га]], "-")</totalsRow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B9A39AD-605D-4EEA-AC8F-E599B17DAE98}" name="Таблица37" displayName="Таблица37" ref="A1:G6" totalsRowCount="1" headerRowDxfId="60" dataDxfId="59" totalsRowDxfId="58">
  <autoFilter ref="A1:G5" xr:uid="{9B9A39AD-605D-4EEA-AC8F-E599B17DAE98}"/>
  <tableColumns count="7">
    <tableColumn id="1" xr3:uid="{545F42E1-032B-4E4E-8798-FCCCD6A0DDE7}" name="Поле" dataDxfId="57" totalsRowDxfId="56"/>
    <tableColumn id="2" xr3:uid="{6D899B03-EC65-430A-8095-906E70434554}" name="Сорт семян" dataDxfId="55" totalsRowDxfId="54"/>
    <tableColumn id="3" xr3:uid="{F6364E90-C640-48D8-8BF6-05DFA8E8ADDA}" name="Площадь поля, га" totalsRowFunction="sum" dataDxfId="53" totalsRowDxfId="52"/>
    <tableColumn id="4" xr3:uid="{C98A8644-957F-4683-8553-6061C6CC71E3}" name="Дата уборки" dataDxfId="51" totalsRowDxfId="50"/>
    <tableColumn id="5" xr3:uid="{04F729A9-5F4E-46B6-BB56-AE3FB0613B42}" name="Площадь уборки, га" totalsRowFunction="sum" dataDxfId="49" totalsRowDxfId="48"/>
    <tableColumn id="6" xr3:uid="{23513CD5-DD87-48EB-BC89-6F6247B566FE}" name="Валовый сбор, кг" totalsRowFunction="sum" dataDxfId="47" totalsRowDxfId="46"/>
    <tableColumn id="7" xr3:uid="{242AAE10-5B50-47A6-8F4D-E60491BD1CAD}" name="Урожайность, ц/га" totalsRowFunction="custom" dataDxfId="45" totalsRowDxfId="44">
      <calculatedColumnFormula>IFERROR(Таблица37[[#This Row],[Валовый сбор, кг]]/100/Таблица37[[#This Row],[Площадь уборки, га]], "-")</calculatedColumnFormula>
      <totalsRowFormula>IFERROR(Таблица37[[#Totals],[Валовый сбор, кг]]/100/Таблица37[[#Totals],[Площадь уборки, га]], "-")</totalsRow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71E784A-E385-4FB6-863D-74F3C74E2582}" name="Таблица4" displayName="Таблица4" ref="A1:I28" totalsRowCount="1">
  <autoFilter ref="A1:I27" xr:uid="{371E784A-E385-4FB6-863D-74F3C74E2582}"/>
  <tableColumns count="9">
    <tableColumn id="1" xr3:uid="{E1C9398D-FEA4-4897-8219-9BB8B05757A5}" name="Культура" dataDxfId="43" totalsRowDxfId="42"/>
    <tableColumn id="2" xr3:uid="{85D64182-7A8E-42EB-9EAC-B04F8385DCA9}" name="Поле" dataDxfId="41" totalsRowDxfId="40"/>
    <tableColumn id="3" xr3:uid="{713C11DF-F752-4F77-AA0A-2D5DFE2808F8}" name="Сорт семян"/>
    <tableColumn id="4" xr3:uid="{FD677496-9BB0-4A37-93E9-73FEFFB038E5}" name="Площадь поля, га" totalsRowFunction="sum" dataDxfId="39" totalsRowDxfId="38"/>
    <tableColumn id="5" xr3:uid="{8BD4D05C-1E61-4B6E-B9F0-FD25AD928E2B}" name="Дата уборки"/>
    <tableColumn id="6" xr3:uid="{F9431DBA-BCCC-47D8-918C-ACED04E0F000}" name="Площадь уборки, га" totalsRowFunction="sum" dataDxfId="37" totalsRowDxfId="36" dataCellStyle="Финансовый 13"/>
    <tableColumn id="7" xr3:uid="{BEF00850-D3C9-450D-831B-99F41FAA32EC}" name="Валовый сбор, кг" totalsRowFunction="sum" dataDxfId="35" totalsRowDxfId="34"/>
    <tableColumn id="8" xr3:uid="{256FB456-2115-4198-84B4-9C1BA54BFEAF}" name="Урожайность, ц/га" totalsRowFunction="custom" dataDxfId="33" totalsRowDxfId="32">
      <calculatedColumnFormula>IFERROR(Таблица4[[#This Row],[Валовый сбор, кг]]/100/Таблица4[[#This Row],[Площадь уборки, га]], "-")</calculatedColumnFormula>
      <totalsRowFormula>Таблица4[[#Totals],[Валовый сбор, кг]]/100/Таблица4[[#Totals],[Площадь уборки, га]]</totalsRowFormula>
    </tableColumn>
    <tableColumn id="9" xr3:uid="{F09A6682-D03A-420B-8336-798575B5A7D7}" name="Примечание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91C860F-4209-4207-9D09-A7D08446F6CC}" name="Таблица378" displayName="Таблица378" ref="A1:G3" totalsRowCount="1" headerRowDxfId="31" dataDxfId="30" totalsRowDxfId="29">
  <autoFilter ref="A1:G2" xr:uid="{9B9A39AD-605D-4EEA-AC8F-E599B17DAE98}"/>
  <tableColumns count="7">
    <tableColumn id="1" xr3:uid="{604163A4-67C3-4B71-8524-82DF123BBC95}" name="Поле" dataDxfId="28" totalsRowDxfId="27"/>
    <tableColumn id="2" xr3:uid="{F330C2D8-42C7-4C4C-B741-F539999C5575}" name="Сорт семян" dataDxfId="26" totalsRowDxfId="25"/>
    <tableColumn id="3" xr3:uid="{C58C6E26-F0CD-4A60-BD73-0E26678641E6}" name="Площадь поля, га" totalsRowFunction="sum" dataDxfId="24" totalsRowDxfId="23"/>
    <tableColumn id="4" xr3:uid="{AC726BAD-066D-40F2-BA62-8768E1C16CBE}" name="Дата уборки" dataDxfId="22" totalsRowDxfId="21"/>
    <tableColumn id="5" xr3:uid="{96100FE3-98CE-4185-8B6C-F1BBA665BE49}" name="Площадь уборки, га" totalsRowFunction="sum" dataDxfId="20" totalsRowDxfId="19"/>
    <tableColumn id="6" xr3:uid="{3B8F28BB-0FC1-4B3F-A65D-D2B6B62635F4}" name="Валовый сбор, кг" totalsRowFunction="sum" dataDxfId="18" totalsRowDxfId="17"/>
    <tableColumn id="7" xr3:uid="{A1222FEC-2C4D-4CF6-A7ED-93E6B6B90F17}" name="Урожайность, ц/га" totalsRowFunction="custom" dataDxfId="16" totalsRowDxfId="15">
      <calculatedColumnFormula>IFERROR(Таблица378[[#This Row],[Валовый сбор, кг]]/100/Таблица378[[#This Row],[Площадь уборки, га]], "-")</calculatedColumnFormula>
      <totalsRowFormula>IFERROR(Таблица378[[#Totals],[Валовый сбор, кг]]/100/Таблица378[[#Totals],[Площадь уборки, га]], "-")</totalsRow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AB0CDE-ED92-4A10-9DF6-9CA59C5BB44F}" name="Таблица1" displayName="Таблица1" ref="A59:C69" totalsRowShown="0">
  <autoFilter ref="A59:C69" xr:uid="{2CAB0CDE-ED92-4A10-9DF6-9CA59C5BB44F}"/>
  <sortState xmlns:xlrd2="http://schemas.microsoft.com/office/spreadsheetml/2017/richdata2" ref="A60:B69">
    <sortCondition descending="1" ref="B59:B69"/>
  </sortState>
  <tableColumns count="3">
    <tableColumn id="1" xr3:uid="{3E5D5C63-94DC-4362-9356-AFFA98780384}" name="Хозяйство"/>
    <tableColumn id="2" xr3:uid="{05094A04-4ED9-41B2-9DF7-013C2C31DC70}" name="Урожайность" dataDxfId="14"/>
    <tableColumn id="3" xr3:uid="{399FB2FC-A926-4754-B775-A2CA9328E4CB}" name="Место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6EB9766-330B-4F90-8CBC-8859DF8AC2D8}" name="Таблица26" displayName="Таблица26" ref="A107:F118" totalsRowCount="1" headerRowDxfId="13" dataDxfId="12">
  <autoFilter ref="A107:F117" xr:uid="{16EB9766-330B-4F90-8CBC-8859DF8AC2D8}"/>
  <sortState xmlns:xlrd2="http://schemas.microsoft.com/office/spreadsheetml/2017/richdata2" ref="A108:F117">
    <sortCondition descending="1" ref="F22:F32"/>
  </sortState>
  <tableColumns count="6">
    <tableColumn id="1" xr3:uid="{4D70626A-2DD3-4223-9A76-D53599297451}" name="Столбец1" dataDxfId="11" totalsRowDxfId="10"/>
    <tableColumn id="2" xr3:uid="{E4D0F863-900C-422D-A318-E5568A660AAC}" name="Столбец2" dataDxfId="9" totalsRowDxfId="8"/>
    <tableColumn id="3" xr3:uid="{99727AF1-60CA-4FFC-A800-44BDDC2067C8}" name="Столбец3" totalsRowFunction="custom" dataDxfId="7" totalsRowDxfId="6">
      <totalsRowFormula>SUM(Таблица26[Столбец3])</totalsRowFormula>
    </tableColumn>
    <tableColumn id="4" xr3:uid="{B5235DBD-352C-48F7-A59A-DB8EC44ED57E}" name="Столбец4" dataDxfId="5" totalsRowDxfId="4"/>
    <tableColumn id="5" xr3:uid="{C31E685D-0C5D-4B55-A072-25C8C0C0AFD3}" name="Столбец5" totalsRowFunction="custom" dataDxfId="3" totalsRowDxfId="2">
      <totalsRowFormula>SUM(Таблица26[Столбец5])</totalsRowFormula>
    </tableColumn>
    <tableColumn id="6" xr3:uid="{6E7851C9-3098-4C75-A80B-156799A4007D}" name="место" dataDxfId="1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6CBE2-52D1-4D67-A38A-8A337E90B0FA}">
  <sheetPr codeName="Лист1"/>
  <dimension ref="A2:AP159"/>
  <sheetViews>
    <sheetView showGridLines="0" tabSelected="1" zoomScale="50" zoomScaleNormal="50" workbookViewId="0">
      <pane ySplit="2" topLeftCell="A3" activePane="bottomLeft" state="frozen"/>
      <selection pane="bottomLeft" activeCell="AV68" sqref="AV68"/>
    </sheetView>
  </sheetViews>
  <sheetFormatPr defaultColWidth="9.140625" defaultRowHeight="14.25" outlineLevelRow="1"/>
  <cols>
    <col min="1" max="39" width="9.140625" style="2" customWidth="1"/>
    <col min="40" max="42" width="9.7109375" style="2" customWidth="1"/>
    <col min="43" max="16384" width="9.140625" style="2"/>
  </cols>
  <sheetData>
    <row r="2" spans="1:42" ht="46.5" thickBot="1">
      <c r="A2" s="160" t="s">
        <v>477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</row>
    <row r="3" spans="1:42" ht="36" customHeight="1" thickTop="1"/>
    <row r="4" spans="1:42" ht="15.75" customHeight="1"/>
    <row r="5" spans="1:42" ht="15.75" customHeight="1"/>
    <row r="6" spans="1:42" ht="15.75" customHeight="1"/>
    <row r="7" spans="1:42" ht="15.75" customHeight="1"/>
    <row r="8" spans="1:42" ht="15.75" customHeight="1"/>
    <row r="9" spans="1:42" ht="15.75" customHeight="1"/>
    <row r="10" spans="1:42" ht="15.75" customHeight="1"/>
    <row r="11" spans="1:42" ht="15.75" customHeight="1"/>
    <row r="12" spans="1:42" ht="15.75" customHeight="1"/>
    <row r="13" spans="1:42" ht="15.75" customHeight="1"/>
    <row r="14" spans="1:42" ht="15.75" customHeight="1"/>
    <row r="15" spans="1:42" ht="15.75" customHeight="1"/>
    <row r="16" spans="1:4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hidden="1" customHeight="1" outlineLevel="1"/>
    <row r="77" ht="15.75" hidden="1" customHeight="1" outlineLevel="1"/>
    <row r="78" ht="15.75" hidden="1" customHeight="1" outlineLevel="1"/>
    <row r="79" ht="15.75" hidden="1" customHeight="1" outlineLevel="1"/>
    <row r="80" ht="15.75" hidden="1" customHeight="1" outlineLevel="1"/>
    <row r="81" ht="15.75" hidden="1" customHeight="1" outlineLevel="1"/>
    <row r="82" ht="15.75" hidden="1" customHeight="1" outlineLevel="1"/>
    <row r="83" ht="15.75" hidden="1" customHeight="1" outlineLevel="1"/>
    <row r="84" ht="15.75" hidden="1" customHeight="1" outlineLevel="1"/>
    <row r="85" ht="15.75" hidden="1" customHeight="1" outlineLevel="1"/>
    <row r="86" ht="15.75" hidden="1" customHeight="1" outlineLevel="1"/>
    <row r="87" ht="15.75" hidden="1" customHeight="1" outlineLevel="1"/>
    <row r="88" ht="15.75" hidden="1" customHeight="1" outlineLevel="1"/>
    <row r="89" ht="15.75" hidden="1" customHeight="1" outlineLevel="1"/>
    <row r="90" ht="15.75" hidden="1" customHeight="1" outlineLevel="1"/>
    <row r="91" ht="15.75" hidden="1" customHeight="1" outlineLevel="1"/>
    <row r="92" ht="15.75" hidden="1" customHeight="1" outlineLevel="1"/>
    <row r="93" ht="15.75" hidden="1" customHeight="1" outlineLevel="1"/>
    <row r="94" ht="15.75" hidden="1" customHeight="1" outlineLevel="1"/>
    <row r="95" ht="15.75" hidden="1" customHeight="1" outlineLevel="1"/>
    <row r="96" ht="15.75" hidden="1" customHeight="1" outlineLevel="1"/>
    <row r="97" ht="15.75" hidden="1" customHeight="1" outlineLevel="1"/>
    <row r="98" ht="15.75" hidden="1" customHeight="1" outlineLevel="1"/>
    <row r="99" ht="15.75" hidden="1" customHeight="1" outlineLevel="1"/>
    <row r="100" ht="15.75" hidden="1" customHeight="1" outlineLevel="1"/>
    <row r="101" ht="15.75" customHeight="1" collapsed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26" hidden="1" outlineLevel="1"/>
    <row r="127" hidden="1" outlineLevel="1"/>
    <row r="128" ht="15.75" hidden="1" customHeight="1" outlineLevel="1"/>
    <row r="129" ht="15.75" hidden="1" customHeight="1" outlineLevel="1"/>
    <row r="130" ht="15.75" hidden="1" customHeight="1" outlineLevel="1"/>
    <row r="131" ht="15.75" hidden="1" customHeight="1" outlineLevel="1"/>
    <row r="132" ht="15.75" hidden="1" customHeight="1" outlineLevel="1"/>
    <row r="133" ht="15.75" hidden="1" customHeight="1" outlineLevel="1"/>
    <row r="134" ht="15.75" hidden="1" customHeight="1" outlineLevel="1"/>
    <row r="135" ht="15.75" hidden="1" customHeight="1" outlineLevel="1"/>
    <row r="136" ht="15.75" hidden="1" customHeight="1" outlineLevel="1"/>
    <row r="137" ht="15.75" hidden="1" customHeight="1" outlineLevel="1"/>
    <row r="138" ht="15.75" hidden="1" customHeight="1" outlineLevel="1"/>
    <row r="139" ht="15.75" hidden="1" customHeight="1" outlineLevel="1"/>
    <row r="140" ht="15.75" hidden="1" customHeight="1" outlineLevel="1"/>
    <row r="141" ht="15.75" hidden="1" customHeight="1" outlineLevel="1"/>
    <row r="142" ht="15.75" hidden="1" customHeight="1" outlineLevel="1"/>
    <row r="143" ht="15.75" hidden="1" customHeight="1" outlineLevel="1"/>
    <row r="144" ht="15.75" hidden="1" customHeight="1" outlineLevel="1"/>
    <row r="145" ht="15.75" hidden="1" customHeight="1" outlineLevel="1"/>
    <row r="146" ht="15.75" hidden="1" customHeight="1" outlineLevel="1"/>
    <row r="147" ht="15.75" hidden="1" customHeight="1" outlineLevel="1"/>
    <row r="148" ht="15.75" hidden="1" customHeight="1" outlineLevel="1"/>
    <row r="149" ht="15.75" hidden="1" customHeight="1" outlineLevel="1"/>
    <row r="150" ht="15.75" hidden="1" customHeight="1" outlineLevel="1"/>
    <row r="151" hidden="1" outlineLevel="1"/>
    <row r="152" hidden="1" outlineLevel="1"/>
    <row r="153" hidden="1" outlineLevel="1"/>
    <row r="154" hidden="1" outlineLevel="1"/>
    <row r="155" hidden="1" outlineLevel="1"/>
    <row r="156" collapsed="1"/>
    <row r="159" ht="15.75" customHeight="1"/>
  </sheetData>
  <mergeCells count="1">
    <mergeCell ref="A2:A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ADC-B8C1-4795-88DF-7C9CCB842CE1}">
  <sheetPr codeName="Лист3"/>
  <dimension ref="A1:Q129"/>
  <sheetViews>
    <sheetView workbookViewId="0">
      <pane ySplit="1" topLeftCell="A113" activePane="bottomLeft" state="frozen"/>
      <selection pane="bottomLeft" activeCell="E132" sqref="E132"/>
    </sheetView>
  </sheetViews>
  <sheetFormatPr defaultRowHeight="15"/>
  <cols>
    <col min="2" max="2" width="9.7109375" customWidth="1"/>
    <col min="3" max="4" width="11.5703125" hidden="1" customWidth="1"/>
    <col min="5" max="5" width="18.85546875" customWidth="1"/>
    <col min="6" max="6" width="11.7109375" customWidth="1"/>
    <col min="7" max="7" width="12.85546875" customWidth="1"/>
    <col min="8" max="8" width="13.28515625" customWidth="1"/>
    <col min="10" max="10" width="11.5703125" hidden="1" customWidth="1"/>
    <col min="11" max="11" width="16" customWidth="1"/>
    <col min="12" max="12" width="19.5703125" customWidth="1"/>
    <col min="13" max="13" width="20.5703125" customWidth="1"/>
    <col min="14" max="14" width="9" customWidth="1"/>
    <col min="17" max="17" width="12.85546875" customWidth="1"/>
  </cols>
  <sheetData>
    <row r="1" spans="1:17" ht="26.45" customHeight="1">
      <c r="A1" s="77" t="s">
        <v>65</v>
      </c>
      <c r="B1" s="77" t="s">
        <v>66</v>
      </c>
      <c r="C1" s="77" t="s">
        <v>86</v>
      </c>
      <c r="D1" s="77" t="s">
        <v>87</v>
      </c>
      <c r="E1" s="77" t="s">
        <v>67</v>
      </c>
      <c r="F1" s="77" t="s">
        <v>68</v>
      </c>
      <c r="G1" s="77" t="s">
        <v>69</v>
      </c>
      <c r="H1" s="77" t="s">
        <v>70</v>
      </c>
      <c r="I1" s="77" t="s">
        <v>71</v>
      </c>
      <c r="J1" s="77" t="s">
        <v>88</v>
      </c>
      <c r="K1" s="77" t="s">
        <v>72</v>
      </c>
      <c r="L1" s="78" t="s">
        <v>76</v>
      </c>
      <c r="M1" s="78" t="s">
        <v>77</v>
      </c>
      <c r="N1" s="77" t="s">
        <v>73</v>
      </c>
      <c r="O1" s="77" t="s">
        <v>74</v>
      </c>
      <c r="P1" s="77" t="s">
        <v>75</v>
      </c>
      <c r="Q1" s="77" t="s">
        <v>407</v>
      </c>
    </row>
    <row r="2" spans="1:17" ht="33.75" hidden="1">
      <c r="A2" s="79">
        <v>1</v>
      </c>
      <c r="B2" s="80" t="s">
        <v>108</v>
      </c>
      <c r="C2" s="80"/>
      <c r="D2" s="80"/>
      <c r="E2" s="80" t="s">
        <v>109</v>
      </c>
      <c r="F2" s="80" t="s">
        <v>110</v>
      </c>
      <c r="G2" s="81" t="s">
        <v>111</v>
      </c>
      <c r="H2" s="80" t="s">
        <v>112</v>
      </c>
      <c r="I2" s="80" t="s">
        <v>113</v>
      </c>
      <c r="J2" s="80"/>
      <c r="K2" s="80"/>
      <c r="L2" s="82" t="s">
        <v>81</v>
      </c>
      <c r="M2" s="82" t="s">
        <v>81</v>
      </c>
      <c r="N2" s="83">
        <v>6280</v>
      </c>
      <c r="O2" s="83">
        <v>4580</v>
      </c>
      <c r="P2" s="84">
        <v>1700</v>
      </c>
      <c r="Q2" s="85">
        <v>45834</v>
      </c>
    </row>
    <row r="3" spans="1:17" ht="33.75" hidden="1">
      <c r="A3" s="79">
        <v>2</v>
      </c>
      <c r="B3" s="80" t="s">
        <v>114</v>
      </c>
      <c r="C3" s="80"/>
      <c r="D3" s="80"/>
      <c r="E3" s="80" t="s">
        <v>115</v>
      </c>
      <c r="F3" s="80" t="s">
        <v>110</v>
      </c>
      <c r="G3" s="81" t="s">
        <v>111</v>
      </c>
      <c r="H3" s="80" t="s">
        <v>112</v>
      </c>
      <c r="I3" s="80" t="s">
        <v>113</v>
      </c>
      <c r="J3" s="80"/>
      <c r="K3" s="80"/>
      <c r="L3" s="82" t="s">
        <v>81</v>
      </c>
      <c r="M3" s="82" t="s">
        <v>81</v>
      </c>
      <c r="N3" s="83">
        <v>7240</v>
      </c>
      <c r="O3" s="83">
        <v>4580</v>
      </c>
      <c r="P3" s="84">
        <v>2660</v>
      </c>
      <c r="Q3" s="85">
        <v>45834</v>
      </c>
    </row>
    <row r="4" spans="1:17" ht="22.5" hidden="1">
      <c r="A4" s="79">
        <v>3</v>
      </c>
      <c r="B4" s="80" t="s">
        <v>116</v>
      </c>
      <c r="C4" s="80"/>
      <c r="D4" s="80"/>
      <c r="E4" s="80" t="s">
        <v>117</v>
      </c>
      <c r="F4" s="80" t="s">
        <v>82</v>
      </c>
      <c r="G4" s="81" t="s">
        <v>83</v>
      </c>
      <c r="H4" s="80" t="s">
        <v>84</v>
      </c>
      <c r="I4" s="80" t="s">
        <v>113</v>
      </c>
      <c r="J4" s="80"/>
      <c r="K4" s="80"/>
      <c r="L4" s="82" t="s">
        <v>81</v>
      </c>
      <c r="M4" s="82" t="s">
        <v>81</v>
      </c>
      <c r="N4" s="83">
        <v>35000</v>
      </c>
      <c r="O4" s="83">
        <v>14160</v>
      </c>
      <c r="P4" s="84">
        <v>20840</v>
      </c>
      <c r="Q4" s="85">
        <v>45834</v>
      </c>
    </row>
    <row r="5" spans="1:17" ht="33.75" hidden="1">
      <c r="A5" s="79">
        <v>4</v>
      </c>
      <c r="B5" s="80" t="s">
        <v>118</v>
      </c>
      <c r="C5" s="80"/>
      <c r="D5" s="80"/>
      <c r="E5" s="80" t="s">
        <v>119</v>
      </c>
      <c r="F5" s="80" t="s">
        <v>110</v>
      </c>
      <c r="G5" s="81" t="s">
        <v>111</v>
      </c>
      <c r="H5" s="80" t="s">
        <v>112</v>
      </c>
      <c r="I5" s="80" t="s">
        <v>113</v>
      </c>
      <c r="J5" s="80"/>
      <c r="K5" s="80"/>
      <c r="L5" s="82" t="s">
        <v>81</v>
      </c>
      <c r="M5" s="82" t="s">
        <v>81</v>
      </c>
      <c r="N5" s="83">
        <v>9540</v>
      </c>
      <c r="O5" s="83">
        <v>4600</v>
      </c>
      <c r="P5" s="84">
        <v>4940</v>
      </c>
      <c r="Q5" s="85">
        <v>45834</v>
      </c>
    </row>
    <row r="6" spans="1:17" ht="22.5" hidden="1">
      <c r="A6" s="79">
        <v>5</v>
      </c>
      <c r="B6" s="80" t="s">
        <v>120</v>
      </c>
      <c r="C6" s="80"/>
      <c r="D6" s="80"/>
      <c r="E6" s="80" t="s">
        <v>121</v>
      </c>
      <c r="F6" s="80" t="s">
        <v>122</v>
      </c>
      <c r="G6" s="81" t="s">
        <v>123</v>
      </c>
      <c r="H6" s="80" t="s">
        <v>112</v>
      </c>
      <c r="I6" s="80" t="s">
        <v>113</v>
      </c>
      <c r="J6" s="80"/>
      <c r="K6" s="80"/>
      <c r="L6" s="82" t="s">
        <v>81</v>
      </c>
      <c r="M6" s="82" t="s">
        <v>81</v>
      </c>
      <c r="N6" s="83">
        <v>9920</v>
      </c>
      <c r="O6" s="83">
        <v>4620</v>
      </c>
      <c r="P6" s="84">
        <v>5300</v>
      </c>
      <c r="Q6" s="85">
        <v>45834</v>
      </c>
    </row>
    <row r="7" spans="1:17" ht="33.75" hidden="1">
      <c r="A7" s="79">
        <v>6</v>
      </c>
      <c r="B7" s="80" t="s">
        <v>124</v>
      </c>
      <c r="C7" s="80"/>
      <c r="D7" s="80"/>
      <c r="E7" s="80" t="s">
        <v>125</v>
      </c>
      <c r="F7" s="80" t="s">
        <v>110</v>
      </c>
      <c r="G7" s="81" t="s">
        <v>111</v>
      </c>
      <c r="H7" s="80" t="s">
        <v>112</v>
      </c>
      <c r="I7" s="80" t="s">
        <v>113</v>
      </c>
      <c r="J7" s="80"/>
      <c r="K7" s="80"/>
      <c r="L7" s="82" t="s">
        <v>81</v>
      </c>
      <c r="M7" s="82" t="s">
        <v>81</v>
      </c>
      <c r="N7" s="83">
        <v>7740</v>
      </c>
      <c r="O7" s="83">
        <v>4600</v>
      </c>
      <c r="P7" s="84">
        <v>3140</v>
      </c>
      <c r="Q7" s="85">
        <v>45834</v>
      </c>
    </row>
    <row r="8" spans="1:17" ht="22.5" hidden="1">
      <c r="A8" s="79">
        <v>7</v>
      </c>
      <c r="B8" s="80" t="s">
        <v>126</v>
      </c>
      <c r="C8" s="80"/>
      <c r="D8" s="80"/>
      <c r="E8" s="80" t="s">
        <v>127</v>
      </c>
      <c r="F8" s="80" t="s">
        <v>122</v>
      </c>
      <c r="G8" s="81" t="s">
        <v>123</v>
      </c>
      <c r="H8" s="80" t="s">
        <v>112</v>
      </c>
      <c r="I8" s="80" t="s">
        <v>113</v>
      </c>
      <c r="J8" s="80"/>
      <c r="K8" s="80"/>
      <c r="L8" s="82" t="s">
        <v>81</v>
      </c>
      <c r="M8" s="82" t="s">
        <v>81</v>
      </c>
      <c r="N8" s="83">
        <v>7160</v>
      </c>
      <c r="O8" s="83">
        <v>4620</v>
      </c>
      <c r="P8" s="84">
        <v>2540</v>
      </c>
      <c r="Q8" s="85">
        <v>45834</v>
      </c>
    </row>
    <row r="9" spans="1:17" ht="22.5" hidden="1">
      <c r="A9" s="79">
        <v>8</v>
      </c>
      <c r="B9" s="80" t="s">
        <v>128</v>
      </c>
      <c r="C9" s="80"/>
      <c r="D9" s="80"/>
      <c r="E9" s="80" t="s">
        <v>129</v>
      </c>
      <c r="F9" s="80" t="s">
        <v>78</v>
      </c>
      <c r="G9" s="81" t="s">
        <v>79</v>
      </c>
      <c r="H9" s="80" t="s">
        <v>80</v>
      </c>
      <c r="I9" s="80" t="s">
        <v>113</v>
      </c>
      <c r="J9" s="80"/>
      <c r="K9" s="80"/>
      <c r="L9" s="82" t="s">
        <v>81</v>
      </c>
      <c r="M9" s="82" t="s">
        <v>81</v>
      </c>
      <c r="N9" s="83">
        <v>35100</v>
      </c>
      <c r="O9" s="83">
        <v>14340</v>
      </c>
      <c r="P9" s="84">
        <v>20760</v>
      </c>
      <c r="Q9" s="85">
        <v>45834</v>
      </c>
    </row>
    <row r="10" spans="1:17" ht="33.75" hidden="1">
      <c r="A10" s="79">
        <v>9</v>
      </c>
      <c r="B10" s="80" t="s">
        <v>130</v>
      </c>
      <c r="C10" s="80"/>
      <c r="D10" s="80"/>
      <c r="E10" s="80" t="s">
        <v>131</v>
      </c>
      <c r="F10" s="80" t="s">
        <v>132</v>
      </c>
      <c r="G10" s="81" t="s">
        <v>133</v>
      </c>
      <c r="H10" s="80" t="s">
        <v>134</v>
      </c>
      <c r="I10" s="80" t="s">
        <v>113</v>
      </c>
      <c r="J10" s="80"/>
      <c r="K10" s="80"/>
      <c r="L10" s="82" t="s">
        <v>81</v>
      </c>
      <c r="M10" s="82" t="s">
        <v>81</v>
      </c>
      <c r="N10" s="83">
        <v>39360</v>
      </c>
      <c r="O10" s="83">
        <v>14400</v>
      </c>
      <c r="P10" s="84">
        <v>24960</v>
      </c>
      <c r="Q10" s="85">
        <v>45834</v>
      </c>
    </row>
    <row r="11" spans="1:17" ht="22.5" hidden="1">
      <c r="A11" s="79">
        <v>10</v>
      </c>
      <c r="B11" s="80" t="s">
        <v>135</v>
      </c>
      <c r="C11" s="80"/>
      <c r="D11" s="80"/>
      <c r="E11" s="80" t="s">
        <v>136</v>
      </c>
      <c r="F11" s="80" t="s">
        <v>137</v>
      </c>
      <c r="G11" s="81" t="s">
        <v>138</v>
      </c>
      <c r="H11" s="80" t="s">
        <v>139</v>
      </c>
      <c r="I11" s="80" t="s">
        <v>113</v>
      </c>
      <c r="J11" s="80"/>
      <c r="K11" s="80"/>
      <c r="L11" s="82" t="s">
        <v>81</v>
      </c>
      <c r="M11" s="82" t="s">
        <v>81</v>
      </c>
      <c r="N11" s="83">
        <v>45400</v>
      </c>
      <c r="O11" s="83">
        <v>15140</v>
      </c>
      <c r="P11" s="84">
        <v>30260</v>
      </c>
      <c r="Q11" s="85">
        <v>45834</v>
      </c>
    </row>
    <row r="12" spans="1:17" ht="22.5" hidden="1">
      <c r="A12" s="79">
        <v>11</v>
      </c>
      <c r="B12" s="80" t="s">
        <v>140</v>
      </c>
      <c r="C12" s="80"/>
      <c r="D12" s="80"/>
      <c r="E12" s="80" t="s">
        <v>141</v>
      </c>
      <c r="F12" s="80" t="s">
        <v>82</v>
      </c>
      <c r="G12" s="81" t="s">
        <v>83</v>
      </c>
      <c r="H12" s="80" t="s">
        <v>84</v>
      </c>
      <c r="I12" s="80" t="s">
        <v>113</v>
      </c>
      <c r="J12" s="80"/>
      <c r="K12" s="80"/>
      <c r="L12" s="82" t="s">
        <v>81</v>
      </c>
      <c r="M12" s="82" t="s">
        <v>81</v>
      </c>
      <c r="N12" s="83">
        <v>22640</v>
      </c>
      <c r="O12" s="83">
        <v>14160</v>
      </c>
      <c r="P12" s="84">
        <v>8480</v>
      </c>
      <c r="Q12" s="85">
        <v>45834</v>
      </c>
    </row>
    <row r="13" spans="1:17" ht="33.75" hidden="1">
      <c r="A13" s="79">
        <v>12</v>
      </c>
      <c r="B13" s="80" t="s">
        <v>142</v>
      </c>
      <c r="C13" s="80"/>
      <c r="D13" s="80"/>
      <c r="E13" s="80" t="s">
        <v>143</v>
      </c>
      <c r="F13" s="80" t="s">
        <v>132</v>
      </c>
      <c r="G13" s="81" t="s">
        <v>133</v>
      </c>
      <c r="H13" s="80" t="s">
        <v>134</v>
      </c>
      <c r="I13" s="80" t="s">
        <v>113</v>
      </c>
      <c r="J13" s="80"/>
      <c r="K13" s="80"/>
      <c r="L13" s="82" t="s">
        <v>81</v>
      </c>
      <c r="M13" s="82" t="s">
        <v>81</v>
      </c>
      <c r="N13" s="83">
        <v>44920</v>
      </c>
      <c r="O13" s="83">
        <v>14380</v>
      </c>
      <c r="P13" s="84">
        <v>30540</v>
      </c>
      <c r="Q13" s="85">
        <v>45834</v>
      </c>
    </row>
    <row r="14" spans="1:17" ht="22.5" hidden="1">
      <c r="A14" s="79">
        <v>13</v>
      </c>
      <c r="B14" s="80" t="s">
        <v>144</v>
      </c>
      <c r="C14" s="80"/>
      <c r="D14" s="80"/>
      <c r="E14" s="80" t="s">
        <v>145</v>
      </c>
      <c r="F14" s="80" t="s">
        <v>137</v>
      </c>
      <c r="G14" s="81" t="s">
        <v>138</v>
      </c>
      <c r="H14" s="80" t="s">
        <v>139</v>
      </c>
      <c r="I14" s="80" t="s">
        <v>113</v>
      </c>
      <c r="J14" s="80"/>
      <c r="K14" s="80"/>
      <c r="L14" s="82" t="s">
        <v>81</v>
      </c>
      <c r="M14" s="82" t="s">
        <v>81</v>
      </c>
      <c r="N14" s="83">
        <v>46000</v>
      </c>
      <c r="O14" s="83">
        <v>15080</v>
      </c>
      <c r="P14" s="84">
        <v>30920</v>
      </c>
      <c r="Q14" s="85">
        <v>45834</v>
      </c>
    </row>
    <row r="15" spans="1:17" ht="22.5" hidden="1">
      <c r="A15" s="79">
        <v>14</v>
      </c>
      <c r="B15" s="80" t="s">
        <v>146</v>
      </c>
      <c r="C15" s="80"/>
      <c r="D15" s="80"/>
      <c r="E15" s="80" t="s">
        <v>147</v>
      </c>
      <c r="F15" s="80" t="s">
        <v>122</v>
      </c>
      <c r="G15" s="81" t="s">
        <v>123</v>
      </c>
      <c r="H15" s="80" t="s">
        <v>112</v>
      </c>
      <c r="I15" s="80" t="s">
        <v>113</v>
      </c>
      <c r="J15" s="80"/>
      <c r="K15" s="80"/>
      <c r="L15" s="82" t="s">
        <v>81</v>
      </c>
      <c r="M15" s="82" t="s">
        <v>81</v>
      </c>
      <c r="N15" s="83">
        <v>11100</v>
      </c>
      <c r="O15" s="83">
        <v>4600</v>
      </c>
      <c r="P15" s="84">
        <v>6500</v>
      </c>
      <c r="Q15" s="85">
        <v>45834</v>
      </c>
    </row>
    <row r="16" spans="1:17" ht="22.5" hidden="1">
      <c r="A16" s="79">
        <v>15</v>
      </c>
      <c r="B16" s="80" t="s">
        <v>148</v>
      </c>
      <c r="C16" s="80"/>
      <c r="D16" s="80"/>
      <c r="E16" s="80" t="s">
        <v>149</v>
      </c>
      <c r="F16" s="80" t="s">
        <v>78</v>
      </c>
      <c r="G16" s="81" t="s">
        <v>79</v>
      </c>
      <c r="H16" s="80" t="s">
        <v>80</v>
      </c>
      <c r="I16" s="80" t="s">
        <v>113</v>
      </c>
      <c r="J16" s="80"/>
      <c r="K16" s="80"/>
      <c r="L16" s="82" t="s">
        <v>81</v>
      </c>
      <c r="M16" s="82" t="s">
        <v>81</v>
      </c>
      <c r="N16" s="83">
        <v>39900</v>
      </c>
      <c r="O16" s="83">
        <v>14420</v>
      </c>
      <c r="P16" s="84">
        <v>25480</v>
      </c>
      <c r="Q16" s="85">
        <v>45834</v>
      </c>
    </row>
    <row r="17" spans="1:17" ht="33.75" hidden="1">
      <c r="A17" s="79">
        <v>16</v>
      </c>
      <c r="B17" s="80" t="s">
        <v>150</v>
      </c>
      <c r="C17" s="80"/>
      <c r="D17" s="80"/>
      <c r="E17" s="80" t="s">
        <v>151</v>
      </c>
      <c r="F17" s="80" t="s">
        <v>132</v>
      </c>
      <c r="G17" s="81" t="s">
        <v>133</v>
      </c>
      <c r="H17" s="80" t="s">
        <v>134</v>
      </c>
      <c r="I17" s="80" t="s">
        <v>113</v>
      </c>
      <c r="J17" s="80"/>
      <c r="K17" s="80"/>
      <c r="L17" s="82" t="s">
        <v>81</v>
      </c>
      <c r="M17" s="82" t="s">
        <v>81</v>
      </c>
      <c r="N17" s="83">
        <v>45480</v>
      </c>
      <c r="O17" s="83">
        <v>14360</v>
      </c>
      <c r="P17" s="84">
        <v>31120</v>
      </c>
      <c r="Q17" s="85">
        <v>45834</v>
      </c>
    </row>
    <row r="18" spans="1:17" ht="33.75" hidden="1">
      <c r="A18" s="79">
        <v>17</v>
      </c>
      <c r="B18" s="80" t="s">
        <v>152</v>
      </c>
      <c r="C18" s="80"/>
      <c r="D18" s="80"/>
      <c r="E18" s="80" t="s">
        <v>153</v>
      </c>
      <c r="F18" s="80" t="s">
        <v>154</v>
      </c>
      <c r="G18" s="81" t="s">
        <v>155</v>
      </c>
      <c r="H18" s="80" t="s">
        <v>156</v>
      </c>
      <c r="I18" s="80" t="s">
        <v>113</v>
      </c>
      <c r="J18" s="80"/>
      <c r="K18" s="80"/>
      <c r="L18" s="82" t="s">
        <v>81</v>
      </c>
      <c r="M18" s="82" t="s">
        <v>81</v>
      </c>
      <c r="N18" s="83">
        <v>47440</v>
      </c>
      <c r="O18" s="83">
        <v>14740</v>
      </c>
      <c r="P18" s="84">
        <v>32700</v>
      </c>
      <c r="Q18" s="85">
        <v>45834</v>
      </c>
    </row>
    <row r="19" spans="1:17" ht="22.5" hidden="1">
      <c r="A19" s="79">
        <v>18</v>
      </c>
      <c r="B19" s="80" t="s">
        <v>157</v>
      </c>
      <c r="C19" s="80"/>
      <c r="D19" s="80"/>
      <c r="E19" s="80" t="s">
        <v>158</v>
      </c>
      <c r="F19" s="80" t="s">
        <v>137</v>
      </c>
      <c r="G19" s="81" t="s">
        <v>138</v>
      </c>
      <c r="H19" s="80" t="s">
        <v>139</v>
      </c>
      <c r="I19" s="80" t="s">
        <v>113</v>
      </c>
      <c r="J19" s="80"/>
      <c r="K19" s="80"/>
      <c r="L19" s="82" t="s">
        <v>81</v>
      </c>
      <c r="M19" s="82" t="s">
        <v>81</v>
      </c>
      <c r="N19" s="83">
        <v>45880</v>
      </c>
      <c r="O19" s="83">
        <v>15080</v>
      </c>
      <c r="P19" s="84">
        <v>30800</v>
      </c>
      <c r="Q19" s="85">
        <v>45834</v>
      </c>
    </row>
    <row r="20" spans="1:17" ht="22.5" hidden="1">
      <c r="A20" s="79">
        <v>19</v>
      </c>
      <c r="B20" s="80" t="s">
        <v>159</v>
      </c>
      <c r="C20" s="80"/>
      <c r="D20" s="80"/>
      <c r="E20" s="80" t="s">
        <v>160</v>
      </c>
      <c r="F20" s="80" t="s">
        <v>82</v>
      </c>
      <c r="G20" s="81" t="s">
        <v>83</v>
      </c>
      <c r="H20" s="80" t="s">
        <v>84</v>
      </c>
      <c r="I20" s="80" t="s">
        <v>113</v>
      </c>
      <c r="J20" s="80"/>
      <c r="K20" s="80"/>
      <c r="L20" s="82" t="s">
        <v>81</v>
      </c>
      <c r="M20" s="82" t="s">
        <v>81</v>
      </c>
      <c r="N20" s="83">
        <v>45520</v>
      </c>
      <c r="O20" s="83">
        <v>14140</v>
      </c>
      <c r="P20" s="84">
        <v>31380</v>
      </c>
      <c r="Q20" s="85">
        <v>45834</v>
      </c>
    </row>
    <row r="21" spans="1:17" ht="22.5" hidden="1">
      <c r="A21" s="79">
        <v>20</v>
      </c>
      <c r="B21" s="80" t="s">
        <v>161</v>
      </c>
      <c r="C21" s="80"/>
      <c r="D21" s="80"/>
      <c r="E21" s="80" t="s">
        <v>162</v>
      </c>
      <c r="F21" s="80" t="s">
        <v>122</v>
      </c>
      <c r="G21" s="81" t="s">
        <v>123</v>
      </c>
      <c r="H21" s="80" t="s">
        <v>112</v>
      </c>
      <c r="I21" s="80" t="s">
        <v>113</v>
      </c>
      <c r="J21" s="80"/>
      <c r="K21" s="80"/>
      <c r="L21" s="82" t="s">
        <v>81</v>
      </c>
      <c r="M21" s="82" t="s">
        <v>81</v>
      </c>
      <c r="N21" s="83">
        <v>12540</v>
      </c>
      <c r="O21" s="83">
        <v>4620</v>
      </c>
      <c r="P21" s="84">
        <v>7920</v>
      </c>
      <c r="Q21" s="85">
        <v>45834</v>
      </c>
    </row>
    <row r="22" spans="1:17" ht="33.75" hidden="1">
      <c r="A22" s="79">
        <v>21</v>
      </c>
      <c r="B22" s="80" t="s">
        <v>163</v>
      </c>
      <c r="C22" s="80"/>
      <c r="D22" s="80"/>
      <c r="E22" s="80" t="s">
        <v>164</v>
      </c>
      <c r="F22" s="80" t="s">
        <v>132</v>
      </c>
      <c r="G22" s="81" t="s">
        <v>133</v>
      </c>
      <c r="H22" s="80" t="s">
        <v>134</v>
      </c>
      <c r="I22" s="80" t="s">
        <v>113</v>
      </c>
      <c r="J22" s="80"/>
      <c r="K22" s="80"/>
      <c r="L22" s="82" t="s">
        <v>81</v>
      </c>
      <c r="M22" s="82" t="s">
        <v>81</v>
      </c>
      <c r="N22" s="83">
        <v>43960</v>
      </c>
      <c r="O22" s="83">
        <v>14360</v>
      </c>
      <c r="P22" s="84">
        <v>29600</v>
      </c>
      <c r="Q22" s="85">
        <v>45834</v>
      </c>
    </row>
    <row r="23" spans="1:17" ht="33.75" hidden="1">
      <c r="A23" s="79">
        <v>22</v>
      </c>
      <c r="B23" s="80" t="s">
        <v>165</v>
      </c>
      <c r="C23" s="80"/>
      <c r="D23" s="80"/>
      <c r="E23" s="80" t="s">
        <v>166</v>
      </c>
      <c r="F23" s="80" t="s">
        <v>154</v>
      </c>
      <c r="G23" s="81" t="s">
        <v>155</v>
      </c>
      <c r="H23" s="80" t="s">
        <v>156</v>
      </c>
      <c r="I23" s="80" t="s">
        <v>113</v>
      </c>
      <c r="J23" s="80"/>
      <c r="K23" s="80"/>
      <c r="L23" s="82" t="s">
        <v>81</v>
      </c>
      <c r="M23" s="82" t="s">
        <v>81</v>
      </c>
      <c r="N23" s="83">
        <v>46240</v>
      </c>
      <c r="O23" s="83">
        <v>14740</v>
      </c>
      <c r="P23" s="84">
        <v>31500</v>
      </c>
      <c r="Q23" s="85">
        <v>45834</v>
      </c>
    </row>
    <row r="24" spans="1:17" ht="22.5" hidden="1">
      <c r="A24" s="79">
        <v>23</v>
      </c>
      <c r="B24" s="80" t="s">
        <v>167</v>
      </c>
      <c r="C24" s="80"/>
      <c r="D24" s="80"/>
      <c r="E24" s="80" t="s">
        <v>168</v>
      </c>
      <c r="F24" s="80" t="s">
        <v>137</v>
      </c>
      <c r="G24" s="81" t="s">
        <v>138</v>
      </c>
      <c r="H24" s="80" t="s">
        <v>139</v>
      </c>
      <c r="I24" s="80" t="s">
        <v>113</v>
      </c>
      <c r="J24" s="80"/>
      <c r="K24" s="80"/>
      <c r="L24" s="82" t="s">
        <v>81</v>
      </c>
      <c r="M24" s="82" t="s">
        <v>81</v>
      </c>
      <c r="N24" s="83">
        <v>46440</v>
      </c>
      <c r="O24" s="83">
        <v>15060</v>
      </c>
      <c r="P24" s="84">
        <v>31380</v>
      </c>
      <c r="Q24" s="85">
        <v>45834</v>
      </c>
    </row>
    <row r="25" spans="1:17" ht="22.5" hidden="1">
      <c r="A25" s="79">
        <v>24</v>
      </c>
      <c r="B25" s="80" t="s">
        <v>169</v>
      </c>
      <c r="C25" s="80"/>
      <c r="D25" s="80"/>
      <c r="E25" s="80" t="s">
        <v>170</v>
      </c>
      <c r="F25" s="80" t="s">
        <v>78</v>
      </c>
      <c r="G25" s="81" t="s">
        <v>79</v>
      </c>
      <c r="H25" s="80" t="s">
        <v>80</v>
      </c>
      <c r="I25" s="80" t="s">
        <v>113</v>
      </c>
      <c r="J25" s="80"/>
      <c r="K25" s="80"/>
      <c r="L25" s="82" t="s">
        <v>81</v>
      </c>
      <c r="M25" s="82" t="s">
        <v>81</v>
      </c>
      <c r="N25" s="83">
        <v>37420</v>
      </c>
      <c r="O25" s="83">
        <v>14400</v>
      </c>
      <c r="P25" s="84">
        <v>23020</v>
      </c>
      <c r="Q25" s="85">
        <v>45834</v>
      </c>
    </row>
    <row r="26" spans="1:17" ht="33.75" hidden="1">
      <c r="A26" s="79">
        <v>25</v>
      </c>
      <c r="B26" s="80" t="s">
        <v>171</v>
      </c>
      <c r="C26" s="80"/>
      <c r="D26" s="80"/>
      <c r="E26" s="80" t="s">
        <v>172</v>
      </c>
      <c r="F26" s="80" t="s">
        <v>132</v>
      </c>
      <c r="G26" s="81" t="s">
        <v>133</v>
      </c>
      <c r="H26" s="80" t="s">
        <v>134</v>
      </c>
      <c r="I26" s="80" t="s">
        <v>113</v>
      </c>
      <c r="J26" s="80"/>
      <c r="K26" s="80"/>
      <c r="L26" s="82" t="s">
        <v>81</v>
      </c>
      <c r="M26" s="82" t="s">
        <v>81</v>
      </c>
      <c r="N26" s="83">
        <v>46420</v>
      </c>
      <c r="O26" s="83">
        <v>14420</v>
      </c>
      <c r="P26" s="84">
        <v>32000</v>
      </c>
      <c r="Q26" s="85">
        <v>45834</v>
      </c>
    </row>
    <row r="27" spans="1:17" ht="33.75" hidden="1">
      <c r="A27" s="79">
        <v>26</v>
      </c>
      <c r="B27" s="80" t="s">
        <v>173</v>
      </c>
      <c r="C27" s="80"/>
      <c r="D27" s="80"/>
      <c r="E27" s="80" t="s">
        <v>174</v>
      </c>
      <c r="F27" s="80" t="s">
        <v>154</v>
      </c>
      <c r="G27" s="81" t="s">
        <v>155</v>
      </c>
      <c r="H27" s="80" t="s">
        <v>156</v>
      </c>
      <c r="I27" s="80" t="s">
        <v>113</v>
      </c>
      <c r="J27" s="80"/>
      <c r="K27" s="80"/>
      <c r="L27" s="82" t="s">
        <v>81</v>
      </c>
      <c r="M27" s="82" t="s">
        <v>81</v>
      </c>
      <c r="N27" s="83">
        <v>46180</v>
      </c>
      <c r="O27" s="83">
        <v>14720</v>
      </c>
      <c r="P27" s="84">
        <v>31460</v>
      </c>
      <c r="Q27" s="85">
        <v>45834</v>
      </c>
    </row>
    <row r="28" spans="1:17" ht="22.5" hidden="1">
      <c r="A28" s="79">
        <v>27</v>
      </c>
      <c r="B28" s="80" t="s">
        <v>175</v>
      </c>
      <c r="C28" s="80"/>
      <c r="D28" s="80"/>
      <c r="E28" s="80" t="s">
        <v>176</v>
      </c>
      <c r="F28" s="80" t="s">
        <v>137</v>
      </c>
      <c r="G28" s="81" t="s">
        <v>138</v>
      </c>
      <c r="H28" s="80" t="s">
        <v>139</v>
      </c>
      <c r="I28" s="80" t="s">
        <v>113</v>
      </c>
      <c r="J28" s="80"/>
      <c r="K28" s="80"/>
      <c r="L28" s="82" t="s">
        <v>81</v>
      </c>
      <c r="M28" s="82" t="s">
        <v>81</v>
      </c>
      <c r="N28" s="83">
        <v>46900</v>
      </c>
      <c r="O28" s="83">
        <v>15040</v>
      </c>
      <c r="P28" s="84">
        <v>31860</v>
      </c>
      <c r="Q28" s="85">
        <v>45834</v>
      </c>
    </row>
    <row r="29" spans="1:17" ht="22.5" hidden="1">
      <c r="A29" s="79">
        <v>28</v>
      </c>
      <c r="B29" s="80" t="s">
        <v>177</v>
      </c>
      <c r="C29" s="80"/>
      <c r="D29" s="80"/>
      <c r="E29" s="80" t="s">
        <v>178</v>
      </c>
      <c r="F29" s="80" t="s">
        <v>78</v>
      </c>
      <c r="G29" s="81" t="s">
        <v>79</v>
      </c>
      <c r="H29" s="80" t="s">
        <v>80</v>
      </c>
      <c r="I29" s="80" t="s">
        <v>113</v>
      </c>
      <c r="J29" s="80"/>
      <c r="K29" s="80"/>
      <c r="L29" s="82" t="s">
        <v>81</v>
      </c>
      <c r="M29" s="82" t="s">
        <v>81</v>
      </c>
      <c r="N29" s="83">
        <v>37680</v>
      </c>
      <c r="O29" s="83">
        <v>14400</v>
      </c>
      <c r="P29" s="84">
        <v>23280</v>
      </c>
      <c r="Q29" s="85">
        <v>45834</v>
      </c>
    </row>
    <row r="30" spans="1:17" ht="22.5" hidden="1">
      <c r="A30" s="79">
        <v>29</v>
      </c>
      <c r="B30" s="80" t="s">
        <v>179</v>
      </c>
      <c r="C30" s="80"/>
      <c r="D30" s="80"/>
      <c r="E30" s="80" t="s">
        <v>180</v>
      </c>
      <c r="F30" s="80" t="s">
        <v>78</v>
      </c>
      <c r="G30" s="81" t="s">
        <v>79</v>
      </c>
      <c r="H30" s="80" t="s">
        <v>80</v>
      </c>
      <c r="I30" s="80" t="s">
        <v>113</v>
      </c>
      <c r="J30" s="80"/>
      <c r="K30" s="80"/>
      <c r="L30" s="82" t="s">
        <v>81</v>
      </c>
      <c r="M30" s="82" t="s">
        <v>81</v>
      </c>
      <c r="N30" s="83">
        <v>38480</v>
      </c>
      <c r="O30" s="83">
        <v>14380</v>
      </c>
      <c r="P30" s="84">
        <v>24100</v>
      </c>
      <c r="Q30" s="85">
        <v>45834</v>
      </c>
    </row>
    <row r="31" spans="1:17" ht="33.75" hidden="1">
      <c r="A31" s="79">
        <v>30</v>
      </c>
      <c r="B31" s="80" t="s">
        <v>181</v>
      </c>
      <c r="C31" s="80"/>
      <c r="D31" s="80"/>
      <c r="E31" s="80" t="s">
        <v>182</v>
      </c>
      <c r="F31" s="80" t="s">
        <v>154</v>
      </c>
      <c r="G31" s="81" t="s">
        <v>155</v>
      </c>
      <c r="H31" s="80" t="s">
        <v>156</v>
      </c>
      <c r="I31" s="80" t="s">
        <v>113</v>
      </c>
      <c r="J31" s="80"/>
      <c r="K31" s="80"/>
      <c r="L31" s="82" t="s">
        <v>81</v>
      </c>
      <c r="M31" s="82" t="s">
        <v>81</v>
      </c>
      <c r="N31" s="83">
        <v>30160</v>
      </c>
      <c r="O31" s="83">
        <v>14720</v>
      </c>
      <c r="P31" s="84">
        <v>15440</v>
      </c>
      <c r="Q31" s="85">
        <v>45834</v>
      </c>
    </row>
    <row r="32" spans="1:17" ht="33.75" hidden="1">
      <c r="A32" s="79">
        <v>31</v>
      </c>
      <c r="B32" s="80" t="s">
        <v>183</v>
      </c>
      <c r="C32" s="80"/>
      <c r="D32" s="80"/>
      <c r="E32" s="80" t="s">
        <v>184</v>
      </c>
      <c r="F32" s="80" t="s">
        <v>132</v>
      </c>
      <c r="G32" s="81" t="s">
        <v>133</v>
      </c>
      <c r="H32" s="80" t="s">
        <v>134</v>
      </c>
      <c r="I32" s="80" t="s">
        <v>113</v>
      </c>
      <c r="J32" s="80"/>
      <c r="K32" s="80"/>
      <c r="L32" s="82" t="s">
        <v>81</v>
      </c>
      <c r="M32" s="82" t="s">
        <v>81</v>
      </c>
      <c r="N32" s="83">
        <v>45320</v>
      </c>
      <c r="O32" s="83">
        <v>14420</v>
      </c>
      <c r="P32" s="84">
        <v>30900</v>
      </c>
      <c r="Q32" s="85">
        <v>45834</v>
      </c>
    </row>
    <row r="33" spans="1:17" ht="22.5" hidden="1">
      <c r="A33" s="79">
        <v>32</v>
      </c>
      <c r="B33" s="80" t="s">
        <v>185</v>
      </c>
      <c r="C33" s="80"/>
      <c r="D33" s="80"/>
      <c r="E33" s="80" t="s">
        <v>186</v>
      </c>
      <c r="F33" s="80" t="s">
        <v>82</v>
      </c>
      <c r="G33" s="81" t="s">
        <v>83</v>
      </c>
      <c r="H33" s="80" t="s">
        <v>84</v>
      </c>
      <c r="I33" s="80" t="s">
        <v>113</v>
      </c>
      <c r="J33" s="80"/>
      <c r="K33" s="80"/>
      <c r="L33" s="82" t="s">
        <v>81</v>
      </c>
      <c r="M33" s="82" t="s">
        <v>81</v>
      </c>
      <c r="N33" s="83">
        <v>44900</v>
      </c>
      <c r="O33" s="83">
        <v>14120</v>
      </c>
      <c r="P33" s="84">
        <v>30780</v>
      </c>
      <c r="Q33" s="85">
        <v>45834</v>
      </c>
    </row>
    <row r="34" spans="1:17" ht="22.5" hidden="1">
      <c r="A34" s="79">
        <v>33</v>
      </c>
      <c r="B34" s="80" t="s">
        <v>187</v>
      </c>
      <c r="C34" s="80"/>
      <c r="D34" s="80"/>
      <c r="E34" s="80" t="s">
        <v>188</v>
      </c>
      <c r="F34" s="80" t="s">
        <v>82</v>
      </c>
      <c r="G34" s="81" t="s">
        <v>83</v>
      </c>
      <c r="H34" s="80" t="s">
        <v>84</v>
      </c>
      <c r="I34" s="80" t="s">
        <v>113</v>
      </c>
      <c r="J34" s="80"/>
      <c r="K34" s="80"/>
      <c r="L34" s="82" t="s">
        <v>81</v>
      </c>
      <c r="M34" s="82" t="s">
        <v>81</v>
      </c>
      <c r="N34" s="83">
        <v>45500</v>
      </c>
      <c r="O34" s="83">
        <v>14120</v>
      </c>
      <c r="P34" s="84">
        <v>31380</v>
      </c>
      <c r="Q34" s="85">
        <v>45834</v>
      </c>
    </row>
    <row r="35" spans="1:17" ht="30.6" hidden="1" customHeight="1">
      <c r="A35" s="79">
        <v>34</v>
      </c>
      <c r="B35" s="80" t="s">
        <v>189</v>
      </c>
      <c r="C35" s="80"/>
      <c r="D35" s="80"/>
      <c r="E35" s="80" t="s">
        <v>190</v>
      </c>
      <c r="F35" s="80" t="s">
        <v>191</v>
      </c>
      <c r="G35" s="81" t="s">
        <v>192</v>
      </c>
      <c r="H35" s="80" t="s">
        <v>193</v>
      </c>
      <c r="I35" s="80" t="s">
        <v>113</v>
      </c>
      <c r="J35" s="80"/>
      <c r="K35" s="80" t="s">
        <v>194</v>
      </c>
      <c r="L35" s="82" t="s">
        <v>81</v>
      </c>
      <c r="M35" s="82" t="s">
        <v>81</v>
      </c>
      <c r="N35" s="83">
        <v>46380</v>
      </c>
      <c r="O35" s="83">
        <v>15320</v>
      </c>
      <c r="P35" s="84">
        <v>31060</v>
      </c>
      <c r="Q35" s="85">
        <v>45835</v>
      </c>
    </row>
    <row r="36" spans="1:17" ht="22.5" hidden="1">
      <c r="A36" s="79">
        <v>35</v>
      </c>
      <c r="B36" s="80" t="s">
        <v>195</v>
      </c>
      <c r="C36" s="80"/>
      <c r="D36" s="80"/>
      <c r="E36" s="80" t="s">
        <v>196</v>
      </c>
      <c r="F36" s="80" t="s">
        <v>197</v>
      </c>
      <c r="G36" s="81" t="s">
        <v>198</v>
      </c>
      <c r="H36" s="80" t="s">
        <v>199</v>
      </c>
      <c r="I36" s="80" t="s">
        <v>113</v>
      </c>
      <c r="J36" s="80"/>
      <c r="K36" s="80" t="s">
        <v>194</v>
      </c>
      <c r="L36" s="82" t="s">
        <v>81</v>
      </c>
      <c r="M36" s="82" t="s">
        <v>81</v>
      </c>
      <c r="N36" s="83">
        <v>47300</v>
      </c>
      <c r="O36" s="83">
        <v>15800</v>
      </c>
      <c r="P36" s="84">
        <v>31500</v>
      </c>
      <c r="Q36" s="85">
        <v>45835</v>
      </c>
    </row>
    <row r="37" spans="1:17" ht="22.5" hidden="1">
      <c r="A37" s="79">
        <v>36</v>
      </c>
      <c r="B37" s="80" t="s">
        <v>200</v>
      </c>
      <c r="C37" s="80"/>
      <c r="D37" s="80"/>
      <c r="E37" s="80" t="s">
        <v>201</v>
      </c>
      <c r="F37" s="80" t="s">
        <v>137</v>
      </c>
      <c r="G37" s="81" t="s">
        <v>138</v>
      </c>
      <c r="H37" s="80" t="s">
        <v>139</v>
      </c>
      <c r="I37" s="80" t="s">
        <v>113</v>
      </c>
      <c r="J37" s="80"/>
      <c r="K37" s="80" t="s">
        <v>194</v>
      </c>
      <c r="L37" s="82" t="s">
        <v>81</v>
      </c>
      <c r="M37" s="82" t="s">
        <v>81</v>
      </c>
      <c r="N37" s="83">
        <v>47280</v>
      </c>
      <c r="O37" s="83">
        <v>15160</v>
      </c>
      <c r="P37" s="84">
        <v>32120</v>
      </c>
      <c r="Q37" s="85">
        <v>45835</v>
      </c>
    </row>
    <row r="38" spans="1:17" ht="33.75" hidden="1">
      <c r="A38" s="79">
        <v>37</v>
      </c>
      <c r="B38" s="80" t="s">
        <v>202</v>
      </c>
      <c r="C38" s="80"/>
      <c r="D38" s="80"/>
      <c r="E38" s="80" t="s">
        <v>203</v>
      </c>
      <c r="F38" s="80" t="s">
        <v>132</v>
      </c>
      <c r="G38" s="81" t="s">
        <v>133</v>
      </c>
      <c r="H38" s="80" t="s">
        <v>134</v>
      </c>
      <c r="I38" s="80" t="s">
        <v>113</v>
      </c>
      <c r="J38" s="80"/>
      <c r="K38" s="80" t="s">
        <v>194</v>
      </c>
      <c r="L38" s="82" t="s">
        <v>81</v>
      </c>
      <c r="M38" s="82" t="s">
        <v>81</v>
      </c>
      <c r="N38" s="83">
        <v>45560</v>
      </c>
      <c r="O38" s="83">
        <v>14400</v>
      </c>
      <c r="P38" s="84">
        <v>31160</v>
      </c>
      <c r="Q38" s="85">
        <v>45835</v>
      </c>
    </row>
    <row r="39" spans="1:17" ht="22.5" hidden="1">
      <c r="A39" s="79">
        <v>38</v>
      </c>
      <c r="B39" s="80" t="s">
        <v>204</v>
      </c>
      <c r="C39" s="80"/>
      <c r="D39" s="80"/>
      <c r="E39" s="80" t="s">
        <v>205</v>
      </c>
      <c r="F39" s="80" t="s">
        <v>82</v>
      </c>
      <c r="G39" s="81" t="s">
        <v>83</v>
      </c>
      <c r="H39" s="80" t="s">
        <v>84</v>
      </c>
      <c r="I39" s="80" t="s">
        <v>113</v>
      </c>
      <c r="J39" s="80"/>
      <c r="K39" s="80" t="s">
        <v>194</v>
      </c>
      <c r="L39" s="82" t="s">
        <v>81</v>
      </c>
      <c r="M39" s="82" t="s">
        <v>81</v>
      </c>
      <c r="N39" s="83">
        <v>25540</v>
      </c>
      <c r="O39" s="83">
        <v>14100</v>
      </c>
      <c r="P39" s="84">
        <v>11440</v>
      </c>
      <c r="Q39" s="85">
        <v>45835</v>
      </c>
    </row>
    <row r="40" spans="1:17" ht="22.5" hidden="1">
      <c r="A40" s="79">
        <v>39</v>
      </c>
      <c r="B40" s="80" t="s">
        <v>206</v>
      </c>
      <c r="C40" s="80"/>
      <c r="D40" s="80"/>
      <c r="E40" s="80" t="s">
        <v>207</v>
      </c>
      <c r="F40" s="80" t="s">
        <v>78</v>
      </c>
      <c r="G40" s="81" t="s">
        <v>79</v>
      </c>
      <c r="H40" s="80" t="s">
        <v>80</v>
      </c>
      <c r="I40" s="80" t="s">
        <v>113</v>
      </c>
      <c r="J40" s="80"/>
      <c r="K40" s="80" t="s">
        <v>194</v>
      </c>
      <c r="L40" s="82" t="s">
        <v>81</v>
      </c>
      <c r="M40" s="82" t="s">
        <v>81</v>
      </c>
      <c r="N40" s="83">
        <v>38520</v>
      </c>
      <c r="O40" s="83">
        <v>14360</v>
      </c>
      <c r="P40" s="84">
        <v>24160</v>
      </c>
      <c r="Q40" s="85">
        <v>45835</v>
      </c>
    </row>
    <row r="41" spans="1:17" ht="33.75" hidden="1">
      <c r="A41" s="79">
        <v>40</v>
      </c>
      <c r="B41" s="80" t="s">
        <v>208</v>
      </c>
      <c r="C41" s="80"/>
      <c r="D41" s="80"/>
      <c r="E41" s="80" t="s">
        <v>209</v>
      </c>
      <c r="F41" s="80" t="s">
        <v>154</v>
      </c>
      <c r="G41" s="81" t="s">
        <v>155</v>
      </c>
      <c r="H41" s="80" t="s">
        <v>156</v>
      </c>
      <c r="I41" s="80" t="s">
        <v>113</v>
      </c>
      <c r="J41" s="80"/>
      <c r="K41" s="80" t="s">
        <v>194</v>
      </c>
      <c r="L41" s="82" t="s">
        <v>81</v>
      </c>
      <c r="M41" s="82" t="s">
        <v>81</v>
      </c>
      <c r="N41" s="83">
        <v>46280</v>
      </c>
      <c r="O41" s="83">
        <v>14700</v>
      </c>
      <c r="P41" s="84">
        <v>31580</v>
      </c>
      <c r="Q41" s="85">
        <v>45835</v>
      </c>
    </row>
    <row r="42" spans="1:17" ht="30.6" hidden="1" customHeight="1">
      <c r="A42" s="79">
        <v>41</v>
      </c>
      <c r="B42" s="80" t="s">
        <v>210</v>
      </c>
      <c r="C42" s="80"/>
      <c r="D42" s="80"/>
      <c r="E42" s="80" t="s">
        <v>211</v>
      </c>
      <c r="F42" s="80" t="s">
        <v>191</v>
      </c>
      <c r="G42" s="81" t="s">
        <v>192</v>
      </c>
      <c r="H42" s="80" t="s">
        <v>193</v>
      </c>
      <c r="I42" s="80" t="s">
        <v>113</v>
      </c>
      <c r="J42" s="80"/>
      <c r="K42" s="80" t="s">
        <v>194</v>
      </c>
      <c r="L42" s="82" t="s">
        <v>81</v>
      </c>
      <c r="M42" s="82" t="s">
        <v>81</v>
      </c>
      <c r="N42" s="83">
        <v>46500</v>
      </c>
      <c r="O42" s="83">
        <v>15300</v>
      </c>
      <c r="P42" s="84">
        <v>31200</v>
      </c>
      <c r="Q42" s="85">
        <v>45835</v>
      </c>
    </row>
    <row r="43" spans="1:17" ht="22.5" hidden="1">
      <c r="A43" s="79">
        <v>42</v>
      </c>
      <c r="B43" s="80" t="s">
        <v>212</v>
      </c>
      <c r="C43" s="80"/>
      <c r="D43" s="80"/>
      <c r="E43" s="80" t="s">
        <v>213</v>
      </c>
      <c r="F43" s="80" t="s">
        <v>137</v>
      </c>
      <c r="G43" s="81" t="s">
        <v>138</v>
      </c>
      <c r="H43" s="80" t="s">
        <v>139</v>
      </c>
      <c r="I43" s="80" t="s">
        <v>113</v>
      </c>
      <c r="J43" s="80"/>
      <c r="K43" s="80" t="s">
        <v>194</v>
      </c>
      <c r="L43" s="82" t="s">
        <v>81</v>
      </c>
      <c r="M43" s="82" t="s">
        <v>81</v>
      </c>
      <c r="N43" s="83">
        <v>46520</v>
      </c>
      <c r="O43" s="83">
        <v>15140</v>
      </c>
      <c r="P43" s="84">
        <v>31380</v>
      </c>
      <c r="Q43" s="85">
        <v>45835</v>
      </c>
    </row>
    <row r="44" spans="1:17" ht="22.5" hidden="1">
      <c r="A44" s="79">
        <v>43</v>
      </c>
      <c r="B44" s="80" t="s">
        <v>214</v>
      </c>
      <c r="C44" s="80"/>
      <c r="D44" s="80"/>
      <c r="E44" s="80" t="s">
        <v>215</v>
      </c>
      <c r="F44" s="80" t="s">
        <v>197</v>
      </c>
      <c r="G44" s="81" t="s">
        <v>198</v>
      </c>
      <c r="H44" s="80" t="s">
        <v>199</v>
      </c>
      <c r="I44" s="80" t="s">
        <v>113</v>
      </c>
      <c r="J44" s="80"/>
      <c r="K44" s="80" t="s">
        <v>194</v>
      </c>
      <c r="L44" s="82" t="s">
        <v>81</v>
      </c>
      <c r="M44" s="82" t="s">
        <v>81</v>
      </c>
      <c r="N44" s="83">
        <v>47420</v>
      </c>
      <c r="O44" s="83">
        <v>15800</v>
      </c>
      <c r="P44" s="84">
        <v>31620</v>
      </c>
      <c r="Q44" s="85">
        <v>45835</v>
      </c>
    </row>
    <row r="45" spans="1:17" ht="33.75" hidden="1">
      <c r="A45" s="79">
        <v>44</v>
      </c>
      <c r="B45" s="80" t="s">
        <v>216</v>
      </c>
      <c r="C45" s="80"/>
      <c r="D45" s="80"/>
      <c r="E45" s="80" t="s">
        <v>217</v>
      </c>
      <c r="F45" s="80" t="s">
        <v>132</v>
      </c>
      <c r="G45" s="81" t="s">
        <v>133</v>
      </c>
      <c r="H45" s="80" t="s">
        <v>134</v>
      </c>
      <c r="I45" s="80" t="s">
        <v>113</v>
      </c>
      <c r="J45" s="80"/>
      <c r="K45" s="80" t="s">
        <v>194</v>
      </c>
      <c r="L45" s="82" t="s">
        <v>81</v>
      </c>
      <c r="M45" s="82" t="s">
        <v>81</v>
      </c>
      <c r="N45" s="83">
        <v>46320</v>
      </c>
      <c r="O45" s="83">
        <v>14380</v>
      </c>
      <c r="P45" s="84">
        <v>31940</v>
      </c>
      <c r="Q45" s="85">
        <v>45835</v>
      </c>
    </row>
    <row r="46" spans="1:17" ht="22.5" hidden="1">
      <c r="A46" s="79">
        <v>45</v>
      </c>
      <c r="B46" s="80" t="s">
        <v>218</v>
      </c>
      <c r="C46" s="80"/>
      <c r="D46" s="80"/>
      <c r="E46" s="80" t="s">
        <v>219</v>
      </c>
      <c r="F46" s="80" t="s">
        <v>78</v>
      </c>
      <c r="G46" s="81" t="s">
        <v>79</v>
      </c>
      <c r="H46" s="80" t="s">
        <v>80</v>
      </c>
      <c r="I46" s="80" t="s">
        <v>113</v>
      </c>
      <c r="J46" s="80"/>
      <c r="K46" s="80" t="s">
        <v>194</v>
      </c>
      <c r="L46" s="82" t="s">
        <v>81</v>
      </c>
      <c r="M46" s="82" t="s">
        <v>81</v>
      </c>
      <c r="N46" s="83">
        <v>36940</v>
      </c>
      <c r="O46" s="83">
        <v>14340</v>
      </c>
      <c r="P46" s="84">
        <v>22600</v>
      </c>
      <c r="Q46" s="85">
        <v>45835</v>
      </c>
    </row>
    <row r="47" spans="1:17" ht="33.75" hidden="1">
      <c r="A47" s="79">
        <v>46</v>
      </c>
      <c r="B47" s="80" t="s">
        <v>220</v>
      </c>
      <c r="C47" s="80"/>
      <c r="D47" s="80"/>
      <c r="E47" s="80" t="s">
        <v>221</v>
      </c>
      <c r="F47" s="80" t="s">
        <v>154</v>
      </c>
      <c r="G47" s="81" t="s">
        <v>155</v>
      </c>
      <c r="H47" s="80" t="s">
        <v>156</v>
      </c>
      <c r="I47" s="80" t="s">
        <v>113</v>
      </c>
      <c r="J47" s="80"/>
      <c r="K47" s="80" t="s">
        <v>194</v>
      </c>
      <c r="L47" s="82" t="s">
        <v>81</v>
      </c>
      <c r="M47" s="82" t="s">
        <v>81</v>
      </c>
      <c r="N47" s="83">
        <v>46360</v>
      </c>
      <c r="O47" s="83">
        <v>14680</v>
      </c>
      <c r="P47" s="84">
        <v>31680</v>
      </c>
      <c r="Q47" s="85">
        <v>45835</v>
      </c>
    </row>
    <row r="48" spans="1:17" ht="30.6" hidden="1" customHeight="1">
      <c r="A48" s="79">
        <v>47</v>
      </c>
      <c r="B48" s="80" t="s">
        <v>222</v>
      </c>
      <c r="C48" s="80"/>
      <c r="D48" s="80"/>
      <c r="E48" s="80" t="s">
        <v>223</v>
      </c>
      <c r="F48" s="80" t="s">
        <v>191</v>
      </c>
      <c r="G48" s="81" t="s">
        <v>192</v>
      </c>
      <c r="H48" s="80" t="s">
        <v>193</v>
      </c>
      <c r="I48" s="80" t="s">
        <v>113</v>
      </c>
      <c r="J48" s="80"/>
      <c r="K48" s="80" t="s">
        <v>194</v>
      </c>
      <c r="L48" s="82" t="s">
        <v>81</v>
      </c>
      <c r="M48" s="82" t="s">
        <v>81</v>
      </c>
      <c r="N48" s="83">
        <v>47300</v>
      </c>
      <c r="O48" s="83">
        <v>15280</v>
      </c>
      <c r="P48" s="84">
        <v>32020</v>
      </c>
      <c r="Q48" s="85">
        <v>45835</v>
      </c>
    </row>
    <row r="49" spans="1:17" ht="22.5" hidden="1">
      <c r="A49" s="79">
        <v>48</v>
      </c>
      <c r="B49" s="80" t="s">
        <v>224</v>
      </c>
      <c r="C49" s="80"/>
      <c r="D49" s="80"/>
      <c r="E49" s="80" t="s">
        <v>225</v>
      </c>
      <c r="F49" s="80" t="s">
        <v>137</v>
      </c>
      <c r="G49" s="81" t="s">
        <v>138</v>
      </c>
      <c r="H49" s="80" t="s">
        <v>139</v>
      </c>
      <c r="I49" s="80" t="s">
        <v>113</v>
      </c>
      <c r="J49" s="80"/>
      <c r="K49" s="80" t="s">
        <v>194</v>
      </c>
      <c r="L49" s="82" t="s">
        <v>81</v>
      </c>
      <c r="M49" s="82" t="s">
        <v>81</v>
      </c>
      <c r="N49" s="83">
        <v>47140</v>
      </c>
      <c r="O49" s="83">
        <v>15120</v>
      </c>
      <c r="P49" s="84">
        <v>32020</v>
      </c>
      <c r="Q49" s="85">
        <v>45835</v>
      </c>
    </row>
    <row r="50" spans="1:17" ht="22.5" hidden="1">
      <c r="A50" s="79">
        <v>49</v>
      </c>
      <c r="B50" s="80" t="s">
        <v>226</v>
      </c>
      <c r="C50" s="80"/>
      <c r="D50" s="80"/>
      <c r="E50" s="80" t="s">
        <v>227</v>
      </c>
      <c r="F50" s="80" t="s">
        <v>197</v>
      </c>
      <c r="G50" s="81" t="s">
        <v>198</v>
      </c>
      <c r="H50" s="80" t="s">
        <v>199</v>
      </c>
      <c r="I50" s="80" t="s">
        <v>113</v>
      </c>
      <c r="J50" s="80"/>
      <c r="K50" s="80" t="s">
        <v>194</v>
      </c>
      <c r="L50" s="82" t="s">
        <v>81</v>
      </c>
      <c r="M50" s="82" t="s">
        <v>81</v>
      </c>
      <c r="N50" s="83">
        <v>47460</v>
      </c>
      <c r="O50" s="83">
        <v>15760</v>
      </c>
      <c r="P50" s="84">
        <v>31700</v>
      </c>
      <c r="Q50" s="85">
        <v>45835</v>
      </c>
    </row>
    <row r="51" spans="1:17" ht="22.5" hidden="1">
      <c r="A51" s="79">
        <v>50</v>
      </c>
      <c r="B51" s="80" t="s">
        <v>228</v>
      </c>
      <c r="C51" s="80"/>
      <c r="D51" s="80"/>
      <c r="E51" s="80" t="s">
        <v>229</v>
      </c>
      <c r="F51" s="80" t="s">
        <v>82</v>
      </c>
      <c r="G51" s="81" t="s">
        <v>83</v>
      </c>
      <c r="H51" s="80" t="s">
        <v>84</v>
      </c>
      <c r="I51" s="80" t="s">
        <v>113</v>
      </c>
      <c r="J51" s="80"/>
      <c r="K51" s="80" t="s">
        <v>230</v>
      </c>
      <c r="L51" s="82" t="s">
        <v>81</v>
      </c>
      <c r="M51" s="82" t="s">
        <v>81</v>
      </c>
      <c r="N51" s="83">
        <v>39080</v>
      </c>
      <c r="O51" s="83">
        <v>14100</v>
      </c>
      <c r="P51" s="84">
        <v>24980</v>
      </c>
      <c r="Q51" s="85">
        <v>45835</v>
      </c>
    </row>
    <row r="52" spans="1:17" ht="33.75" hidden="1">
      <c r="A52" s="79">
        <v>51</v>
      </c>
      <c r="B52" s="80" t="s">
        <v>231</v>
      </c>
      <c r="C52" s="80"/>
      <c r="D52" s="80"/>
      <c r="E52" s="80" t="s">
        <v>232</v>
      </c>
      <c r="F52" s="80" t="s">
        <v>132</v>
      </c>
      <c r="G52" s="81" t="s">
        <v>133</v>
      </c>
      <c r="H52" s="80" t="s">
        <v>134</v>
      </c>
      <c r="I52" s="80" t="s">
        <v>113</v>
      </c>
      <c r="J52" s="80"/>
      <c r="K52" s="80" t="s">
        <v>194</v>
      </c>
      <c r="L52" s="82" t="s">
        <v>81</v>
      </c>
      <c r="M52" s="82" t="s">
        <v>81</v>
      </c>
      <c r="N52" s="83">
        <v>46200</v>
      </c>
      <c r="O52" s="83">
        <v>14360</v>
      </c>
      <c r="P52" s="84">
        <v>31840</v>
      </c>
      <c r="Q52" s="85">
        <v>45835</v>
      </c>
    </row>
    <row r="53" spans="1:17" ht="22.5" hidden="1">
      <c r="A53" s="79">
        <v>52</v>
      </c>
      <c r="B53" s="80" t="s">
        <v>233</v>
      </c>
      <c r="C53" s="80"/>
      <c r="D53" s="80"/>
      <c r="E53" s="80" t="s">
        <v>234</v>
      </c>
      <c r="F53" s="80" t="s">
        <v>78</v>
      </c>
      <c r="G53" s="81" t="s">
        <v>79</v>
      </c>
      <c r="H53" s="80" t="s">
        <v>80</v>
      </c>
      <c r="I53" s="80" t="s">
        <v>113</v>
      </c>
      <c r="J53" s="80"/>
      <c r="K53" s="80" t="s">
        <v>194</v>
      </c>
      <c r="L53" s="82" t="s">
        <v>81</v>
      </c>
      <c r="M53" s="82" t="s">
        <v>81</v>
      </c>
      <c r="N53" s="83">
        <v>37620</v>
      </c>
      <c r="O53" s="83">
        <v>14340</v>
      </c>
      <c r="P53" s="84">
        <v>23280</v>
      </c>
      <c r="Q53" s="85">
        <v>45835</v>
      </c>
    </row>
    <row r="54" spans="1:17" ht="33.75" hidden="1">
      <c r="A54" s="79">
        <v>53</v>
      </c>
      <c r="B54" s="80" t="s">
        <v>235</v>
      </c>
      <c r="C54" s="80"/>
      <c r="D54" s="80"/>
      <c r="E54" s="80" t="s">
        <v>236</v>
      </c>
      <c r="F54" s="80" t="s">
        <v>154</v>
      </c>
      <c r="G54" s="81" t="s">
        <v>155</v>
      </c>
      <c r="H54" s="80" t="s">
        <v>156</v>
      </c>
      <c r="I54" s="80" t="s">
        <v>113</v>
      </c>
      <c r="J54" s="80"/>
      <c r="K54" s="80" t="s">
        <v>194</v>
      </c>
      <c r="L54" s="82" t="s">
        <v>81</v>
      </c>
      <c r="M54" s="82" t="s">
        <v>81</v>
      </c>
      <c r="N54" s="83">
        <v>46180</v>
      </c>
      <c r="O54" s="83">
        <v>14660</v>
      </c>
      <c r="P54" s="84">
        <v>31520</v>
      </c>
      <c r="Q54" s="85">
        <v>45835</v>
      </c>
    </row>
    <row r="55" spans="1:17" ht="30.6" hidden="1" customHeight="1">
      <c r="A55" s="79">
        <v>54</v>
      </c>
      <c r="B55" s="80" t="s">
        <v>237</v>
      </c>
      <c r="C55" s="80"/>
      <c r="D55" s="80"/>
      <c r="E55" s="80" t="s">
        <v>238</v>
      </c>
      <c r="F55" s="80" t="s">
        <v>191</v>
      </c>
      <c r="G55" s="81" t="s">
        <v>192</v>
      </c>
      <c r="H55" s="80" t="s">
        <v>193</v>
      </c>
      <c r="I55" s="80" t="s">
        <v>113</v>
      </c>
      <c r="J55" s="80"/>
      <c r="K55" s="80" t="s">
        <v>194</v>
      </c>
      <c r="L55" s="82" t="s">
        <v>81</v>
      </c>
      <c r="M55" s="82" t="s">
        <v>81</v>
      </c>
      <c r="N55" s="83">
        <v>47160</v>
      </c>
      <c r="O55" s="83">
        <v>15280</v>
      </c>
      <c r="P55" s="84">
        <v>31880</v>
      </c>
      <c r="Q55" s="85">
        <v>45835</v>
      </c>
    </row>
    <row r="56" spans="1:17" ht="22.5" hidden="1">
      <c r="A56" s="79">
        <v>55</v>
      </c>
      <c r="B56" s="80" t="s">
        <v>239</v>
      </c>
      <c r="C56" s="80"/>
      <c r="D56" s="80"/>
      <c r="E56" s="80" t="s">
        <v>240</v>
      </c>
      <c r="F56" s="80" t="s">
        <v>241</v>
      </c>
      <c r="G56" s="81" t="s">
        <v>242</v>
      </c>
      <c r="H56" s="80" t="s">
        <v>243</v>
      </c>
      <c r="I56" s="80" t="s">
        <v>113</v>
      </c>
      <c r="J56" s="80"/>
      <c r="K56" s="80" t="s">
        <v>194</v>
      </c>
      <c r="L56" s="82" t="s">
        <v>81</v>
      </c>
      <c r="M56" s="82" t="s">
        <v>81</v>
      </c>
      <c r="N56" s="83">
        <v>46500</v>
      </c>
      <c r="O56" s="83">
        <v>15120</v>
      </c>
      <c r="P56" s="84">
        <v>31380</v>
      </c>
      <c r="Q56" s="85">
        <v>45835</v>
      </c>
    </row>
    <row r="57" spans="1:17" ht="22.5" hidden="1">
      <c r="A57" s="79">
        <v>56</v>
      </c>
      <c r="B57" s="80" t="s">
        <v>244</v>
      </c>
      <c r="C57" s="80"/>
      <c r="D57" s="80"/>
      <c r="E57" s="80" t="s">
        <v>245</v>
      </c>
      <c r="F57" s="80" t="s">
        <v>137</v>
      </c>
      <c r="G57" s="81" t="s">
        <v>138</v>
      </c>
      <c r="H57" s="80" t="s">
        <v>139</v>
      </c>
      <c r="I57" s="80" t="s">
        <v>113</v>
      </c>
      <c r="J57" s="80"/>
      <c r="K57" s="80" t="s">
        <v>194</v>
      </c>
      <c r="L57" s="82" t="s">
        <v>81</v>
      </c>
      <c r="M57" s="82" t="s">
        <v>81</v>
      </c>
      <c r="N57" s="83">
        <v>46820</v>
      </c>
      <c r="O57" s="83">
        <v>15100</v>
      </c>
      <c r="P57" s="84">
        <v>31720</v>
      </c>
      <c r="Q57" s="85">
        <v>45835</v>
      </c>
    </row>
    <row r="58" spans="1:17" ht="22.5" hidden="1">
      <c r="A58" s="79">
        <v>57</v>
      </c>
      <c r="B58" s="80" t="s">
        <v>246</v>
      </c>
      <c r="C58" s="80"/>
      <c r="D58" s="80"/>
      <c r="E58" s="80" t="s">
        <v>247</v>
      </c>
      <c r="F58" s="80" t="s">
        <v>82</v>
      </c>
      <c r="G58" s="81" t="s">
        <v>83</v>
      </c>
      <c r="H58" s="80" t="s">
        <v>84</v>
      </c>
      <c r="I58" s="80" t="s">
        <v>113</v>
      </c>
      <c r="J58" s="80"/>
      <c r="K58" s="80" t="s">
        <v>230</v>
      </c>
      <c r="L58" s="82" t="s">
        <v>81</v>
      </c>
      <c r="M58" s="82" t="s">
        <v>81</v>
      </c>
      <c r="N58" s="83">
        <v>39000</v>
      </c>
      <c r="O58" s="83">
        <v>14100</v>
      </c>
      <c r="P58" s="84">
        <v>24900</v>
      </c>
      <c r="Q58" s="85">
        <v>45835</v>
      </c>
    </row>
    <row r="59" spans="1:17" ht="22.5" hidden="1">
      <c r="A59" s="79">
        <v>58</v>
      </c>
      <c r="B59" s="80" t="s">
        <v>248</v>
      </c>
      <c r="C59" s="80"/>
      <c r="D59" s="80"/>
      <c r="E59" s="80" t="s">
        <v>249</v>
      </c>
      <c r="F59" s="80" t="s">
        <v>197</v>
      </c>
      <c r="G59" s="81" t="s">
        <v>198</v>
      </c>
      <c r="H59" s="80" t="s">
        <v>199</v>
      </c>
      <c r="I59" s="80" t="s">
        <v>113</v>
      </c>
      <c r="J59" s="80"/>
      <c r="K59" s="80" t="s">
        <v>194</v>
      </c>
      <c r="L59" s="82" t="s">
        <v>81</v>
      </c>
      <c r="M59" s="82" t="s">
        <v>81</v>
      </c>
      <c r="N59" s="83">
        <v>47620</v>
      </c>
      <c r="O59" s="83">
        <v>15760</v>
      </c>
      <c r="P59" s="84">
        <v>31860</v>
      </c>
      <c r="Q59" s="85">
        <v>45835</v>
      </c>
    </row>
    <row r="60" spans="1:17" ht="33.75" hidden="1">
      <c r="A60" s="79">
        <v>59</v>
      </c>
      <c r="B60" s="80" t="s">
        <v>250</v>
      </c>
      <c r="C60" s="80"/>
      <c r="D60" s="80"/>
      <c r="E60" s="80" t="s">
        <v>251</v>
      </c>
      <c r="F60" s="80" t="s">
        <v>132</v>
      </c>
      <c r="G60" s="81" t="s">
        <v>133</v>
      </c>
      <c r="H60" s="80" t="s">
        <v>134</v>
      </c>
      <c r="I60" s="80" t="s">
        <v>113</v>
      </c>
      <c r="J60" s="80"/>
      <c r="K60" s="80" t="s">
        <v>194</v>
      </c>
      <c r="L60" s="82" t="s">
        <v>81</v>
      </c>
      <c r="M60" s="82" t="s">
        <v>81</v>
      </c>
      <c r="N60" s="83">
        <v>45900</v>
      </c>
      <c r="O60" s="83">
        <v>14360</v>
      </c>
      <c r="P60" s="84">
        <v>31540</v>
      </c>
      <c r="Q60" s="85">
        <v>45835</v>
      </c>
    </row>
    <row r="61" spans="1:17" ht="22.5" hidden="1">
      <c r="A61" s="79">
        <v>60</v>
      </c>
      <c r="B61" s="80" t="s">
        <v>252</v>
      </c>
      <c r="C61" s="80"/>
      <c r="D61" s="80"/>
      <c r="E61" s="80" t="s">
        <v>253</v>
      </c>
      <c r="F61" s="80" t="s">
        <v>78</v>
      </c>
      <c r="G61" s="81" t="s">
        <v>79</v>
      </c>
      <c r="H61" s="80" t="s">
        <v>80</v>
      </c>
      <c r="I61" s="80" t="s">
        <v>113</v>
      </c>
      <c r="J61" s="80"/>
      <c r="K61" s="80" t="s">
        <v>194</v>
      </c>
      <c r="L61" s="82" t="s">
        <v>81</v>
      </c>
      <c r="M61" s="82" t="s">
        <v>81</v>
      </c>
      <c r="N61" s="83">
        <v>42960</v>
      </c>
      <c r="O61" s="83">
        <v>14320</v>
      </c>
      <c r="P61" s="84">
        <v>28640</v>
      </c>
      <c r="Q61" s="85">
        <v>45835</v>
      </c>
    </row>
    <row r="62" spans="1:17" ht="33.75" hidden="1">
      <c r="A62" s="79">
        <v>61</v>
      </c>
      <c r="B62" s="80" t="s">
        <v>254</v>
      </c>
      <c r="C62" s="80"/>
      <c r="D62" s="80"/>
      <c r="E62" s="80" t="s">
        <v>255</v>
      </c>
      <c r="F62" s="80" t="s">
        <v>154</v>
      </c>
      <c r="G62" s="81" t="s">
        <v>155</v>
      </c>
      <c r="H62" s="80" t="s">
        <v>156</v>
      </c>
      <c r="I62" s="80" t="s">
        <v>113</v>
      </c>
      <c r="J62" s="80"/>
      <c r="K62" s="80" t="s">
        <v>194</v>
      </c>
      <c r="L62" s="82" t="s">
        <v>81</v>
      </c>
      <c r="M62" s="82" t="s">
        <v>81</v>
      </c>
      <c r="N62" s="83">
        <v>44280</v>
      </c>
      <c r="O62" s="83">
        <v>14640</v>
      </c>
      <c r="P62" s="84">
        <v>29640</v>
      </c>
      <c r="Q62" s="85">
        <v>45835</v>
      </c>
    </row>
    <row r="63" spans="1:17" ht="22.5" hidden="1">
      <c r="A63" s="79">
        <v>62</v>
      </c>
      <c r="B63" s="80" t="s">
        <v>256</v>
      </c>
      <c r="C63" s="80"/>
      <c r="D63" s="80"/>
      <c r="E63" s="80" t="s">
        <v>257</v>
      </c>
      <c r="F63" s="80" t="s">
        <v>241</v>
      </c>
      <c r="G63" s="81" t="s">
        <v>242</v>
      </c>
      <c r="H63" s="80" t="s">
        <v>243</v>
      </c>
      <c r="I63" s="80" t="s">
        <v>113</v>
      </c>
      <c r="J63" s="80"/>
      <c r="K63" s="80" t="s">
        <v>194</v>
      </c>
      <c r="L63" s="82" t="s">
        <v>81</v>
      </c>
      <c r="M63" s="82" t="s">
        <v>81</v>
      </c>
      <c r="N63" s="83">
        <v>39180</v>
      </c>
      <c r="O63" s="83">
        <v>15100</v>
      </c>
      <c r="P63" s="84">
        <v>24080</v>
      </c>
      <c r="Q63" s="85">
        <v>45835</v>
      </c>
    </row>
    <row r="64" spans="1:17" ht="22.5" hidden="1">
      <c r="A64" s="79">
        <v>63</v>
      </c>
      <c r="B64" s="80" t="s">
        <v>258</v>
      </c>
      <c r="C64" s="80"/>
      <c r="D64" s="80"/>
      <c r="E64" s="80" t="s">
        <v>259</v>
      </c>
      <c r="F64" s="80" t="s">
        <v>82</v>
      </c>
      <c r="G64" s="81" t="s">
        <v>83</v>
      </c>
      <c r="H64" s="80" t="s">
        <v>84</v>
      </c>
      <c r="I64" s="80" t="s">
        <v>113</v>
      </c>
      <c r="J64" s="80"/>
      <c r="K64" s="80" t="s">
        <v>230</v>
      </c>
      <c r="L64" s="82" t="s">
        <v>81</v>
      </c>
      <c r="M64" s="82" t="s">
        <v>81</v>
      </c>
      <c r="N64" s="83">
        <v>40300</v>
      </c>
      <c r="O64" s="83">
        <v>14080</v>
      </c>
      <c r="P64" s="84">
        <v>26220</v>
      </c>
      <c r="Q64" s="85">
        <v>45835</v>
      </c>
    </row>
    <row r="65" spans="1:17" ht="30.6" hidden="1" customHeight="1">
      <c r="A65" s="79">
        <v>64</v>
      </c>
      <c r="B65" s="80" t="s">
        <v>260</v>
      </c>
      <c r="C65" s="80"/>
      <c r="D65" s="80"/>
      <c r="E65" s="80" t="s">
        <v>261</v>
      </c>
      <c r="F65" s="80" t="s">
        <v>191</v>
      </c>
      <c r="G65" s="81" t="s">
        <v>192</v>
      </c>
      <c r="H65" s="80" t="s">
        <v>193</v>
      </c>
      <c r="I65" s="80" t="s">
        <v>113</v>
      </c>
      <c r="J65" s="80"/>
      <c r="K65" s="80" t="s">
        <v>262</v>
      </c>
      <c r="L65" s="82" t="s">
        <v>81</v>
      </c>
      <c r="M65" s="82" t="s">
        <v>81</v>
      </c>
      <c r="N65" s="83">
        <v>46560</v>
      </c>
      <c r="O65" s="83">
        <v>15260</v>
      </c>
      <c r="P65" s="84">
        <v>31300</v>
      </c>
      <c r="Q65" s="85">
        <v>45835</v>
      </c>
    </row>
    <row r="66" spans="1:17" ht="22.5" hidden="1">
      <c r="A66" s="79">
        <v>65</v>
      </c>
      <c r="B66" s="80" t="s">
        <v>263</v>
      </c>
      <c r="C66" s="80"/>
      <c r="D66" s="80"/>
      <c r="E66" s="80" t="s">
        <v>264</v>
      </c>
      <c r="F66" s="80" t="s">
        <v>137</v>
      </c>
      <c r="G66" s="81" t="s">
        <v>138</v>
      </c>
      <c r="H66" s="80" t="s">
        <v>139</v>
      </c>
      <c r="I66" s="80" t="s">
        <v>113</v>
      </c>
      <c r="J66" s="80"/>
      <c r="K66" s="80" t="s">
        <v>262</v>
      </c>
      <c r="L66" s="82" t="s">
        <v>81</v>
      </c>
      <c r="M66" s="82" t="s">
        <v>81</v>
      </c>
      <c r="N66" s="83">
        <v>46880</v>
      </c>
      <c r="O66" s="83">
        <v>15100</v>
      </c>
      <c r="P66" s="84">
        <v>31780</v>
      </c>
      <c r="Q66" s="85">
        <v>45835</v>
      </c>
    </row>
    <row r="67" spans="1:17" ht="22.5" hidden="1">
      <c r="A67" s="79">
        <v>66</v>
      </c>
      <c r="B67" s="80" t="s">
        <v>265</v>
      </c>
      <c r="C67" s="80"/>
      <c r="D67" s="80"/>
      <c r="E67" s="80" t="s">
        <v>266</v>
      </c>
      <c r="F67" s="80" t="s">
        <v>197</v>
      </c>
      <c r="G67" s="81" t="s">
        <v>198</v>
      </c>
      <c r="H67" s="80" t="s">
        <v>199</v>
      </c>
      <c r="I67" s="80" t="s">
        <v>113</v>
      </c>
      <c r="J67" s="80"/>
      <c r="K67" s="80" t="s">
        <v>262</v>
      </c>
      <c r="L67" s="82" t="s">
        <v>81</v>
      </c>
      <c r="M67" s="82" t="s">
        <v>81</v>
      </c>
      <c r="N67" s="83">
        <v>47380</v>
      </c>
      <c r="O67" s="83">
        <v>15720</v>
      </c>
      <c r="P67" s="84">
        <v>31660</v>
      </c>
      <c r="Q67" s="85">
        <v>45835</v>
      </c>
    </row>
    <row r="68" spans="1:17" ht="33.75" hidden="1">
      <c r="A68" s="79">
        <v>67</v>
      </c>
      <c r="B68" s="80" t="s">
        <v>267</v>
      </c>
      <c r="C68" s="80"/>
      <c r="D68" s="80"/>
      <c r="E68" s="80" t="s">
        <v>268</v>
      </c>
      <c r="F68" s="80" t="s">
        <v>132</v>
      </c>
      <c r="G68" s="81" t="s">
        <v>133</v>
      </c>
      <c r="H68" s="80" t="s">
        <v>134</v>
      </c>
      <c r="I68" s="80" t="s">
        <v>113</v>
      </c>
      <c r="J68" s="80"/>
      <c r="K68" s="80" t="s">
        <v>262</v>
      </c>
      <c r="L68" s="82" t="s">
        <v>81</v>
      </c>
      <c r="M68" s="82" t="s">
        <v>81</v>
      </c>
      <c r="N68" s="83">
        <v>45920</v>
      </c>
      <c r="O68" s="83">
        <v>14460</v>
      </c>
      <c r="P68" s="84">
        <v>31460</v>
      </c>
      <c r="Q68" s="85">
        <v>45835</v>
      </c>
    </row>
    <row r="69" spans="1:17" ht="22.5" hidden="1">
      <c r="A69" s="79">
        <v>68</v>
      </c>
      <c r="B69" s="80" t="s">
        <v>269</v>
      </c>
      <c r="C69" s="80"/>
      <c r="D69" s="80"/>
      <c r="E69" s="80" t="s">
        <v>270</v>
      </c>
      <c r="F69" s="80" t="s">
        <v>78</v>
      </c>
      <c r="G69" s="81" t="s">
        <v>79</v>
      </c>
      <c r="H69" s="80" t="s">
        <v>80</v>
      </c>
      <c r="I69" s="80" t="s">
        <v>113</v>
      </c>
      <c r="J69" s="80"/>
      <c r="K69" s="80" t="s">
        <v>262</v>
      </c>
      <c r="L69" s="82" t="s">
        <v>81</v>
      </c>
      <c r="M69" s="82" t="s">
        <v>81</v>
      </c>
      <c r="N69" s="83">
        <v>38040</v>
      </c>
      <c r="O69" s="83">
        <v>14320</v>
      </c>
      <c r="P69" s="84">
        <v>23720</v>
      </c>
      <c r="Q69" s="85">
        <v>45835</v>
      </c>
    </row>
    <row r="70" spans="1:17" ht="33.75" hidden="1">
      <c r="A70" s="79">
        <v>69</v>
      </c>
      <c r="B70" s="80" t="s">
        <v>271</v>
      </c>
      <c r="C70" s="80"/>
      <c r="D70" s="80"/>
      <c r="E70" s="80" t="s">
        <v>272</v>
      </c>
      <c r="F70" s="80" t="s">
        <v>154</v>
      </c>
      <c r="G70" s="81" t="s">
        <v>155</v>
      </c>
      <c r="H70" s="80" t="s">
        <v>156</v>
      </c>
      <c r="I70" s="80" t="s">
        <v>113</v>
      </c>
      <c r="J70" s="80"/>
      <c r="K70" s="80" t="s">
        <v>262</v>
      </c>
      <c r="L70" s="82" t="s">
        <v>81</v>
      </c>
      <c r="M70" s="82" t="s">
        <v>81</v>
      </c>
      <c r="N70" s="83">
        <v>45900</v>
      </c>
      <c r="O70" s="83">
        <v>14640</v>
      </c>
      <c r="P70" s="84">
        <v>31260</v>
      </c>
      <c r="Q70" s="85">
        <v>45835</v>
      </c>
    </row>
    <row r="71" spans="1:17" ht="22.5" hidden="1">
      <c r="A71" s="79">
        <v>70</v>
      </c>
      <c r="B71" s="80" t="s">
        <v>273</v>
      </c>
      <c r="C71" s="80"/>
      <c r="D71" s="80"/>
      <c r="E71" s="80" t="s">
        <v>274</v>
      </c>
      <c r="F71" s="80" t="s">
        <v>241</v>
      </c>
      <c r="G71" s="81" t="s">
        <v>242</v>
      </c>
      <c r="H71" s="80" t="s">
        <v>243</v>
      </c>
      <c r="I71" s="80" t="s">
        <v>113</v>
      </c>
      <c r="J71" s="80"/>
      <c r="K71" s="80" t="s">
        <v>262</v>
      </c>
      <c r="L71" s="82" t="s">
        <v>81</v>
      </c>
      <c r="M71" s="82" t="s">
        <v>81</v>
      </c>
      <c r="N71" s="83">
        <v>46920</v>
      </c>
      <c r="O71" s="83">
        <v>15080</v>
      </c>
      <c r="P71" s="84">
        <v>31840</v>
      </c>
      <c r="Q71" s="85">
        <v>45835</v>
      </c>
    </row>
    <row r="72" spans="1:17" ht="22.5" hidden="1">
      <c r="A72" s="79">
        <v>71</v>
      </c>
      <c r="B72" s="80" t="s">
        <v>275</v>
      </c>
      <c r="C72" s="80"/>
      <c r="D72" s="80"/>
      <c r="E72" s="80" t="s">
        <v>276</v>
      </c>
      <c r="F72" s="80" t="s">
        <v>137</v>
      </c>
      <c r="G72" s="81" t="s">
        <v>138</v>
      </c>
      <c r="H72" s="80" t="s">
        <v>139</v>
      </c>
      <c r="I72" s="80" t="s">
        <v>113</v>
      </c>
      <c r="J72" s="80"/>
      <c r="K72" s="80" t="s">
        <v>262</v>
      </c>
      <c r="L72" s="82" t="s">
        <v>81</v>
      </c>
      <c r="M72" s="82" t="s">
        <v>81</v>
      </c>
      <c r="N72" s="83">
        <v>46500</v>
      </c>
      <c r="O72" s="83">
        <v>15080</v>
      </c>
      <c r="P72" s="84">
        <v>31420</v>
      </c>
      <c r="Q72" s="85">
        <v>45835</v>
      </c>
    </row>
    <row r="73" spans="1:17" ht="22.5" hidden="1">
      <c r="A73" s="79">
        <v>72</v>
      </c>
      <c r="B73" s="80" t="s">
        <v>277</v>
      </c>
      <c r="C73" s="80"/>
      <c r="D73" s="80"/>
      <c r="E73" s="80" t="s">
        <v>278</v>
      </c>
      <c r="F73" s="80" t="s">
        <v>82</v>
      </c>
      <c r="G73" s="81" t="s">
        <v>83</v>
      </c>
      <c r="H73" s="80" t="s">
        <v>84</v>
      </c>
      <c r="I73" s="80" t="s">
        <v>113</v>
      </c>
      <c r="J73" s="80"/>
      <c r="K73" s="80" t="s">
        <v>262</v>
      </c>
      <c r="L73" s="82" t="s">
        <v>81</v>
      </c>
      <c r="M73" s="82" t="s">
        <v>81</v>
      </c>
      <c r="N73" s="83">
        <v>42060</v>
      </c>
      <c r="O73" s="83">
        <v>14180</v>
      </c>
      <c r="P73" s="84">
        <v>27880</v>
      </c>
      <c r="Q73" s="85">
        <v>45835</v>
      </c>
    </row>
    <row r="74" spans="1:17" ht="30.6" hidden="1" customHeight="1">
      <c r="A74" s="79">
        <v>73</v>
      </c>
      <c r="B74" s="80" t="s">
        <v>279</v>
      </c>
      <c r="C74" s="80"/>
      <c r="D74" s="80"/>
      <c r="E74" s="80" t="s">
        <v>280</v>
      </c>
      <c r="F74" s="80" t="s">
        <v>191</v>
      </c>
      <c r="G74" s="81" t="s">
        <v>192</v>
      </c>
      <c r="H74" s="80" t="s">
        <v>193</v>
      </c>
      <c r="I74" s="80" t="s">
        <v>113</v>
      </c>
      <c r="J74" s="80"/>
      <c r="K74" s="80" t="s">
        <v>262</v>
      </c>
      <c r="L74" s="82" t="s">
        <v>81</v>
      </c>
      <c r="M74" s="82" t="s">
        <v>81</v>
      </c>
      <c r="N74" s="83">
        <v>46940</v>
      </c>
      <c r="O74" s="83">
        <v>15280</v>
      </c>
      <c r="P74" s="84">
        <v>31660</v>
      </c>
      <c r="Q74" s="85">
        <v>45835</v>
      </c>
    </row>
    <row r="75" spans="1:17" ht="22.5" hidden="1">
      <c r="A75" s="79">
        <v>74</v>
      </c>
      <c r="B75" s="80" t="s">
        <v>281</v>
      </c>
      <c r="C75" s="80"/>
      <c r="D75" s="80"/>
      <c r="E75" s="80" t="s">
        <v>282</v>
      </c>
      <c r="F75" s="80" t="s">
        <v>197</v>
      </c>
      <c r="G75" s="81" t="s">
        <v>198</v>
      </c>
      <c r="H75" s="80" t="s">
        <v>199</v>
      </c>
      <c r="I75" s="80" t="s">
        <v>113</v>
      </c>
      <c r="J75" s="80"/>
      <c r="K75" s="80" t="s">
        <v>262</v>
      </c>
      <c r="L75" s="82" t="s">
        <v>81</v>
      </c>
      <c r="M75" s="82" t="s">
        <v>81</v>
      </c>
      <c r="N75" s="83">
        <v>51500</v>
      </c>
      <c r="O75" s="83">
        <v>15700</v>
      </c>
      <c r="P75" s="84">
        <v>35800</v>
      </c>
      <c r="Q75" s="85">
        <v>45835</v>
      </c>
    </row>
    <row r="76" spans="1:17" ht="33.75" hidden="1">
      <c r="A76" s="79">
        <v>75</v>
      </c>
      <c r="B76" s="80" t="s">
        <v>283</v>
      </c>
      <c r="C76" s="80"/>
      <c r="D76" s="80"/>
      <c r="E76" s="80" t="s">
        <v>284</v>
      </c>
      <c r="F76" s="80" t="s">
        <v>132</v>
      </c>
      <c r="G76" s="81" t="s">
        <v>133</v>
      </c>
      <c r="H76" s="80" t="s">
        <v>134</v>
      </c>
      <c r="I76" s="80" t="s">
        <v>113</v>
      </c>
      <c r="J76" s="80"/>
      <c r="K76" s="80" t="s">
        <v>285</v>
      </c>
      <c r="L76" s="82" t="s">
        <v>81</v>
      </c>
      <c r="M76" s="82" t="s">
        <v>81</v>
      </c>
      <c r="N76" s="83">
        <v>45580</v>
      </c>
      <c r="O76" s="83">
        <v>14440</v>
      </c>
      <c r="P76" s="84">
        <v>31140</v>
      </c>
      <c r="Q76" s="85">
        <v>45835</v>
      </c>
    </row>
    <row r="77" spans="1:17" ht="22.5" hidden="1">
      <c r="A77" s="79">
        <v>76</v>
      </c>
      <c r="B77" s="80" t="s">
        <v>286</v>
      </c>
      <c r="C77" s="80"/>
      <c r="D77" s="80"/>
      <c r="E77" s="80" t="s">
        <v>287</v>
      </c>
      <c r="F77" s="80" t="s">
        <v>241</v>
      </c>
      <c r="G77" s="81" t="s">
        <v>242</v>
      </c>
      <c r="H77" s="80" t="s">
        <v>243</v>
      </c>
      <c r="I77" s="80" t="s">
        <v>113</v>
      </c>
      <c r="J77" s="80"/>
      <c r="K77" s="80" t="s">
        <v>285</v>
      </c>
      <c r="L77" s="82" t="s">
        <v>81</v>
      </c>
      <c r="M77" s="82" t="s">
        <v>81</v>
      </c>
      <c r="N77" s="83">
        <v>43120</v>
      </c>
      <c r="O77" s="83">
        <v>15060</v>
      </c>
      <c r="P77" s="84">
        <v>28060</v>
      </c>
      <c r="Q77" s="85">
        <v>45835</v>
      </c>
    </row>
    <row r="78" spans="1:17" ht="22.5" hidden="1">
      <c r="A78" s="79">
        <v>77</v>
      </c>
      <c r="B78" s="80" t="s">
        <v>288</v>
      </c>
      <c r="C78" s="80"/>
      <c r="D78" s="80"/>
      <c r="E78" s="80" t="s">
        <v>289</v>
      </c>
      <c r="F78" s="80" t="s">
        <v>197</v>
      </c>
      <c r="G78" s="81" t="s">
        <v>198</v>
      </c>
      <c r="H78" s="80" t="s">
        <v>199</v>
      </c>
      <c r="I78" s="80" t="s">
        <v>113</v>
      </c>
      <c r="J78" s="80"/>
      <c r="K78" s="80" t="s">
        <v>285</v>
      </c>
      <c r="L78" s="82" t="s">
        <v>81</v>
      </c>
      <c r="M78" s="82" t="s">
        <v>81</v>
      </c>
      <c r="N78" s="83">
        <v>46160</v>
      </c>
      <c r="O78" s="83">
        <v>15700</v>
      </c>
      <c r="P78" s="84">
        <v>30460</v>
      </c>
      <c r="Q78" s="85">
        <v>45835</v>
      </c>
    </row>
    <row r="79" spans="1:17" ht="33.75" hidden="1">
      <c r="A79" s="79">
        <v>78</v>
      </c>
      <c r="B79" s="80" t="s">
        <v>290</v>
      </c>
      <c r="C79" s="80"/>
      <c r="D79" s="80"/>
      <c r="E79" s="80" t="s">
        <v>291</v>
      </c>
      <c r="F79" s="80" t="s">
        <v>154</v>
      </c>
      <c r="G79" s="81" t="s">
        <v>155</v>
      </c>
      <c r="H79" s="80" t="s">
        <v>156</v>
      </c>
      <c r="I79" s="80" t="s">
        <v>113</v>
      </c>
      <c r="J79" s="80"/>
      <c r="K79" s="80" t="s">
        <v>285</v>
      </c>
      <c r="L79" s="82" t="s">
        <v>81</v>
      </c>
      <c r="M79" s="82" t="s">
        <v>81</v>
      </c>
      <c r="N79" s="83">
        <v>43940</v>
      </c>
      <c r="O79" s="83">
        <v>14640</v>
      </c>
      <c r="P79" s="84">
        <v>29300</v>
      </c>
      <c r="Q79" s="85">
        <v>45835</v>
      </c>
    </row>
    <row r="80" spans="1:17" ht="22.5" hidden="1">
      <c r="A80" s="79">
        <v>79</v>
      </c>
      <c r="B80" s="80" t="s">
        <v>292</v>
      </c>
      <c r="C80" s="80"/>
      <c r="D80" s="80"/>
      <c r="E80" s="80" t="s">
        <v>293</v>
      </c>
      <c r="F80" s="80" t="s">
        <v>137</v>
      </c>
      <c r="G80" s="81" t="s">
        <v>138</v>
      </c>
      <c r="H80" s="80" t="s">
        <v>139</v>
      </c>
      <c r="I80" s="80" t="s">
        <v>113</v>
      </c>
      <c r="J80" s="80"/>
      <c r="K80" s="80" t="s">
        <v>285</v>
      </c>
      <c r="L80" s="82" t="s">
        <v>81</v>
      </c>
      <c r="M80" s="82" t="s">
        <v>81</v>
      </c>
      <c r="N80" s="83">
        <v>46300</v>
      </c>
      <c r="O80" s="83">
        <v>15060</v>
      </c>
      <c r="P80" s="84">
        <v>31240</v>
      </c>
      <c r="Q80" s="85">
        <v>45835</v>
      </c>
    </row>
    <row r="81" spans="1:17" ht="30.6" hidden="1" customHeight="1">
      <c r="A81" s="79">
        <v>80</v>
      </c>
      <c r="B81" s="80" t="s">
        <v>294</v>
      </c>
      <c r="C81" s="80"/>
      <c r="D81" s="80"/>
      <c r="E81" s="80" t="s">
        <v>295</v>
      </c>
      <c r="F81" s="80" t="s">
        <v>191</v>
      </c>
      <c r="G81" s="81" t="s">
        <v>192</v>
      </c>
      <c r="H81" s="80" t="s">
        <v>193</v>
      </c>
      <c r="I81" s="80" t="s">
        <v>113</v>
      </c>
      <c r="J81" s="80"/>
      <c r="K81" s="80" t="s">
        <v>285</v>
      </c>
      <c r="L81" s="82" t="s">
        <v>81</v>
      </c>
      <c r="M81" s="82" t="s">
        <v>81</v>
      </c>
      <c r="N81" s="83">
        <v>44800</v>
      </c>
      <c r="O81" s="83">
        <v>15500</v>
      </c>
      <c r="P81" s="84">
        <v>29300</v>
      </c>
      <c r="Q81" s="85">
        <v>45835</v>
      </c>
    </row>
    <row r="82" spans="1:17" ht="33.75" hidden="1">
      <c r="A82" s="79">
        <v>81</v>
      </c>
      <c r="B82" s="80" t="s">
        <v>296</v>
      </c>
      <c r="C82" s="80"/>
      <c r="D82" s="80"/>
      <c r="E82" s="80" t="s">
        <v>297</v>
      </c>
      <c r="F82" s="80" t="s">
        <v>132</v>
      </c>
      <c r="G82" s="81" t="s">
        <v>133</v>
      </c>
      <c r="H82" s="80" t="s">
        <v>134</v>
      </c>
      <c r="I82" s="80" t="s">
        <v>113</v>
      </c>
      <c r="J82" s="80"/>
      <c r="K82" s="80" t="s">
        <v>285</v>
      </c>
      <c r="L82" s="82" t="s">
        <v>81</v>
      </c>
      <c r="M82" s="82" t="s">
        <v>81</v>
      </c>
      <c r="N82" s="83">
        <v>43380</v>
      </c>
      <c r="O82" s="83">
        <v>14440</v>
      </c>
      <c r="P82" s="84">
        <v>28940</v>
      </c>
      <c r="Q82" s="85">
        <v>45835</v>
      </c>
    </row>
    <row r="83" spans="1:17" ht="22.5" hidden="1">
      <c r="A83" s="79">
        <v>82</v>
      </c>
      <c r="B83" s="80" t="s">
        <v>298</v>
      </c>
      <c r="C83" s="80"/>
      <c r="D83" s="80"/>
      <c r="E83" s="80" t="s">
        <v>299</v>
      </c>
      <c r="F83" s="80" t="s">
        <v>241</v>
      </c>
      <c r="G83" s="81" t="s">
        <v>242</v>
      </c>
      <c r="H83" s="80" t="s">
        <v>243</v>
      </c>
      <c r="I83" s="80" t="s">
        <v>113</v>
      </c>
      <c r="J83" s="80"/>
      <c r="K83" s="80" t="s">
        <v>285</v>
      </c>
      <c r="L83" s="82" t="s">
        <v>81</v>
      </c>
      <c r="M83" s="82" t="s">
        <v>81</v>
      </c>
      <c r="N83" s="83">
        <v>44620</v>
      </c>
      <c r="O83" s="83">
        <v>15060</v>
      </c>
      <c r="P83" s="84">
        <v>29560</v>
      </c>
      <c r="Q83" s="85">
        <v>45835</v>
      </c>
    </row>
    <row r="84" spans="1:17" ht="33.75" hidden="1">
      <c r="A84" s="79">
        <v>83</v>
      </c>
      <c r="B84" s="80" t="s">
        <v>300</v>
      </c>
      <c r="C84" s="80"/>
      <c r="D84" s="80"/>
      <c r="E84" s="80" t="s">
        <v>301</v>
      </c>
      <c r="F84" s="80" t="s">
        <v>154</v>
      </c>
      <c r="G84" s="81" t="s">
        <v>155</v>
      </c>
      <c r="H84" s="80" t="s">
        <v>156</v>
      </c>
      <c r="I84" s="80" t="s">
        <v>113</v>
      </c>
      <c r="J84" s="80"/>
      <c r="K84" s="80" t="s">
        <v>285</v>
      </c>
      <c r="L84" s="82" t="s">
        <v>81</v>
      </c>
      <c r="M84" s="82" t="s">
        <v>81</v>
      </c>
      <c r="N84" s="83">
        <v>28680</v>
      </c>
      <c r="O84" s="83">
        <v>14620</v>
      </c>
      <c r="P84" s="84">
        <v>14060</v>
      </c>
      <c r="Q84" s="85">
        <v>45835</v>
      </c>
    </row>
    <row r="85" spans="1:17" ht="22.5" hidden="1">
      <c r="A85" s="79">
        <v>84</v>
      </c>
      <c r="B85" s="80" t="s">
        <v>302</v>
      </c>
      <c r="C85" s="80"/>
      <c r="D85" s="80"/>
      <c r="E85" s="80" t="s">
        <v>303</v>
      </c>
      <c r="F85" s="80" t="s">
        <v>197</v>
      </c>
      <c r="G85" s="81" t="s">
        <v>198</v>
      </c>
      <c r="H85" s="80" t="s">
        <v>199</v>
      </c>
      <c r="I85" s="80" t="s">
        <v>113</v>
      </c>
      <c r="J85" s="80"/>
      <c r="K85" s="80" t="s">
        <v>285</v>
      </c>
      <c r="L85" s="82" t="s">
        <v>81</v>
      </c>
      <c r="M85" s="82" t="s">
        <v>81</v>
      </c>
      <c r="N85" s="83">
        <v>48160</v>
      </c>
      <c r="O85" s="83">
        <v>15680</v>
      </c>
      <c r="P85" s="84">
        <v>32480</v>
      </c>
      <c r="Q85" s="85">
        <v>45835</v>
      </c>
    </row>
    <row r="86" spans="1:17" ht="33.75">
      <c r="A86" s="79">
        <v>85</v>
      </c>
      <c r="B86" s="80" t="s">
        <v>304</v>
      </c>
      <c r="C86" s="80"/>
      <c r="D86" s="80"/>
      <c r="E86" s="80" t="s">
        <v>305</v>
      </c>
      <c r="F86" s="80" t="s">
        <v>154</v>
      </c>
      <c r="G86" s="81" t="s">
        <v>155</v>
      </c>
      <c r="H86" s="80" t="s">
        <v>156</v>
      </c>
      <c r="I86" s="80" t="s">
        <v>113</v>
      </c>
      <c r="J86" s="80"/>
      <c r="K86" s="80" t="s">
        <v>306</v>
      </c>
      <c r="L86" s="82" t="s">
        <v>81</v>
      </c>
      <c r="M86" s="82" t="s">
        <v>81</v>
      </c>
      <c r="N86" s="83">
        <v>45480</v>
      </c>
      <c r="O86" s="83">
        <v>14760</v>
      </c>
      <c r="P86" s="84">
        <v>30720</v>
      </c>
      <c r="Q86" s="85">
        <v>45836</v>
      </c>
    </row>
    <row r="87" spans="1:17" ht="22.5">
      <c r="A87" s="79">
        <v>86</v>
      </c>
      <c r="B87" s="80" t="s">
        <v>307</v>
      </c>
      <c r="C87" s="80"/>
      <c r="D87" s="80"/>
      <c r="E87" s="80" t="s">
        <v>308</v>
      </c>
      <c r="F87" s="80" t="s">
        <v>137</v>
      </c>
      <c r="G87" s="81" t="s">
        <v>138</v>
      </c>
      <c r="H87" s="80" t="s">
        <v>139</v>
      </c>
      <c r="I87" s="80" t="s">
        <v>113</v>
      </c>
      <c r="J87" s="80"/>
      <c r="K87" s="80" t="s">
        <v>306</v>
      </c>
      <c r="L87" s="82" t="s">
        <v>81</v>
      </c>
      <c r="M87" s="82" t="s">
        <v>81</v>
      </c>
      <c r="N87" s="83">
        <v>46020</v>
      </c>
      <c r="O87" s="83">
        <v>15160</v>
      </c>
      <c r="P87" s="84">
        <v>30860</v>
      </c>
      <c r="Q87" s="85">
        <v>45836</v>
      </c>
    </row>
    <row r="88" spans="1:17" ht="22.5">
      <c r="A88" s="79">
        <v>87</v>
      </c>
      <c r="B88" s="80" t="s">
        <v>309</v>
      </c>
      <c r="C88" s="80"/>
      <c r="D88" s="80"/>
      <c r="E88" s="80" t="s">
        <v>310</v>
      </c>
      <c r="F88" s="80" t="s">
        <v>197</v>
      </c>
      <c r="G88" s="81" t="s">
        <v>198</v>
      </c>
      <c r="H88" s="80" t="s">
        <v>199</v>
      </c>
      <c r="I88" s="80" t="s">
        <v>113</v>
      </c>
      <c r="J88" s="80"/>
      <c r="K88" s="80" t="s">
        <v>306</v>
      </c>
      <c r="L88" s="82" t="s">
        <v>81</v>
      </c>
      <c r="M88" s="82" t="s">
        <v>81</v>
      </c>
      <c r="N88" s="83">
        <v>46500</v>
      </c>
      <c r="O88" s="83">
        <v>15780</v>
      </c>
      <c r="P88" s="84">
        <v>30720</v>
      </c>
      <c r="Q88" s="85">
        <v>45836</v>
      </c>
    </row>
    <row r="89" spans="1:17" ht="33.75">
      <c r="A89" s="79">
        <v>88</v>
      </c>
      <c r="B89" s="80" t="s">
        <v>311</v>
      </c>
      <c r="C89" s="80"/>
      <c r="D89" s="80"/>
      <c r="E89" s="80" t="s">
        <v>312</v>
      </c>
      <c r="F89" s="80" t="s">
        <v>132</v>
      </c>
      <c r="G89" s="81" t="s">
        <v>133</v>
      </c>
      <c r="H89" s="80" t="s">
        <v>134</v>
      </c>
      <c r="I89" s="80" t="s">
        <v>113</v>
      </c>
      <c r="J89" s="80"/>
      <c r="K89" s="80" t="s">
        <v>306</v>
      </c>
      <c r="L89" s="82" t="s">
        <v>81</v>
      </c>
      <c r="M89" s="82" t="s">
        <v>81</v>
      </c>
      <c r="N89" s="83">
        <v>43680</v>
      </c>
      <c r="O89" s="83">
        <v>14420</v>
      </c>
      <c r="P89" s="84">
        <v>29260</v>
      </c>
      <c r="Q89" s="85">
        <v>45836</v>
      </c>
    </row>
    <row r="90" spans="1:17" ht="22.5">
      <c r="A90" s="79">
        <v>89</v>
      </c>
      <c r="B90" s="80" t="s">
        <v>313</v>
      </c>
      <c r="C90" s="80"/>
      <c r="D90" s="80"/>
      <c r="E90" s="80" t="s">
        <v>314</v>
      </c>
      <c r="F90" s="80" t="s">
        <v>315</v>
      </c>
      <c r="G90" s="81" t="s">
        <v>316</v>
      </c>
      <c r="H90" s="80" t="s">
        <v>317</v>
      </c>
      <c r="I90" s="80" t="s">
        <v>113</v>
      </c>
      <c r="J90" s="80"/>
      <c r="K90" s="80" t="s">
        <v>306</v>
      </c>
      <c r="L90" s="82" t="s">
        <v>81</v>
      </c>
      <c r="M90" s="82" t="s">
        <v>81</v>
      </c>
      <c r="N90" s="83">
        <v>45600</v>
      </c>
      <c r="O90" s="83">
        <v>14900</v>
      </c>
      <c r="P90" s="84">
        <v>30700</v>
      </c>
      <c r="Q90" s="85">
        <v>45836</v>
      </c>
    </row>
    <row r="91" spans="1:17" ht="22.5">
      <c r="A91" s="79">
        <v>90</v>
      </c>
      <c r="B91" s="80" t="s">
        <v>318</v>
      </c>
      <c r="C91" s="80"/>
      <c r="D91" s="80"/>
      <c r="E91" s="80" t="s">
        <v>319</v>
      </c>
      <c r="F91" s="80" t="s">
        <v>241</v>
      </c>
      <c r="G91" s="81" t="s">
        <v>242</v>
      </c>
      <c r="H91" s="80" t="s">
        <v>243</v>
      </c>
      <c r="I91" s="80" t="s">
        <v>113</v>
      </c>
      <c r="J91" s="80"/>
      <c r="K91" s="80" t="s">
        <v>306</v>
      </c>
      <c r="L91" s="82" t="s">
        <v>81</v>
      </c>
      <c r="M91" s="82" t="s">
        <v>81</v>
      </c>
      <c r="N91" s="83">
        <v>47000</v>
      </c>
      <c r="O91" s="83">
        <v>15140</v>
      </c>
      <c r="P91" s="84">
        <v>31860</v>
      </c>
      <c r="Q91" s="85">
        <v>45836</v>
      </c>
    </row>
    <row r="92" spans="1:17" ht="30.6" customHeight="1">
      <c r="A92" s="79">
        <v>91</v>
      </c>
      <c r="B92" s="80" t="s">
        <v>320</v>
      </c>
      <c r="C92" s="80"/>
      <c r="D92" s="80"/>
      <c r="E92" s="80" t="s">
        <v>321</v>
      </c>
      <c r="F92" s="80" t="s">
        <v>191</v>
      </c>
      <c r="G92" s="81" t="s">
        <v>192</v>
      </c>
      <c r="H92" s="80" t="s">
        <v>193</v>
      </c>
      <c r="I92" s="80" t="s">
        <v>113</v>
      </c>
      <c r="J92" s="80"/>
      <c r="K92" s="80" t="s">
        <v>306</v>
      </c>
      <c r="L92" s="82" t="s">
        <v>81</v>
      </c>
      <c r="M92" s="82" t="s">
        <v>81</v>
      </c>
      <c r="N92" s="83">
        <v>46260</v>
      </c>
      <c r="O92" s="83">
        <v>15440</v>
      </c>
      <c r="P92" s="84">
        <v>30820</v>
      </c>
      <c r="Q92" s="85">
        <v>45836</v>
      </c>
    </row>
    <row r="93" spans="1:17" ht="22.5">
      <c r="A93" s="79">
        <v>92</v>
      </c>
      <c r="B93" s="80" t="s">
        <v>322</v>
      </c>
      <c r="C93" s="80"/>
      <c r="D93" s="80"/>
      <c r="E93" s="80" t="s">
        <v>323</v>
      </c>
      <c r="F93" s="80" t="s">
        <v>324</v>
      </c>
      <c r="G93" s="81" t="s">
        <v>325</v>
      </c>
      <c r="H93" s="80" t="s">
        <v>326</v>
      </c>
      <c r="I93" s="80" t="s">
        <v>113</v>
      </c>
      <c r="J93" s="80"/>
      <c r="K93" s="80" t="s">
        <v>306</v>
      </c>
      <c r="L93" s="82" t="s">
        <v>81</v>
      </c>
      <c r="M93" s="82" t="s">
        <v>81</v>
      </c>
      <c r="N93" s="83">
        <v>47940</v>
      </c>
      <c r="O93" s="83">
        <v>15580</v>
      </c>
      <c r="P93" s="84">
        <v>32360</v>
      </c>
      <c r="Q93" s="85">
        <v>45836</v>
      </c>
    </row>
    <row r="94" spans="1:17" ht="33.75">
      <c r="A94" s="79">
        <v>93</v>
      </c>
      <c r="B94" s="80" t="s">
        <v>327</v>
      </c>
      <c r="C94" s="80"/>
      <c r="D94" s="80"/>
      <c r="E94" s="80" t="s">
        <v>328</v>
      </c>
      <c r="F94" s="80" t="s">
        <v>154</v>
      </c>
      <c r="G94" s="81" t="s">
        <v>155</v>
      </c>
      <c r="H94" s="80" t="s">
        <v>156</v>
      </c>
      <c r="I94" s="80" t="s">
        <v>113</v>
      </c>
      <c r="J94" s="80"/>
      <c r="K94" s="80" t="s">
        <v>306</v>
      </c>
      <c r="L94" s="82" t="s">
        <v>81</v>
      </c>
      <c r="M94" s="82" t="s">
        <v>81</v>
      </c>
      <c r="N94" s="83">
        <v>45480</v>
      </c>
      <c r="O94" s="83">
        <v>14740</v>
      </c>
      <c r="P94" s="84">
        <v>30740</v>
      </c>
      <c r="Q94" s="85">
        <v>45836</v>
      </c>
    </row>
    <row r="95" spans="1:17" ht="22.5">
      <c r="A95" s="79">
        <v>94</v>
      </c>
      <c r="B95" s="80" t="s">
        <v>329</v>
      </c>
      <c r="C95" s="80"/>
      <c r="D95" s="80"/>
      <c r="E95" s="80" t="s">
        <v>330</v>
      </c>
      <c r="F95" s="80" t="s">
        <v>137</v>
      </c>
      <c r="G95" s="81" t="s">
        <v>138</v>
      </c>
      <c r="H95" s="80" t="s">
        <v>139</v>
      </c>
      <c r="I95" s="80" t="s">
        <v>113</v>
      </c>
      <c r="J95" s="80"/>
      <c r="K95" s="80" t="s">
        <v>306</v>
      </c>
      <c r="L95" s="82" t="s">
        <v>81</v>
      </c>
      <c r="M95" s="82" t="s">
        <v>81</v>
      </c>
      <c r="N95" s="83">
        <v>44740</v>
      </c>
      <c r="O95" s="83">
        <v>15140</v>
      </c>
      <c r="P95" s="84">
        <v>29600</v>
      </c>
      <c r="Q95" s="85">
        <v>45836</v>
      </c>
    </row>
    <row r="96" spans="1:17" ht="22.5">
      <c r="A96" s="79">
        <v>95</v>
      </c>
      <c r="B96" s="80" t="s">
        <v>331</v>
      </c>
      <c r="C96" s="80"/>
      <c r="D96" s="80"/>
      <c r="E96" s="80" t="s">
        <v>332</v>
      </c>
      <c r="F96" s="80" t="s">
        <v>333</v>
      </c>
      <c r="G96" s="81" t="s">
        <v>334</v>
      </c>
      <c r="H96" s="80" t="s">
        <v>335</v>
      </c>
      <c r="I96" s="80" t="s">
        <v>113</v>
      </c>
      <c r="J96" s="80"/>
      <c r="K96" s="80"/>
      <c r="L96" s="82" t="s">
        <v>81</v>
      </c>
      <c r="M96" s="82" t="s">
        <v>81</v>
      </c>
      <c r="N96" s="83">
        <v>47700</v>
      </c>
      <c r="O96" s="83">
        <v>15680</v>
      </c>
      <c r="P96" s="84">
        <v>32020</v>
      </c>
      <c r="Q96" s="85">
        <v>45836</v>
      </c>
    </row>
    <row r="97" spans="1:17" ht="22.5">
      <c r="A97" s="79">
        <v>96</v>
      </c>
      <c r="B97" s="80" t="s">
        <v>336</v>
      </c>
      <c r="C97" s="80"/>
      <c r="D97" s="80"/>
      <c r="E97" s="80" t="s">
        <v>337</v>
      </c>
      <c r="F97" s="80" t="s">
        <v>197</v>
      </c>
      <c r="G97" s="81" t="s">
        <v>198</v>
      </c>
      <c r="H97" s="80" t="s">
        <v>199</v>
      </c>
      <c r="I97" s="80" t="s">
        <v>113</v>
      </c>
      <c r="J97" s="80"/>
      <c r="K97" s="80" t="s">
        <v>85</v>
      </c>
      <c r="L97" s="82" t="s">
        <v>81</v>
      </c>
      <c r="M97" s="82" t="s">
        <v>81</v>
      </c>
      <c r="N97" s="83">
        <v>42720</v>
      </c>
      <c r="O97" s="83">
        <v>15780</v>
      </c>
      <c r="P97" s="84">
        <v>26940</v>
      </c>
      <c r="Q97" s="85">
        <v>45836</v>
      </c>
    </row>
    <row r="98" spans="1:17" ht="22.5">
      <c r="A98" s="79">
        <v>97</v>
      </c>
      <c r="B98" s="80" t="s">
        <v>338</v>
      </c>
      <c r="C98" s="80"/>
      <c r="D98" s="80"/>
      <c r="E98" s="80" t="s">
        <v>339</v>
      </c>
      <c r="F98" s="80" t="s">
        <v>324</v>
      </c>
      <c r="G98" s="81" t="s">
        <v>325</v>
      </c>
      <c r="H98" s="80" t="s">
        <v>326</v>
      </c>
      <c r="I98" s="80" t="s">
        <v>113</v>
      </c>
      <c r="J98" s="80"/>
      <c r="K98" s="80" t="s">
        <v>85</v>
      </c>
      <c r="L98" s="82" t="s">
        <v>81</v>
      </c>
      <c r="M98" s="82" t="s">
        <v>81</v>
      </c>
      <c r="N98" s="83">
        <v>44960</v>
      </c>
      <c r="O98" s="83">
        <v>15580</v>
      </c>
      <c r="P98" s="84">
        <v>29380</v>
      </c>
      <c r="Q98" s="85">
        <v>45836</v>
      </c>
    </row>
    <row r="99" spans="1:17" ht="22.5">
      <c r="A99" s="79">
        <v>98</v>
      </c>
      <c r="B99" s="80" t="s">
        <v>340</v>
      </c>
      <c r="C99" s="80"/>
      <c r="D99" s="80"/>
      <c r="E99" s="80" t="s">
        <v>341</v>
      </c>
      <c r="F99" s="80" t="s">
        <v>315</v>
      </c>
      <c r="G99" s="81" t="s">
        <v>316</v>
      </c>
      <c r="H99" s="80" t="s">
        <v>317</v>
      </c>
      <c r="I99" s="80" t="s">
        <v>113</v>
      </c>
      <c r="J99" s="80"/>
      <c r="K99" s="80" t="s">
        <v>342</v>
      </c>
      <c r="L99" s="82" t="s">
        <v>81</v>
      </c>
      <c r="M99" s="82" t="s">
        <v>81</v>
      </c>
      <c r="N99" s="83">
        <v>45960</v>
      </c>
      <c r="O99" s="83">
        <v>15000</v>
      </c>
      <c r="P99" s="84">
        <v>30960</v>
      </c>
      <c r="Q99" s="85">
        <v>45836</v>
      </c>
    </row>
    <row r="100" spans="1:17" ht="33.75">
      <c r="A100" s="79">
        <v>99</v>
      </c>
      <c r="B100" s="80" t="s">
        <v>343</v>
      </c>
      <c r="C100" s="80"/>
      <c r="D100" s="80"/>
      <c r="E100" s="80" t="s">
        <v>344</v>
      </c>
      <c r="F100" s="80" t="s">
        <v>132</v>
      </c>
      <c r="G100" s="81" t="s">
        <v>133</v>
      </c>
      <c r="H100" s="80" t="s">
        <v>134</v>
      </c>
      <c r="I100" s="80" t="s">
        <v>113</v>
      </c>
      <c r="J100" s="80"/>
      <c r="K100" s="80" t="s">
        <v>342</v>
      </c>
      <c r="L100" s="82" t="s">
        <v>81</v>
      </c>
      <c r="M100" s="82" t="s">
        <v>81</v>
      </c>
      <c r="N100" s="83">
        <v>45180</v>
      </c>
      <c r="O100" s="83">
        <v>14380</v>
      </c>
      <c r="P100" s="84">
        <v>30800</v>
      </c>
      <c r="Q100" s="85">
        <v>45836</v>
      </c>
    </row>
    <row r="101" spans="1:17" ht="22.5">
      <c r="A101" s="79">
        <v>100</v>
      </c>
      <c r="B101" s="80" t="s">
        <v>345</v>
      </c>
      <c r="C101" s="80"/>
      <c r="D101" s="80"/>
      <c r="E101" s="80" t="s">
        <v>346</v>
      </c>
      <c r="F101" s="80" t="s">
        <v>241</v>
      </c>
      <c r="G101" s="81" t="s">
        <v>242</v>
      </c>
      <c r="H101" s="80" t="s">
        <v>243</v>
      </c>
      <c r="I101" s="80" t="s">
        <v>113</v>
      </c>
      <c r="J101" s="80"/>
      <c r="K101" s="80" t="s">
        <v>342</v>
      </c>
      <c r="L101" s="82" t="s">
        <v>81</v>
      </c>
      <c r="M101" s="82" t="s">
        <v>81</v>
      </c>
      <c r="N101" s="83">
        <v>46000</v>
      </c>
      <c r="O101" s="83">
        <v>15120</v>
      </c>
      <c r="P101" s="84">
        <v>30880</v>
      </c>
      <c r="Q101" s="85">
        <v>45836</v>
      </c>
    </row>
    <row r="102" spans="1:17" ht="30.6" customHeight="1">
      <c r="A102" s="79">
        <v>101</v>
      </c>
      <c r="B102" s="80" t="s">
        <v>347</v>
      </c>
      <c r="C102" s="80"/>
      <c r="D102" s="80"/>
      <c r="E102" s="80" t="s">
        <v>348</v>
      </c>
      <c r="F102" s="80" t="s">
        <v>191</v>
      </c>
      <c r="G102" s="81" t="s">
        <v>192</v>
      </c>
      <c r="H102" s="80" t="s">
        <v>193</v>
      </c>
      <c r="I102" s="80" t="s">
        <v>113</v>
      </c>
      <c r="J102" s="80"/>
      <c r="K102" s="80" t="s">
        <v>342</v>
      </c>
      <c r="L102" s="82" t="s">
        <v>81</v>
      </c>
      <c r="M102" s="82" t="s">
        <v>81</v>
      </c>
      <c r="N102" s="83">
        <v>46180</v>
      </c>
      <c r="O102" s="83">
        <v>15420</v>
      </c>
      <c r="P102" s="84">
        <v>30760</v>
      </c>
      <c r="Q102" s="85">
        <v>45836</v>
      </c>
    </row>
    <row r="103" spans="1:17" ht="33.75">
      <c r="A103" s="79">
        <v>102</v>
      </c>
      <c r="B103" s="80" t="s">
        <v>349</v>
      </c>
      <c r="C103" s="80"/>
      <c r="D103" s="80"/>
      <c r="E103" s="80" t="s">
        <v>350</v>
      </c>
      <c r="F103" s="80" t="s">
        <v>154</v>
      </c>
      <c r="G103" s="81" t="s">
        <v>155</v>
      </c>
      <c r="H103" s="80" t="s">
        <v>156</v>
      </c>
      <c r="I103" s="80" t="s">
        <v>113</v>
      </c>
      <c r="J103" s="80"/>
      <c r="K103" s="80" t="s">
        <v>342</v>
      </c>
      <c r="L103" s="82" t="s">
        <v>81</v>
      </c>
      <c r="M103" s="82" t="s">
        <v>81</v>
      </c>
      <c r="N103" s="83">
        <v>45460</v>
      </c>
      <c r="O103" s="83">
        <v>14720</v>
      </c>
      <c r="P103" s="84">
        <v>30740</v>
      </c>
      <c r="Q103" s="85">
        <v>45836</v>
      </c>
    </row>
    <row r="104" spans="1:17" ht="22.5">
      <c r="A104" s="79">
        <v>103</v>
      </c>
      <c r="B104" s="80" t="s">
        <v>351</v>
      </c>
      <c r="C104" s="80"/>
      <c r="D104" s="80"/>
      <c r="E104" s="80" t="s">
        <v>352</v>
      </c>
      <c r="F104" s="80" t="s">
        <v>137</v>
      </c>
      <c r="G104" s="81" t="s">
        <v>138</v>
      </c>
      <c r="H104" s="80" t="s">
        <v>139</v>
      </c>
      <c r="I104" s="80" t="s">
        <v>113</v>
      </c>
      <c r="J104" s="80"/>
      <c r="K104" s="80" t="s">
        <v>342</v>
      </c>
      <c r="L104" s="82" t="s">
        <v>81</v>
      </c>
      <c r="M104" s="82" t="s">
        <v>81</v>
      </c>
      <c r="N104" s="83">
        <v>47080</v>
      </c>
      <c r="O104" s="83">
        <v>15140</v>
      </c>
      <c r="P104" s="84">
        <v>31940</v>
      </c>
      <c r="Q104" s="85">
        <v>45836</v>
      </c>
    </row>
    <row r="105" spans="1:17" ht="22.5">
      <c r="A105" s="79">
        <v>104</v>
      </c>
      <c r="B105" s="80" t="s">
        <v>353</v>
      </c>
      <c r="C105" s="80"/>
      <c r="D105" s="80"/>
      <c r="E105" s="80" t="s">
        <v>354</v>
      </c>
      <c r="F105" s="80" t="s">
        <v>333</v>
      </c>
      <c r="G105" s="81" t="s">
        <v>334</v>
      </c>
      <c r="H105" s="80" t="s">
        <v>335</v>
      </c>
      <c r="I105" s="80" t="s">
        <v>113</v>
      </c>
      <c r="J105" s="80"/>
      <c r="K105" s="80" t="s">
        <v>342</v>
      </c>
      <c r="L105" s="82" t="s">
        <v>81</v>
      </c>
      <c r="M105" s="82" t="s">
        <v>81</v>
      </c>
      <c r="N105" s="83">
        <v>45020</v>
      </c>
      <c r="O105" s="83">
        <v>15660</v>
      </c>
      <c r="P105" s="84">
        <v>29360</v>
      </c>
      <c r="Q105" s="85">
        <v>45836</v>
      </c>
    </row>
    <row r="106" spans="1:17" ht="22.5">
      <c r="A106" s="79">
        <v>105</v>
      </c>
      <c r="B106" s="80" t="s">
        <v>355</v>
      </c>
      <c r="C106" s="80"/>
      <c r="D106" s="80"/>
      <c r="E106" s="80" t="s">
        <v>356</v>
      </c>
      <c r="F106" s="80" t="s">
        <v>197</v>
      </c>
      <c r="G106" s="81" t="s">
        <v>198</v>
      </c>
      <c r="H106" s="80" t="s">
        <v>199</v>
      </c>
      <c r="I106" s="80" t="s">
        <v>113</v>
      </c>
      <c r="J106" s="80"/>
      <c r="K106" s="80" t="s">
        <v>342</v>
      </c>
      <c r="L106" s="82" t="s">
        <v>81</v>
      </c>
      <c r="M106" s="82" t="s">
        <v>81</v>
      </c>
      <c r="N106" s="83">
        <v>49320</v>
      </c>
      <c r="O106" s="83">
        <v>15760</v>
      </c>
      <c r="P106" s="84">
        <v>33560</v>
      </c>
      <c r="Q106" s="85">
        <v>45836</v>
      </c>
    </row>
    <row r="107" spans="1:17" ht="22.5">
      <c r="A107" s="79">
        <v>106</v>
      </c>
      <c r="B107" s="80" t="s">
        <v>357</v>
      </c>
      <c r="C107" s="80"/>
      <c r="D107" s="80"/>
      <c r="E107" s="80" t="s">
        <v>358</v>
      </c>
      <c r="F107" s="80" t="s">
        <v>324</v>
      </c>
      <c r="G107" s="81" t="s">
        <v>325</v>
      </c>
      <c r="H107" s="80" t="s">
        <v>326</v>
      </c>
      <c r="I107" s="80" t="s">
        <v>113</v>
      </c>
      <c r="J107" s="80"/>
      <c r="K107" s="80" t="s">
        <v>342</v>
      </c>
      <c r="L107" s="82" t="s">
        <v>81</v>
      </c>
      <c r="M107" s="82" t="s">
        <v>81</v>
      </c>
      <c r="N107" s="83">
        <v>46020</v>
      </c>
      <c r="O107" s="83">
        <v>15540</v>
      </c>
      <c r="P107" s="84">
        <v>30480</v>
      </c>
      <c r="Q107" s="85">
        <v>45836</v>
      </c>
    </row>
    <row r="108" spans="1:17" ht="33.75">
      <c r="A108" s="79">
        <v>107</v>
      </c>
      <c r="B108" s="80" t="s">
        <v>359</v>
      </c>
      <c r="C108" s="80"/>
      <c r="D108" s="80"/>
      <c r="E108" s="80" t="s">
        <v>360</v>
      </c>
      <c r="F108" s="80" t="s">
        <v>132</v>
      </c>
      <c r="G108" s="81" t="s">
        <v>133</v>
      </c>
      <c r="H108" s="80" t="s">
        <v>134</v>
      </c>
      <c r="I108" s="80" t="s">
        <v>113</v>
      </c>
      <c r="J108" s="80"/>
      <c r="K108" s="80" t="s">
        <v>361</v>
      </c>
      <c r="L108" s="82" t="s">
        <v>81</v>
      </c>
      <c r="M108" s="82" t="s">
        <v>81</v>
      </c>
      <c r="N108" s="83">
        <v>46260</v>
      </c>
      <c r="O108" s="83">
        <v>14380</v>
      </c>
      <c r="P108" s="84">
        <v>31880</v>
      </c>
      <c r="Q108" s="85">
        <v>45836</v>
      </c>
    </row>
    <row r="109" spans="1:17" ht="22.5">
      <c r="A109" s="79">
        <v>108</v>
      </c>
      <c r="B109" s="80" t="s">
        <v>362</v>
      </c>
      <c r="C109" s="80"/>
      <c r="D109" s="80"/>
      <c r="E109" s="80" t="s">
        <v>363</v>
      </c>
      <c r="F109" s="80" t="s">
        <v>241</v>
      </c>
      <c r="G109" s="81" t="s">
        <v>242</v>
      </c>
      <c r="H109" s="80" t="s">
        <v>243</v>
      </c>
      <c r="I109" s="80" t="s">
        <v>113</v>
      </c>
      <c r="J109" s="80"/>
      <c r="K109" s="80" t="s">
        <v>361</v>
      </c>
      <c r="L109" s="82" t="s">
        <v>81</v>
      </c>
      <c r="M109" s="82" t="s">
        <v>81</v>
      </c>
      <c r="N109" s="83">
        <v>45600</v>
      </c>
      <c r="O109" s="83">
        <v>15120</v>
      </c>
      <c r="P109" s="84">
        <v>30480</v>
      </c>
      <c r="Q109" s="85">
        <v>45836</v>
      </c>
    </row>
    <row r="110" spans="1:17" ht="22.5">
      <c r="A110" s="79">
        <v>109</v>
      </c>
      <c r="B110" s="80" t="s">
        <v>364</v>
      </c>
      <c r="C110" s="80"/>
      <c r="D110" s="80"/>
      <c r="E110" s="80" t="s">
        <v>365</v>
      </c>
      <c r="F110" s="80" t="s">
        <v>137</v>
      </c>
      <c r="G110" s="81" t="s">
        <v>138</v>
      </c>
      <c r="H110" s="80" t="s">
        <v>139</v>
      </c>
      <c r="I110" s="80" t="s">
        <v>113</v>
      </c>
      <c r="J110" s="80"/>
      <c r="K110" s="80" t="s">
        <v>361</v>
      </c>
      <c r="L110" s="82" t="s">
        <v>81</v>
      </c>
      <c r="M110" s="82" t="s">
        <v>81</v>
      </c>
      <c r="N110" s="83">
        <v>44860</v>
      </c>
      <c r="O110" s="83">
        <v>15140</v>
      </c>
      <c r="P110" s="84">
        <v>29720</v>
      </c>
      <c r="Q110" s="85">
        <v>45836</v>
      </c>
    </row>
    <row r="111" spans="1:17" ht="30.6" customHeight="1">
      <c r="A111" s="79">
        <v>110</v>
      </c>
      <c r="B111" s="80" t="s">
        <v>366</v>
      </c>
      <c r="C111" s="80"/>
      <c r="D111" s="80"/>
      <c r="E111" s="80" t="s">
        <v>367</v>
      </c>
      <c r="F111" s="80" t="s">
        <v>191</v>
      </c>
      <c r="G111" s="81" t="s">
        <v>192</v>
      </c>
      <c r="H111" s="80" t="s">
        <v>193</v>
      </c>
      <c r="I111" s="80" t="s">
        <v>113</v>
      </c>
      <c r="J111" s="80"/>
      <c r="K111" s="80" t="s">
        <v>361</v>
      </c>
      <c r="L111" s="82" t="s">
        <v>81</v>
      </c>
      <c r="M111" s="82" t="s">
        <v>81</v>
      </c>
      <c r="N111" s="83">
        <v>46040</v>
      </c>
      <c r="O111" s="83">
        <v>15400</v>
      </c>
      <c r="P111" s="84">
        <v>30640</v>
      </c>
      <c r="Q111" s="85">
        <v>45836</v>
      </c>
    </row>
    <row r="112" spans="1:17" ht="22.5">
      <c r="A112" s="79">
        <v>111</v>
      </c>
      <c r="B112" s="80" t="s">
        <v>368</v>
      </c>
      <c r="C112" s="80"/>
      <c r="D112" s="80"/>
      <c r="E112" s="80" t="s">
        <v>369</v>
      </c>
      <c r="F112" s="80" t="s">
        <v>315</v>
      </c>
      <c r="G112" s="81" t="s">
        <v>316</v>
      </c>
      <c r="H112" s="80" t="s">
        <v>317</v>
      </c>
      <c r="I112" s="80" t="s">
        <v>113</v>
      </c>
      <c r="J112" s="80"/>
      <c r="K112" s="80" t="s">
        <v>361</v>
      </c>
      <c r="L112" s="82" t="s">
        <v>81</v>
      </c>
      <c r="M112" s="82" t="s">
        <v>81</v>
      </c>
      <c r="N112" s="83">
        <v>45520</v>
      </c>
      <c r="O112" s="83">
        <v>14860</v>
      </c>
      <c r="P112" s="84">
        <v>30660</v>
      </c>
      <c r="Q112" s="85">
        <v>45836</v>
      </c>
    </row>
    <row r="113" spans="1:17" ht="33.75">
      <c r="A113" s="79">
        <v>112</v>
      </c>
      <c r="B113" s="80" t="s">
        <v>370</v>
      </c>
      <c r="C113" s="80"/>
      <c r="D113" s="80"/>
      <c r="E113" s="80" t="s">
        <v>371</v>
      </c>
      <c r="F113" s="80" t="s">
        <v>154</v>
      </c>
      <c r="G113" s="81" t="s">
        <v>155</v>
      </c>
      <c r="H113" s="80" t="s">
        <v>156</v>
      </c>
      <c r="I113" s="80" t="s">
        <v>113</v>
      </c>
      <c r="J113" s="80"/>
      <c r="K113" s="80" t="s">
        <v>361</v>
      </c>
      <c r="L113" s="82" t="s">
        <v>81</v>
      </c>
      <c r="M113" s="82" t="s">
        <v>81</v>
      </c>
      <c r="N113" s="83">
        <v>38120</v>
      </c>
      <c r="O113" s="83">
        <v>14720</v>
      </c>
      <c r="P113" s="84">
        <v>23400</v>
      </c>
      <c r="Q113" s="85">
        <v>45836</v>
      </c>
    </row>
    <row r="114" spans="1:17" ht="22.5">
      <c r="A114" s="79">
        <v>113</v>
      </c>
      <c r="B114" s="80" t="s">
        <v>372</v>
      </c>
      <c r="C114" s="80"/>
      <c r="D114" s="80"/>
      <c r="E114" s="80" t="s">
        <v>373</v>
      </c>
      <c r="F114" s="80" t="s">
        <v>333</v>
      </c>
      <c r="G114" s="81" t="s">
        <v>334</v>
      </c>
      <c r="H114" s="80" t="s">
        <v>335</v>
      </c>
      <c r="I114" s="80" t="s">
        <v>113</v>
      </c>
      <c r="J114" s="80"/>
      <c r="K114" s="80" t="s">
        <v>361</v>
      </c>
      <c r="L114" s="82" t="s">
        <v>81</v>
      </c>
      <c r="M114" s="82" t="s">
        <v>81</v>
      </c>
      <c r="N114" s="83">
        <v>45980</v>
      </c>
      <c r="O114" s="83">
        <v>15640</v>
      </c>
      <c r="P114" s="84">
        <v>30340</v>
      </c>
      <c r="Q114" s="85">
        <v>45836</v>
      </c>
    </row>
    <row r="115" spans="1:17" ht="22.5">
      <c r="A115" s="79">
        <v>114</v>
      </c>
      <c r="B115" s="80" t="s">
        <v>374</v>
      </c>
      <c r="C115" s="80"/>
      <c r="D115" s="80"/>
      <c r="E115" s="80" t="s">
        <v>375</v>
      </c>
      <c r="F115" s="80" t="s">
        <v>197</v>
      </c>
      <c r="G115" s="81" t="s">
        <v>198</v>
      </c>
      <c r="H115" s="80" t="s">
        <v>199</v>
      </c>
      <c r="I115" s="80" t="s">
        <v>113</v>
      </c>
      <c r="J115" s="80"/>
      <c r="K115" s="80" t="s">
        <v>361</v>
      </c>
      <c r="L115" s="82" t="s">
        <v>81</v>
      </c>
      <c r="M115" s="82" t="s">
        <v>81</v>
      </c>
      <c r="N115" s="83">
        <v>46200</v>
      </c>
      <c r="O115" s="83">
        <v>15740</v>
      </c>
      <c r="P115" s="84">
        <v>30460</v>
      </c>
      <c r="Q115" s="85">
        <v>45836</v>
      </c>
    </row>
    <row r="116" spans="1:17" ht="22.5">
      <c r="A116" s="79">
        <v>115</v>
      </c>
      <c r="B116" s="80" t="s">
        <v>376</v>
      </c>
      <c r="C116" s="80"/>
      <c r="D116" s="80"/>
      <c r="E116" s="80" t="s">
        <v>377</v>
      </c>
      <c r="F116" s="80" t="s">
        <v>324</v>
      </c>
      <c r="G116" s="81" t="s">
        <v>325</v>
      </c>
      <c r="H116" s="80" t="s">
        <v>326</v>
      </c>
      <c r="I116" s="80" t="s">
        <v>113</v>
      </c>
      <c r="J116" s="80"/>
      <c r="K116" s="80" t="s">
        <v>361</v>
      </c>
      <c r="L116" s="82" t="s">
        <v>81</v>
      </c>
      <c r="M116" s="82" t="s">
        <v>81</v>
      </c>
      <c r="N116" s="83">
        <v>46820</v>
      </c>
      <c r="O116" s="83">
        <v>15520</v>
      </c>
      <c r="P116" s="84">
        <v>31300</v>
      </c>
      <c r="Q116" s="85">
        <v>45836</v>
      </c>
    </row>
    <row r="117" spans="1:17" ht="33.75">
      <c r="A117" s="79">
        <v>116</v>
      </c>
      <c r="B117" s="80" t="s">
        <v>378</v>
      </c>
      <c r="C117" s="80"/>
      <c r="D117" s="80"/>
      <c r="E117" s="80" t="s">
        <v>379</v>
      </c>
      <c r="F117" s="80" t="s">
        <v>132</v>
      </c>
      <c r="G117" s="81" t="s">
        <v>133</v>
      </c>
      <c r="H117" s="80" t="s">
        <v>134</v>
      </c>
      <c r="I117" s="80" t="s">
        <v>113</v>
      </c>
      <c r="J117" s="80"/>
      <c r="K117" s="80" t="s">
        <v>361</v>
      </c>
      <c r="L117" s="82" t="s">
        <v>81</v>
      </c>
      <c r="M117" s="82" t="s">
        <v>81</v>
      </c>
      <c r="N117" s="83">
        <v>42560</v>
      </c>
      <c r="O117" s="83">
        <v>14360</v>
      </c>
      <c r="P117" s="84">
        <v>28200</v>
      </c>
      <c r="Q117" s="85">
        <v>45836</v>
      </c>
    </row>
    <row r="118" spans="1:17" ht="22.5">
      <c r="A118" s="79">
        <v>117</v>
      </c>
      <c r="B118" s="80" t="s">
        <v>380</v>
      </c>
      <c r="C118" s="80"/>
      <c r="D118" s="80"/>
      <c r="E118" s="80" t="s">
        <v>381</v>
      </c>
      <c r="F118" s="80" t="s">
        <v>315</v>
      </c>
      <c r="G118" s="81" t="s">
        <v>316</v>
      </c>
      <c r="H118" s="80" t="s">
        <v>317</v>
      </c>
      <c r="I118" s="80" t="s">
        <v>113</v>
      </c>
      <c r="J118" s="80"/>
      <c r="K118" s="80" t="s">
        <v>361</v>
      </c>
      <c r="L118" s="82" t="s">
        <v>81</v>
      </c>
      <c r="M118" s="82" t="s">
        <v>81</v>
      </c>
      <c r="N118" s="83">
        <v>45020</v>
      </c>
      <c r="O118" s="83">
        <v>14820</v>
      </c>
      <c r="P118" s="84">
        <v>30200</v>
      </c>
      <c r="Q118" s="85">
        <v>45836</v>
      </c>
    </row>
    <row r="119" spans="1:17" ht="22.5">
      <c r="A119" s="79">
        <v>118</v>
      </c>
      <c r="B119" s="80" t="s">
        <v>382</v>
      </c>
      <c r="C119" s="80"/>
      <c r="D119" s="80"/>
      <c r="E119" s="80" t="s">
        <v>383</v>
      </c>
      <c r="F119" s="80" t="s">
        <v>241</v>
      </c>
      <c r="G119" s="81" t="s">
        <v>242</v>
      </c>
      <c r="H119" s="80" t="s">
        <v>243</v>
      </c>
      <c r="I119" s="80" t="s">
        <v>113</v>
      </c>
      <c r="J119" s="80"/>
      <c r="K119" s="80" t="s">
        <v>384</v>
      </c>
      <c r="L119" s="82" t="s">
        <v>81</v>
      </c>
      <c r="M119" s="82" t="s">
        <v>81</v>
      </c>
      <c r="N119" s="83">
        <v>47240</v>
      </c>
      <c r="O119" s="83">
        <v>15100</v>
      </c>
      <c r="P119" s="84">
        <v>32140</v>
      </c>
      <c r="Q119" s="85">
        <v>45836</v>
      </c>
    </row>
    <row r="120" spans="1:17" ht="30.6" customHeight="1">
      <c r="A120" s="79">
        <v>119</v>
      </c>
      <c r="B120" s="80" t="s">
        <v>385</v>
      </c>
      <c r="C120" s="80"/>
      <c r="D120" s="80"/>
      <c r="E120" s="80" t="s">
        <v>386</v>
      </c>
      <c r="F120" s="80" t="s">
        <v>191</v>
      </c>
      <c r="G120" s="81" t="s">
        <v>192</v>
      </c>
      <c r="H120" s="80" t="s">
        <v>193</v>
      </c>
      <c r="I120" s="80" t="s">
        <v>113</v>
      </c>
      <c r="J120" s="80"/>
      <c r="K120" s="80" t="s">
        <v>384</v>
      </c>
      <c r="L120" s="82" t="s">
        <v>81</v>
      </c>
      <c r="M120" s="82" t="s">
        <v>81</v>
      </c>
      <c r="N120" s="83">
        <v>42440</v>
      </c>
      <c r="O120" s="83">
        <v>15400</v>
      </c>
      <c r="P120" s="84">
        <v>27040</v>
      </c>
      <c r="Q120" s="85">
        <v>45836</v>
      </c>
    </row>
    <row r="121" spans="1:17" ht="33.75">
      <c r="A121" s="79">
        <v>120</v>
      </c>
      <c r="B121" s="80" t="s">
        <v>387</v>
      </c>
      <c r="C121" s="80"/>
      <c r="D121" s="80"/>
      <c r="E121" s="80" t="s">
        <v>388</v>
      </c>
      <c r="F121" s="80" t="s">
        <v>154</v>
      </c>
      <c r="G121" s="81" t="s">
        <v>155</v>
      </c>
      <c r="H121" s="80" t="s">
        <v>156</v>
      </c>
      <c r="I121" s="80" t="s">
        <v>113</v>
      </c>
      <c r="J121" s="80"/>
      <c r="K121" s="80" t="s">
        <v>384</v>
      </c>
      <c r="L121" s="82" t="s">
        <v>81</v>
      </c>
      <c r="M121" s="82" t="s">
        <v>81</v>
      </c>
      <c r="N121" s="83">
        <v>42960</v>
      </c>
      <c r="O121" s="83">
        <v>14700</v>
      </c>
      <c r="P121" s="84">
        <v>28260</v>
      </c>
      <c r="Q121" s="85">
        <v>45836</v>
      </c>
    </row>
    <row r="122" spans="1:17" ht="22.5">
      <c r="A122" s="79">
        <v>121</v>
      </c>
      <c r="B122" s="80" t="s">
        <v>389</v>
      </c>
      <c r="C122" s="80"/>
      <c r="D122" s="80"/>
      <c r="E122" s="80" t="s">
        <v>390</v>
      </c>
      <c r="F122" s="80" t="s">
        <v>333</v>
      </c>
      <c r="G122" s="81" t="s">
        <v>334</v>
      </c>
      <c r="H122" s="80" t="s">
        <v>335</v>
      </c>
      <c r="I122" s="80" t="s">
        <v>113</v>
      </c>
      <c r="J122" s="80"/>
      <c r="K122" s="80" t="s">
        <v>384</v>
      </c>
      <c r="L122" s="82" t="s">
        <v>81</v>
      </c>
      <c r="M122" s="82" t="s">
        <v>81</v>
      </c>
      <c r="N122" s="83">
        <v>43340</v>
      </c>
      <c r="O122" s="83">
        <v>15640</v>
      </c>
      <c r="P122" s="84">
        <v>27700</v>
      </c>
      <c r="Q122" s="85">
        <v>45836</v>
      </c>
    </row>
    <row r="123" spans="1:17" ht="22.5">
      <c r="A123" s="79">
        <v>122</v>
      </c>
      <c r="B123" s="80" t="s">
        <v>391</v>
      </c>
      <c r="C123" s="80"/>
      <c r="D123" s="80"/>
      <c r="E123" s="80" t="s">
        <v>392</v>
      </c>
      <c r="F123" s="80" t="s">
        <v>197</v>
      </c>
      <c r="G123" s="81" t="s">
        <v>198</v>
      </c>
      <c r="H123" s="80" t="s">
        <v>199</v>
      </c>
      <c r="I123" s="80" t="s">
        <v>113</v>
      </c>
      <c r="J123" s="80"/>
      <c r="K123" s="80" t="s">
        <v>393</v>
      </c>
      <c r="L123" s="82" t="s">
        <v>81</v>
      </c>
      <c r="M123" s="82" t="s">
        <v>81</v>
      </c>
      <c r="N123" s="83">
        <v>43040</v>
      </c>
      <c r="O123" s="83">
        <v>15760</v>
      </c>
      <c r="P123" s="84">
        <v>27280</v>
      </c>
      <c r="Q123" s="85">
        <v>45836</v>
      </c>
    </row>
    <row r="124" spans="1:17" ht="22.5">
      <c r="A124" s="79">
        <v>123</v>
      </c>
      <c r="B124" s="80" t="s">
        <v>394</v>
      </c>
      <c r="C124" s="80"/>
      <c r="D124" s="80"/>
      <c r="E124" s="80" t="s">
        <v>395</v>
      </c>
      <c r="F124" s="80" t="s">
        <v>324</v>
      </c>
      <c r="G124" s="81" t="s">
        <v>325</v>
      </c>
      <c r="H124" s="80" t="s">
        <v>326</v>
      </c>
      <c r="I124" s="80" t="s">
        <v>113</v>
      </c>
      <c r="J124" s="80"/>
      <c r="K124" s="80" t="s">
        <v>384</v>
      </c>
      <c r="L124" s="82" t="s">
        <v>81</v>
      </c>
      <c r="M124" s="82" t="s">
        <v>81</v>
      </c>
      <c r="N124" s="83">
        <v>43500</v>
      </c>
      <c r="O124" s="83">
        <v>15520</v>
      </c>
      <c r="P124" s="84">
        <v>27980</v>
      </c>
      <c r="Q124" s="85">
        <v>45836</v>
      </c>
    </row>
    <row r="125" spans="1:17" ht="33.75">
      <c r="A125" s="79">
        <v>124</v>
      </c>
      <c r="B125" s="80" t="s">
        <v>396</v>
      </c>
      <c r="C125" s="80"/>
      <c r="D125" s="80"/>
      <c r="E125" s="80" t="s">
        <v>397</v>
      </c>
      <c r="F125" s="80" t="s">
        <v>132</v>
      </c>
      <c r="G125" s="81" t="s">
        <v>398</v>
      </c>
      <c r="H125" s="80" t="s">
        <v>134</v>
      </c>
      <c r="I125" s="80" t="s">
        <v>113</v>
      </c>
      <c r="J125" s="80"/>
      <c r="K125" s="80" t="s">
        <v>393</v>
      </c>
      <c r="L125" s="82" t="s">
        <v>81</v>
      </c>
      <c r="M125" s="82" t="s">
        <v>81</v>
      </c>
      <c r="N125" s="83">
        <v>41560</v>
      </c>
      <c r="O125" s="83">
        <v>14360</v>
      </c>
      <c r="P125" s="84">
        <v>27200</v>
      </c>
      <c r="Q125" s="85">
        <v>45836</v>
      </c>
    </row>
    <row r="126" spans="1:17" ht="30.6" customHeight="1">
      <c r="A126" s="79">
        <v>125</v>
      </c>
      <c r="B126" s="80" t="s">
        <v>399</v>
      </c>
      <c r="C126" s="80"/>
      <c r="D126" s="80"/>
      <c r="E126" s="80" t="s">
        <v>400</v>
      </c>
      <c r="F126" s="80" t="s">
        <v>191</v>
      </c>
      <c r="G126" s="81" t="s">
        <v>192</v>
      </c>
      <c r="H126" s="80" t="s">
        <v>193</v>
      </c>
      <c r="I126" s="80" t="s">
        <v>113</v>
      </c>
      <c r="J126" s="80"/>
      <c r="K126" s="80" t="s">
        <v>393</v>
      </c>
      <c r="L126" s="82" t="s">
        <v>81</v>
      </c>
      <c r="M126" s="82" t="s">
        <v>81</v>
      </c>
      <c r="N126" s="83">
        <v>35540</v>
      </c>
      <c r="O126" s="83">
        <v>15400</v>
      </c>
      <c r="P126" s="84">
        <v>20140</v>
      </c>
      <c r="Q126" s="85">
        <v>45836</v>
      </c>
    </row>
    <row r="127" spans="1:17" ht="22.5">
      <c r="A127" s="79">
        <v>126</v>
      </c>
      <c r="B127" s="80" t="s">
        <v>401</v>
      </c>
      <c r="C127" s="80"/>
      <c r="D127" s="80"/>
      <c r="E127" s="80" t="s">
        <v>402</v>
      </c>
      <c r="F127" s="80" t="s">
        <v>241</v>
      </c>
      <c r="G127" s="81" t="s">
        <v>242</v>
      </c>
      <c r="H127" s="80" t="s">
        <v>243</v>
      </c>
      <c r="I127" s="80" t="s">
        <v>113</v>
      </c>
      <c r="J127" s="80"/>
      <c r="K127" s="80" t="s">
        <v>393</v>
      </c>
      <c r="L127" s="82" t="s">
        <v>81</v>
      </c>
      <c r="M127" s="82" t="s">
        <v>81</v>
      </c>
      <c r="N127" s="83">
        <v>40480</v>
      </c>
      <c r="O127" s="83">
        <v>15080</v>
      </c>
      <c r="P127" s="84">
        <v>25400</v>
      </c>
      <c r="Q127" s="85">
        <v>45836</v>
      </c>
    </row>
    <row r="128" spans="1:17" ht="22.5">
      <c r="A128" s="79">
        <v>127</v>
      </c>
      <c r="B128" s="80" t="s">
        <v>403</v>
      </c>
      <c r="C128" s="80"/>
      <c r="D128" s="80"/>
      <c r="E128" s="80" t="s">
        <v>404</v>
      </c>
      <c r="F128" s="80" t="s">
        <v>315</v>
      </c>
      <c r="G128" s="81" t="s">
        <v>316</v>
      </c>
      <c r="H128" s="80" t="s">
        <v>317</v>
      </c>
      <c r="I128" s="80" t="s">
        <v>113</v>
      </c>
      <c r="J128" s="80"/>
      <c r="K128" s="80" t="s">
        <v>393</v>
      </c>
      <c r="L128" s="82" t="s">
        <v>81</v>
      </c>
      <c r="M128" s="82" t="s">
        <v>81</v>
      </c>
      <c r="N128" s="83">
        <v>39560</v>
      </c>
      <c r="O128" s="83">
        <v>14840</v>
      </c>
      <c r="P128" s="84">
        <v>24720</v>
      </c>
      <c r="Q128" s="85">
        <v>45836</v>
      </c>
    </row>
    <row r="129" spans="1:16" ht="22.5" hidden="1">
      <c r="A129" s="79">
        <v>128</v>
      </c>
      <c r="B129" s="80" t="s">
        <v>405</v>
      </c>
      <c r="C129" s="80"/>
      <c r="D129" s="80"/>
      <c r="E129" s="80" t="s">
        <v>406</v>
      </c>
      <c r="F129" s="80" t="s">
        <v>122</v>
      </c>
      <c r="G129" s="81" t="s">
        <v>123</v>
      </c>
      <c r="H129" s="80" t="s">
        <v>112</v>
      </c>
      <c r="I129" s="80" t="s">
        <v>113</v>
      </c>
      <c r="J129" s="80"/>
      <c r="K129" s="80" t="s">
        <v>393</v>
      </c>
      <c r="L129" s="82" t="s">
        <v>81</v>
      </c>
      <c r="M129" s="82" t="s">
        <v>81</v>
      </c>
      <c r="N129" s="83">
        <v>7380</v>
      </c>
      <c r="O129" s="83">
        <v>4580</v>
      </c>
      <c r="P129" s="84">
        <v>2800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44EC9-F1D1-4809-8CA4-239368BA3B75}">
  <sheetPr codeName="Лист5">
    <tabColor theme="9" tint="0.39997558519241921"/>
  </sheetPr>
  <dimension ref="B2:Z24"/>
  <sheetViews>
    <sheetView zoomScale="80" zoomScaleNormal="80" workbookViewId="0">
      <selection activeCell="H39" sqref="H39"/>
    </sheetView>
  </sheetViews>
  <sheetFormatPr defaultColWidth="9.140625" defaultRowHeight="14.25"/>
  <cols>
    <col min="1" max="1" width="2.5703125" style="1" customWidth="1"/>
    <col min="2" max="2" width="36.28515625" style="1" customWidth="1"/>
    <col min="3" max="6" width="13.5703125" style="1" customWidth="1"/>
    <col min="7" max="8" width="12.85546875" style="1" customWidth="1"/>
    <col min="9" max="10" width="13.42578125" style="1" customWidth="1"/>
    <col min="11" max="11" width="9.140625" style="1"/>
    <col min="12" max="12" width="1.7109375" style="1" customWidth="1"/>
    <col min="13" max="13" width="13.42578125" style="1" customWidth="1"/>
    <col min="14" max="15" width="12.140625" style="1" customWidth="1"/>
    <col min="16" max="16" width="16.5703125" style="1" customWidth="1"/>
    <col min="17" max="18" width="14.85546875" style="1" customWidth="1"/>
    <col min="19" max="21" width="12.140625" style="1" customWidth="1"/>
    <col min="22" max="16384" width="9.140625" style="1"/>
  </cols>
  <sheetData>
    <row r="2" spans="2:26" ht="27.75" customHeight="1">
      <c r="B2" s="162" t="s">
        <v>467</v>
      </c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62"/>
      <c r="S2" s="62"/>
      <c r="T2" s="62"/>
      <c r="U2" s="62"/>
      <c r="V2" s="62"/>
      <c r="W2" s="62"/>
      <c r="X2" s="62"/>
      <c r="Y2" s="62"/>
      <c r="Z2" s="62"/>
    </row>
    <row r="3" spans="2:26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5" spans="2:26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J5" s="147"/>
      <c r="M5" s="28" t="s">
        <v>36</v>
      </c>
      <c r="N5" s="28" t="s">
        <v>34</v>
      </c>
      <c r="O5" s="28" t="s">
        <v>15</v>
      </c>
      <c r="P5" s="28" t="s">
        <v>13</v>
      </c>
      <c r="Q5" s="50" t="s">
        <v>41</v>
      </c>
      <c r="R5" s="28" t="s">
        <v>61</v>
      </c>
      <c r="S5" s="28" t="s">
        <v>37</v>
      </c>
      <c r="T5" s="28" t="s">
        <v>38</v>
      </c>
      <c r="U5" s="28" t="s">
        <v>60</v>
      </c>
    </row>
    <row r="6" spans="2:26">
      <c r="B6" s="11" t="s">
        <v>5</v>
      </c>
      <c r="C6" s="22"/>
      <c r="D6" s="12">
        <v>44450</v>
      </c>
      <c r="E6" s="12">
        <v>44811</v>
      </c>
      <c r="F6" s="12">
        <v>45182</v>
      </c>
      <c r="G6" s="12">
        <v>45531</v>
      </c>
      <c r="H6" s="12">
        <v>45894</v>
      </c>
      <c r="I6" s="92"/>
      <c r="J6" s="92"/>
      <c r="M6" s="51"/>
      <c r="N6" s="37"/>
      <c r="O6" s="34"/>
      <c r="P6" s="32"/>
      <c r="Q6" s="57">
        <f t="shared" ref="Q6:Q11" si="0">IFERROR(P6/100/O6,0)</f>
        <v>0</v>
      </c>
      <c r="R6" s="27"/>
      <c r="S6" s="27"/>
      <c r="T6" s="27"/>
      <c r="U6" s="27"/>
    </row>
    <row r="7" spans="2:26">
      <c r="B7" s="11" t="s">
        <v>6</v>
      </c>
      <c r="C7" s="22"/>
      <c r="D7" s="12">
        <v>44472</v>
      </c>
      <c r="E7" s="12">
        <v>44825</v>
      </c>
      <c r="F7" s="12">
        <v>45196</v>
      </c>
      <c r="G7" s="12">
        <v>45545</v>
      </c>
      <c r="H7" s="12">
        <v>45901</v>
      </c>
      <c r="I7" s="92"/>
      <c r="J7" s="92"/>
      <c r="K7" s="46"/>
      <c r="M7" s="51"/>
      <c r="N7" s="37"/>
      <c r="O7" s="34"/>
      <c r="P7" s="32"/>
      <c r="Q7" s="57">
        <f t="shared" si="0"/>
        <v>0</v>
      </c>
      <c r="R7" s="27"/>
      <c r="S7" s="27"/>
      <c r="T7" s="27"/>
      <c r="U7" s="27"/>
    </row>
    <row r="8" spans="2:26">
      <c r="B8" s="11" t="s">
        <v>7</v>
      </c>
      <c r="C8" s="13"/>
      <c r="D8" s="13">
        <v>23</v>
      </c>
      <c r="E8" s="13">
        <v>15</v>
      </c>
      <c r="F8" s="13">
        <v>15</v>
      </c>
      <c r="G8" s="13">
        <v>15</v>
      </c>
      <c r="H8" s="13">
        <v>8</v>
      </c>
      <c r="I8" s="93" t="str">
        <f>IF(I7=0,"-",I7-I6+1)</f>
        <v>-</v>
      </c>
      <c r="J8" s="93"/>
      <c r="M8" s="51"/>
      <c r="N8" s="37"/>
      <c r="O8" s="34"/>
      <c r="P8" s="32"/>
      <c r="Q8" s="57">
        <f t="shared" si="0"/>
        <v>0</v>
      </c>
      <c r="R8" s="27"/>
      <c r="S8" s="27"/>
      <c r="T8" s="27"/>
      <c r="U8" s="27"/>
    </row>
    <row r="9" spans="2:26">
      <c r="B9" s="11" t="s">
        <v>8</v>
      </c>
      <c r="C9" s="13"/>
      <c r="D9" s="13">
        <v>13</v>
      </c>
      <c r="E9" s="13">
        <v>13</v>
      </c>
      <c r="F9" s="13">
        <v>14</v>
      </c>
      <c r="G9" s="13">
        <v>12</v>
      </c>
      <c r="H9" s="13">
        <v>6</v>
      </c>
      <c r="I9" s="93">
        <v>6</v>
      </c>
      <c r="J9" s="93"/>
      <c r="M9" s="51"/>
      <c r="N9" s="37"/>
      <c r="O9" s="34"/>
      <c r="P9" s="32"/>
      <c r="Q9" s="57">
        <f t="shared" si="0"/>
        <v>0</v>
      </c>
      <c r="R9" s="27"/>
      <c r="S9" s="27"/>
      <c r="T9" s="27"/>
      <c r="U9" s="27"/>
    </row>
    <row r="10" spans="2:26" ht="15">
      <c r="B10" s="11" t="s">
        <v>9</v>
      </c>
      <c r="C10" s="14"/>
      <c r="D10" s="14" t="s">
        <v>25</v>
      </c>
      <c r="E10" s="14" t="s">
        <v>25</v>
      </c>
      <c r="F10" s="14" t="s">
        <v>29</v>
      </c>
      <c r="G10" s="14" t="s">
        <v>27</v>
      </c>
      <c r="H10" s="14" t="s">
        <v>105</v>
      </c>
      <c r="I10" s="94" t="s">
        <v>466</v>
      </c>
      <c r="J10" s="94"/>
      <c r="M10" s="51"/>
      <c r="N10" s="37"/>
      <c r="O10" s="34"/>
      <c r="P10" s="32"/>
      <c r="Q10" s="57">
        <f t="shared" si="0"/>
        <v>0</v>
      </c>
      <c r="R10" s="27"/>
      <c r="S10" s="27"/>
      <c r="T10" s="27"/>
      <c r="U10" s="27"/>
    </row>
    <row r="11" spans="2:26">
      <c r="B11" s="11" t="s">
        <v>13</v>
      </c>
      <c r="C11" s="15"/>
      <c r="D11" s="48">
        <v>2652.86</v>
      </c>
      <c r="E11" s="48">
        <v>2415.94</v>
      </c>
      <c r="F11" s="48">
        <v>2783</v>
      </c>
      <c r="G11" s="48">
        <v>1772.96</v>
      </c>
      <c r="H11" s="48">
        <v>298.27999999999997</v>
      </c>
      <c r="I11" s="95">
        <f>P12/1000</f>
        <v>0</v>
      </c>
      <c r="J11" s="95"/>
      <c r="M11" s="51"/>
      <c r="N11" s="37"/>
      <c r="O11" s="34"/>
      <c r="P11" s="32"/>
      <c r="Q11" s="57">
        <f t="shared" si="0"/>
        <v>0</v>
      </c>
      <c r="R11" s="27"/>
      <c r="S11" s="27"/>
      <c r="T11" s="27"/>
      <c r="U11" s="27"/>
    </row>
    <row r="12" spans="2:26">
      <c r="B12" s="11" t="s">
        <v>14</v>
      </c>
      <c r="C12" s="16"/>
      <c r="D12" s="16">
        <v>798</v>
      </c>
      <c r="E12" s="16">
        <v>904</v>
      </c>
      <c r="F12" s="16">
        <v>965</v>
      </c>
      <c r="G12" s="16">
        <v>1063</v>
      </c>
      <c r="H12" s="16">
        <v>410</v>
      </c>
      <c r="I12" s="96">
        <v>910</v>
      </c>
      <c r="J12" s="96"/>
      <c r="M12" s="28" t="s">
        <v>40</v>
      </c>
      <c r="N12" s="28">
        <f>SUM(N6:N11)</f>
        <v>0</v>
      </c>
      <c r="O12" s="35">
        <f>SUM(O6:O11)</f>
        <v>0</v>
      </c>
      <c r="P12" s="33">
        <f>SUM(P6:P11)</f>
        <v>0</v>
      </c>
      <c r="Q12" s="58">
        <f>IFERROR(P12/100/O12,0)</f>
        <v>0</v>
      </c>
      <c r="R12" s="29">
        <f>IFERROR(AVERAGE(R6:R11),)</f>
        <v>0</v>
      </c>
      <c r="S12" s="29">
        <f t="shared" ref="S12:U12" si="1">IFERROR(AVERAGE(S6:S11),)</f>
        <v>0</v>
      </c>
      <c r="T12" s="29">
        <f t="shared" si="1"/>
        <v>0</v>
      </c>
      <c r="U12" s="29">
        <f t="shared" si="1"/>
        <v>0</v>
      </c>
    </row>
    <row r="13" spans="2:26">
      <c r="B13" s="11" t="s">
        <v>15</v>
      </c>
      <c r="C13" s="16"/>
      <c r="D13" s="16">
        <v>798</v>
      </c>
      <c r="E13" s="16">
        <v>904</v>
      </c>
      <c r="F13" s="16">
        <v>956</v>
      </c>
      <c r="G13" s="16">
        <v>1063</v>
      </c>
      <c r="H13" s="16">
        <v>410</v>
      </c>
      <c r="I13" s="96">
        <f>O12</f>
        <v>0</v>
      </c>
      <c r="J13" s="96"/>
    </row>
    <row r="14" spans="2:26" ht="15">
      <c r="B14" s="11" t="s">
        <v>32</v>
      </c>
      <c r="C14" s="17"/>
      <c r="D14" s="17">
        <v>33.243859649122804</v>
      </c>
      <c r="E14" s="17">
        <v>26.724999999999998</v>
      </c>
      <c r="F14" s="17">
        <v>29.110878661087867</v>
      </c>
      <c r="G14" s="17">
        <v>16.678833490122294</v>
      </c>
      <c r="H14" s="17">
        <v>7.2751219512195116</v>
      </c>
      <c r="I14" s="104">
        <f>IFERROR(I11*10/I13,)</f>
        <v>0</v>
      </c>
      <c r="J14" s="104"/>
    </row>
    <row r="15" spans="2:26" ht="18" customHeight="1">
      <c r="B15" s="11" t="s">
        <v>16</v>
      </c>
      <c r="C15" s="18"/>
      <c r="D15" s="18">
        <v>27.3</v>
      </c>
      <c r="E15" s="18">
        <v>25.4</v>
      </c>
      <c r="F15" s="18">
        <v>28.8</v>
      </c>
      <c r="G15" s="18">
        <v>19.899999999999999</v>
      </c>
      <c r="H15" s="18">
        <v>12.2</v>
      </c>
      <c r="I15" s="100">
        <v>0</v>
      </c>
      <c r="J15" s="103"/>
    </row>
    <row r="16" spans="2:26" s="8" customFormat="1" ht="15">
      <c r="B16" s="5" t="s">
        <v>17</v>
      </c>
      <c r="C16" s="6"/>
      <c r="D16" s="7" t="s">
        <v>24</v>
      </c>
      <c r="E16" s="7" t="s">
        <v>20</v>
      </c>
      <c r="F16" s="7" t="s">
        <v>99</v>
      </c>
      <c r="G16" s="6" t="s">
        <v>100</v>
      </c>
      <c r="H16" s="6" t="s">
        <v>462</v>
      </c>
      <c r="I16" s="6" t="s">
        <v>465</v>
      </c>
      <c r="J16" s="6"/>
      <c r="M16" s="1"/>
      <c r="N16" s="42"/>
      <c r="O16" s="42"/>
      <c r="P16" s="42"/>
      <c r="Q16" s="1"/>
      <c r="R16" s="1"/>
      <c r="S16" s="1"/>
      <c r="T16" s="1"/>
      <c r="U16" s="1"/>
    </row>
    <row r="19" spans="2:12" ht="18">
      <c r="B19" s="21" t="s">
        <v>468</v>
      </c>
      <c r="C19" s="23"/>
      <c r="D19" s="20"/>
      <c r="E19" s="3"/>
      <c r="F19" s="3"/>
      <c r="G19" s="3"/>
      <c r="H19" s="3"/>
      <c r="I19" s="3"/>
      <c r="J19" s="3"/>
      <c r="K19" s="3"/>
      <c r="L19" s="3"/>
    </row>
    <row r="20" spans="2:12" ht="15">
      <c r="B20" s="11" t="s">
        <v>18</v>
      </c>
      <c r="C20" s="48">
        <v>2639</v>
      </c>
      <c r="D20" s="24">
        <f>C20*10/I12</f>
        <v>29</v>
      </c>
    </row>
    <row r="21" spans="2:12" ht="15">
      <c r="B21" s="72" t="s">
        <v>19</v>
      </c>
      <c r="C21" s="73">
        <f>P12/1000</f>
        <v>0</v>
      </c>
      <c r="D21" s="61">
        <f>IFERROR(C21*10/O12, )</f>
        <v>0</v>
      </c>
    </row>
    <row r="22" spans="2:12">
      <c r="B22" s="11"/>
      <c r="C22" s="48"/>
    </row>
    <row r="23" spans="2:12">
      <c r="B23" s="11" t="s">
        <v>64</v>
      </c>
      <c r="C23" s="19">
        <f>O12/I12</f>
        <v>0</v>
      </c>
      <c r="D23" s="25"/>
    </row>
    <row r="24" spans="2:12">
      <c r="B24" s="11" t="s">
        <v>62</v>
      </c>
      <c r="C24" s="19">
        <f>C21/C20</f>
        <v>0</v>
      </c>
      <c r="E24" s="161"/>
      <c r="F24" s="161"/>
    </row>
  </sheetData>
  <mergeCells count="2">
    <mergeCell ref="E24:F24"/>
    <mergeCell ref="B2:Q2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FCCFD-40E8-4964-B688-2B102CBC2840}">
  <sheetPr codeName="Лист6">
    <tabColor theme="9" tint="0.39997558519241921"/>
  </sheetPr>
  <dimension ref="B2:Y27"/>
  <sheetViews>
    <sheetView zoomScale="80" zoomScaleNormal="80" workbookViewId="0">
      <selection activeCell="E43" sqref="E42:E43"/>
    </sheetView>
  </sheetViews>
  <sheetFormatPr defaultColWidth="9.140625" defaultRowHeight="14.25"/>
  <cols>
    <col min="1" max="1" width="2.5703125" style="1" customWidth="1"/>
    <col min="2" max="2" width="36.28515625" style="1" customWidth="1"/>
    <col min="3" max="6" width="13.5703125" style="1" customWidth="1"/>
    <col min="7" max="8" width="12.85546875" style="1" customWidth="1"/>
    <col min="9" max="9" width="13.42578125" style="1" customWidth="1"/>
    <col min="10" max="11" width="4.28515625" style="1" customWidth="1"/>
    <col min="12" max="12" width="13.42578125" style="1" customWidth="1"/>
    <col min="13" max="14" width="12.140625" style="1" customWidth="1"/>
    <col min="15" max="15" width="16.5703125" style="1" customWidth="1"/>
    <col min="16" max="17" width="14.85546875" style="1" customWidth="1"/>
    <col min="18" max="19" width="12.140625" style="1" customWidth="1"/>
    <col min="20" max="20" width="14.7109375" style="1" customWidth="1"/>
    <col min="21" max="21" width="47.28515625" style="1" customWidth="1"/>
    <col min="22" max="16384" width="9.140625" style="1"/>
  </cols>
  <sheetData>
    <row r="2" spans="2:25" ht="27.75" customHeight="1">
      <c r="B2" s="162" t="s">
        <v>469</v>
      </c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62"/>
      <c r="R2" s="62"/>
      <c r="S2" s="62"/>
      <c r="T2" s="62"/>
      <c r="U2" s="62"/>
      <c r="V2" s="62"/>
      <c r="W2" s="62"/>
      <c r="X2" s="62"/>
      <c r="Y2" s="62"/>
    </row>
    <row r="3" spans="2:25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 spans="2:25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61</v>
      </c>
      <c r="R5" s="28" t="s">
        <v>37</v>
      </c>
      <c r="S5" s="28" t="s">
        <v>38</v>
      </c>
      <c r="T5" s="28" t="s">
        <v>60</v>
      </c>
    </row>
    <row r="6" spans="2:25">
      <c r="B6" s="11" t="s">
        <v>5</v>
      </c>
      <c r="C6" s="22"/>
      <c r="D6" s="12"/>
      <c r="E6" s="12"/>
      <c r="F6" s="12"/>
      <c r="G6" s="12"/>
      <c r="H6" s="12">
        <v>45913</v>
      </c>
      <c r="I6" s="92"/>
      <c r="L6" s="51"/>
      <c r="M6" s="37"/>
      <c r="N6" s="34"/>
      <c r="O6" s="32"/>
      <c r="P6" s="57"/>
      <c r="Q6" s="128"/>
      <c r="R6" s="128"/>
      <c r="S6" s="128"/>
      <c r="T6" s="128"/>
    </row>
    <row r="7" spans="2:25">
      <c r="B7" s="11" t="s">
        <v>6</v>
      </c>
      <c r="C7" s="22"/>
      <c r="D7" s="12"/>
      <c r="E7" s="12"/>
      <c r="F7" s="12"/>
      <c r="G7" s="12"/>
      <c r="H7" s="12">
        <v>45927</v>
      </c>
      <c r="I7" s="92"/>
      <c r="J7" s="46"/>
      <c r="L7" s="51"/>
      <c r="M7" s="37"/>
      <c r="N7" s="34"/>
      <c r="O7" s="32"/>
      <c r="P7" s="57"/>
      <c r="Q7" s="128"/>
      <c r="R7" s="128"/>
      <c r="S7" s="128"/>
      <c r="T7" s="128"/>
    </row>
    <row r="8" spans="2:25">
      <c r="B8" s="11" t="s">
        <v>7</v>
      </c>
      <c r="C8" s="13"/>
      <c r="D8" s="13"/>
      <c r="E8" s="13"/>
      <c r="F8" s="13"/>
      <c r="G8" s="13"/>
      <c r="H8" s="13">
        <v>15</v>
      </c>
      <c r="I8" s="93" t="str">
        <f>IF(I7=0,"-",I7-I6+1)</f>
        <v>-</v>
      </c>
      <c r="L8" s="51"/>
      <c r="M8" s="37"/>
      <c r="N8" s="34"/>
      <c r="O8" s="32"/>
      <c r="P8" s="57"/>
      <c r="Q8" s="128"/>
      <c r="R8" s="128"/>
      <c r="S8" s="128"/>
      <c r="T8" s="128"/>
    </row>
    <row r="9" spans="2:25">
      <c r="B9" s="11" t="s">
        <v>8</v>
      </c>
      <c r="C9" s="13"/>
      <c r="D9" s="13"/>
      <c r="E9" s="13"/>
      <c r="F9" s="13"/>
      <c r="G9" s="13"/>
      <c r="H9" s="13">
        <v>10</v>
      </c>
      <c r="I9" s="93">
        <v>0</v>
      </c>
      <c r="L9" s="51"/>
      <c r="M9" s="37"/>
      <c r="N9" s="34"/>
      <c r="O9" s="32"/>
      <c r="P9" s="57"/>
      <c r="Q9" s="128"/>
      <c r="R9" s="128"/>
      <c r="S9" s="128"/>
      <c r="T9" s="128"/>
    </row>
    <row r="10" spans="2:25" ht="15">
      <c r="B10" s="11" t="s">
        <v>9</v>
      </c>
      <c r="C10" s="14"/>
      <c r="D10" s="14"/>
      <c r="E10" s="14"/>
      <c r="F10" s="14"/>
      <c r="G10" s="14"/>
      <c r="H10" s="14" t="s">
        <v>448</v>
      </c>
      <c r="I10" s="129" t="s">
        <v>466</v>
      </c>
      <c r="L10" s="51"/>
      <c r="M10" s="37"/>
      <c r="N10" s="34"/>
      <c r="O10" s="32"/>
      <c r="P10" s="57"/>
      <c r="Q10" s="27"/>
      <c r="R10" s="27"/>
      <c r="S10" s="27"/>
      <c r="T10" s="27"/>
    </row>
    <row r="11" spans="2:25" ht="15.6" customHeight="1">
      <c r="B11" s="11" t="s">
        <v>13</v>
      </c>
      <c r="C11" s="15"/>
      <c r="D11" s="48"/>
      <c r="E11" s="48"/>
      <c r="F11" s="48"/>
      <c r="G11" s="48"/>
      <c r="H11" s="48">
        <v>146.08000000000001</v>
      </c>
      <c r="I11" s="95">
        <f>O23/1000</f>
        <v>0</v>
      </c>
      <c r="L11" s="51"/>
      <c r="M11" s="37"/>
      <c r="N11" s="34"/>
      <c r="O11" s="32"/>
      <c r="P11" s="57"/>
      <c r="Q11" s="27"/>
      <c r="R11" s="27"/>
      <c r="S11" s="27"/>
      <c r="T11" s="27"/>
      <c r="U11" s="137"/>
    </row>
    <row r="12" spans="2:25">
      <c r="B12" s="11" t="s">
        <v>14</v>
      </c>
      <c r="C12" s="16"/>
      <c r="D12" s="16"/>
      <c r="E12" s="16"/>
      <c r="F12" s="16"/>
      <c r="G12" s="16"/>
      <c r="H12" s="16">
        <v>358</v>
      </c>
      <c r="I12" s="96">
        <v>0</v>
      </c>
      <c r="L12" s="51"/>
      <c r="M12" s="37"/>
      <c r="N12" s="34"/>
      <c r="O12" s="32"/>
      <c r="P12" s="57"/>
      <c r="Q12" s="27"/>
      <c r="R12" s="27"/>
      <c r="S12" s="27"/>
      <c r="T12" s="27"/>
      <c r="U12" s="138"/>
    </row>
    <row r="13" spans="2:25">
      <c r="B13" s="11" t="s">
        <v>15</v>
      </c>
      <c r="C13" s="16"/>
      <c r="D13" s="16"/>
      <c r="E13" s="16"/>
      <c r="F13" s="16"/>
      <c r="G13" s="16"/>
      <c r="H13" s="16">
        <v>358</v>
      </c>
      <c r="I13" s="96">
        <f>N23</f>
        <v>0</v>
      </c>
      <c r="L13" s="51"/>
      <c r="M13" s="64"/>
      <c r="N13" s="39"/>
      <c r="O13" s="40"/>
      <c r="P13" s="65"/>
      <c r="Q13" s="41"/>
      <c r="R13" s="41"/>
      <c r="S13" s="41"/>
      <c r="T13" s="41"/>
      <c r="U13" s="138"/>
    </row>
    <row r="14" spans="2:25" ht="15">
      <c r="B14" s="11" t="s">
        <v>32</v>
      </c>
      <c r="C14" s="17"/>
      <c r="D14" s="17"/>
      <c r="E14" s="17"/>
      <c r="F14" s="17"/>
      <c r="G14" s="17"/>
      <c r="H14" s="17">
        <v>4.0804469273743011</v>
      </c>
      <c r="I14" s="104">
        <f>P23</f>
        <v>0</v>
      </c>
      <c r="L14" s="51"/>
      <c r="M14" s="64"/>
      <c r="N14" s="39"/>
      <c r="O14" s="40"/>
      <c r="P14" s="65"/>
      <c r="Q14" s="41"/>
      <c r="R14" s="41"/>
      <c r="S14" s="41"/>
      <c r="T14" s="41"/>
      <c r="U14" s="138"/>
    </row>
    <row r="15" spans="2:25" ht="15" customHeight="1">
      <c r="B15" s="11" t="s">
        <v>16</v>
      </c>
      <c r="C15" s="18"/>
      <c r="D15" s="18"/>
      <c r="E15" s="18"/>
      <c r="F15" s="18"/>
      <c r="G15" s="18"/>
      <c r="H15" s="18"/>
      <c r="I15" s="100"/>
      <c r="L15" s="51"/>
      <c r="M15" s="37"/>
      <c r="N15" s="34"/>
      <c r="O15" s="32"/>
      <c r="P15" s="65"/>
      <c r="Q15" s="27"/>
      <c r="R15" s="27"/>
      <c r="S15" s="27"/>
      <c r="T15" s="27"/>
      <c r="U15" s="138"/>
    </row>
    <row r="16" spans="2:25" s="8" customFormat="1" ht="15">
      <c r="B16" s="5" t="s">
        <v>17</v>
      </c>
      <c r="C16" s="6"/>
      <c r="D16" s="7"/>
      <c r="E16" s="7"/>
      <c r="F16" s="7"/>
      <c r="G16" s="6"/>
      <c r="H16" s="6"/>
      <c r="I16" s="101"/>
      <c r="L16" s="63"/>
      <c r="M16" s="64"/>
      <c r="N16" s="39"/>
      <c r="O16" s="40"/>
      <c r="P16" s="65"/>
      <c r="Q16" s="41"/>
      <c r="R16" s="41"/>
      <c r="S16" s="41"/>
      <c r="T16" s="41"/>
      <c r="U16" s="137"/>
    </row>
    <row r="17" spans="2:21">
      <c r="L17" s="63"/>
      <c r="M17" s="64"/>
      <c r="N17" s="39"/>
      <c r="O17" s="40"/>
      <c r="P17" s="65"/>
      <c r="Q17" s="41"/>
      <c r="R17" s="41"/>
      <c r="S17" s="41"/>
      <c r="T17" s="41"/>
      <c r="U17" s="137"/>
    </row>
    <row r="18" spans="2:21">
      <c r="L18" s="63"/>
      <c r="M18" s="64"/>
      <c r="N18" s="39"/>
      <c r="O18" s="40"/>
      <c r="P18" s="65"/>
      <c r="Q18" s="41"/>
      <c r="R18" s="41"/>
      <c r="S18" s="41"/>
      <c r="T18" s="41"/>
      <c r="U18" s="137"/>
    </row>
    <row r="19" spans="2:21" ht="18">
      <c r="B19" s="21" t="s">
        <v>468</v>
      </c>
      <c r="C19" s="23"/>
      <c r="D19" s="20"/>
      <c r="E19" s="3"/>
      <c r="F19" s="3"/>
      <c r="G19" s="3"/>
      <c r="H19" s="3"/>
      <c r="I19" s="3"/>
      <c r="J19" s="3"/>
      <c r="K19" s="3"/>
      <c r="L19" s="63"/>
      <c r="M19" s="64"/>
      <c r="N19" s="39"/>
      <c r="O19" s="40"/>
      <c r="P19" s="65"/>
      <c r="Q19" s="41"/>
      <c r="R19" s="41"/>
      <c r="S19" s="41"/>
      <c r="T19" s="41"/>
      <c r="U19" s="137"/>
    </row>
    <row r="20" spans="2:21" ht="15">
      <c r="B20" s="11" t="s">
        <v>18</v>
      </c>
      <c r="C20" s="48">
        <f>0</f>
        <v>0</v>
      </c>
      <c r="D20" s="24">
        <f>IFERROR(C20*10/I12,)</f>
        <v>0</v>
      </c>
      <c r="L20" s="63"/>
      <c r="M20" s="64"/>
      <c r="N20" s="39"/>
      <c r="O20" s="40"/>
      <c r="P20" s="65"/>
      <c r="Q20" s="41"/>
      <c r="R20" s="41"/>
      <c r="S20" s="41"/>
      <c r="T20" s="41"/>
      <c r="U20" s="137"/>
    </row>
    <row r="21" spans="2:21" ht="15">
      <c r="B21" s="72" t="s">
        <v>19</v>
      </c>
      <c r="C21" s="73">
        <f>O23/1000</f>
        <v>0</v>
      </c>
      <c r="D21" s="61">
        <f>IFERROR(C21*10/N23, )</f>
        <v>0</v>
      </c>
      <c r="L21" s="63"/>
      <c r="M21" s="64"/>
      <c r="N21" s="39"/>
      <c r="O21" s="40"/>
      <c r="P21" s="65"/>
      <c r="Q21" s="41"/>
      <c r="R21" s="41"/>
      <c r="S21" s="41"/>
      <c r="T21" s="41"/>
    </row>
    <row r="22" spans="2:21">
      <c r="B22" s="11"/>
      <c r="C22" s="48"/>
      <c r="L22" s="63"/>
      <c r="M22" s="64"/>
      <c r="N22" s="39"/>
      <c r="O22" s="40"/>
      <c r="P22" s="65"/>
      <c r="Q22" s="41"/>
      <c r="R22" s="41"/>
      <c r="S22" s="41"/>
      <c r="T22" s="41"/>
    </row>
    <row r="23" spans="2:21">
      <c r="B23" s="11" t="s">
        <v>64</v>
      </c>
      <c r="C23" s="19">
        <f>IFERROR(I13/I12,)</f>
        <v>0</v>
      </c>
      <c r="D23" s="25"/>
      <c r="L23" s="28" t="s">
        <v>40</v>
      </c>
      <c r="M23" s="28">
        <f>SUM(M6:M22)</f>
        <v>0</v>
      </c>
      <c r="N23" s="35">
        <f>SUM(N6:N22)</f>
        <v>0</v>
      </c>
      <c r="O23" s="33">
        <f>SUM(O6:O22)</f>
        <v>0</v>
      </c>
      <c r="P23" s="58">
        <f>IFERROR(O23/100/N23,0)</f>
        <v>0</v>
      </c>
      <c r="Q23" s="29">
        <f>IFERROR(AVERAGE(Q6:Q22),)</f>
        <v>0</v>
      </c>
      <c r="R23" s="29">
        <f t="shared" ref="R23:T23" si="0">IFERROR(AVERAGE(R6:R22),)</f>
        <v>0</v>
      </c>
      <c r="S23" s="29">
        <f t="shared" si="0"/>
        <v>0</v>
      </c>
      <c r="T23" s="29">
        <f t="shared" si="0"/>
        <v>0</v>
      </c>
    </row>
    <row r="24" spans="2:21">
      <c r="B24" s="11" t="s">
        <v>62</v>
      </c>
      <c r="C24" s="19">
        <f>IFERROR(C21/C20,)</f>
        <v>0</v>
      </c>
      <c r="E24" s="161"/>
      <c r="F24" s="161"/>
    </row>
    <row r="27" spans="2:21">
      <c r="M27" s="42"/>
      <c r="N27" s="42"/>
      <c r="O27" s="42"/>
    </row>
  </sheetData>
  <mergeCells count="2">
    <mergeCell ref="B2:P2"/>
    <mergeCell ref="E24:F24"/>
  </mergeCells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5805B-4979-4A21-8426-48843C239426}">
  <dimension ref="A1:H29"/>
  <sheetViews>
    <sheetView showGridLines="0" workbookViewId="0">
      <selection activeCell="G34" sqref="G34"/>
    </sheetView>
  </sheetViews>
  <sheetFormatPr defaultColWidth="9.140625" defaultRowHeight="12.75"/>
  <cols>
    <col min="1" max="1" width="29" style="108" customWidth="1"/>
    <col min="2" max="2" width="10" style="108" customWidth="1"/>
    <col min="3" max="3" width="18.7109375" style="108" customWidth="1"/>
    <col min="4" max="4" width="12.5703125" style="112" customWidth="1"/>
    <col min="5" max="5" width="14.42578125" style="109" customWidth="1"/>
    <col min="6" max="6" width="12.5703125" style="108" customWidth="1"/>
    <col min="7" max="7" width="19.42578125" style="114" customWidth="1"/>
    <col min="8" max="8" width="15.85546875" style="110" customWidth="1"/>
    <col min="9" max="16384" width="9.140625" style="108"/>
  </cols>
  <sheetData>
    <row r="1" spans="1:8" s="105" customFormat="1" ht="48.75" customHeight="1">
      <c r="A1" s="105" t="s">
        <v>426</v>
      </c>
      <c r="B1" s="105" t="s">
        <v>420</v>
      </c>
      <c r="C1" s="105" t="s">
        <v>421</v>
      </c>
      <c r="D1" s="111" t="s">
        <v>422</v>
      </c>
      <c r="E1" s="105" t="s">
        <v>424</v>
      </c>
      <c r="F1" s="105" t="s">
        <v>425</v>
      </c>
      <c r="G1" s="113" t="s">
        <v>423</v>
      </c>
      <c r="H1" s="106" t="s">
        <v>32</v>
      </c>
    </row>
    <row r="2" spans="1:8" hidden="1">
      <c r="A2" s="107" t="s">
        <v>450</v>
      </c>
      <c r="B2" s="107" t="s">
        <v>411</v>
      </c>
      <c r="C2" s="108" t="s">
        <v>416</v>
      </c>
      <c r="D2" s="112">
        <v>92</v>
      </c>
      <c r="E2" s="109">
        <v>45894</v>
      </c>
      <c r="F2" s="108">
        <v>67</v>
      </c>
      <c r="G2" s="114">
        <v>39780</v>
      </c>
      <c r="H2" s="110">
        <f>IFERROR(Таблица3[[#This Row],[Валовый сбор, кг]]/100/Таблица3[[#This Row],[Площадь уборки, га]], "-")</f>
        <v>5.937313432835821</v>
      </c>
    </row>
    <row r="3" spans="1:8" hidden="1">
      <c r="A3" s="126" t="str">
        <f>A2</f>
        <v>Подсолнечник</v>
      </c>
      <c r="B3" s="107"/>
      <c r="E3" s="109">
        <v>45895</v>
      </c>
      <c r="F3" s="108">
        <v>25</v>
      </c>
      <c r="G3" s="114">
        <v>13980</v>
      </c>
      <c r="H3" s="110">
        <f>IFERROR(Таблица3[[#This Row],[Валовый сбор, кг]]/100/Таблица3[[#This Row],[Площадь уборки, га]], "-")</f>
        <v>5.5920000000000005</v>
      </c>
    </row>
    <row r="4" spans="1:8" hidden="1">
      <c r="A4" s="127" t="str">
        <f t="shared" ref="A4:A12" si="0">A3</f>
        <v>Подсолнечник</v>
      </c>
      <c r="B4" s="107" t="s">
        <v>413</v>
      </c>
      <c r="C4" s="108" t="s">
        <v>417</v>
      </c>
      <c r="D4" s="112">
        <v>46</v>
      </c>
      <c r="E4" s="109">
        <v>45895</v>
      </c>
      <c r="F4" s="108">
        <v>46</v>
      </c>
      <c r="G4" s="114">
        <v>45040</v>
      </c>
      <c r="H4" s="110">
        <f>IFERROR(Таблица3[[#This Row],[Валовый сбор, кг]]/100/Таблица3[[#This Row],[Площадь уборки, га]], "-")</f>
        <v>9.7913043478260864</v>
      </c>
    </row>
    <row r="5" spans="1:8" hidden="1">
      <c r="A5" s="126" t="str">
        <f t="shared" si="0"/>
        <v>Подсолнечник</v>
      </c>
      <c r="B5" s="107" t="s">
        <v>412</v>
      </c>
      <c r="C5" s="108" t="s">
        <v>417</v>
      </c>
      <c r="D5" s="112">
        <v>80</v>
      </c>
      <c r="E5" s="109">
        <v>45898</v>
      </c>
      <c r="F5" s="108">
        <v>56</v>
      </c>
      <c r="G5" s="114">
        <v>82980</v>
      </c>
      <c r="H5" s="110">
        <f>IFERROR(Таблица3[[#This Row],[Валовый сбор, кг]]/100/Таблица3[[#This Row],[Площадь уборки, га]], "-")</f>
        <v>14.817857142857141</v>
      </c>
    </row>
    <row r="6" spans="1:8" hidden="1">
      <c r="A6" s="127" t="str">
        <f t="shared" si="0"/>
        <v>Подсолнечник</v>
      </c>
      <c r="B6" s="107"/>
      <c r="E6" s="109">
        <v>45899</v>
      </c>
      <c r="F6" s="108">
        <v>24</v>
      </c>
      <c r="G6" s="114">
        <v>26940</v>
      </c>
      <c r="H6" s="110">
        <f>IFERROR(Таблица3[[#This Row],[Валовый сбор, кг]]/100/Таблица3[[#This Row],[Площадь уборки, га]], "-")</f>
        <v>11.225</v>
      </c>
    </row>
    <row r="7" spans="1:8" hidden="1">
      <c r="A7" s="126" t="str">
        <f t="shared" si="0"/>
        <v>Подсолнечник</v>
      </c>
      <c r="B7" s="107" t="s">
        <v>414</v>
      </c>
      <c r="C7" s="108" t="s">
        <v>418</v>
      </c>
      <c r="D7" s="112">
        <v>73</v>
      </c>
      <c r="E7" s="109">
        <v>45895</v>
      </c>
      <c r="F7" s="108">
        <v>10</v>
      </c>
      <c r="G7" s="114">
        <v>4580</v>
      </c>
      <c r="H7" s="110">
        <f>IFERROR(Таблица3[[#This Row],[Валовый сбор, кг]]/100/Таблица3[[#This Row],[Площадь уборки, га]], "-")</f>
        <v>4.58</v>
      </c>
    </row>
    <row r="8" spans="1:8" hidden="1">
      <c r="A8" s="127" t="str">
        <f t="shared" si="0"/>
        <v>Подсолнечник</v>
      </c>
      <c r="B8" s="107"/>
      <c r="E8" s="109">
        <v>45896</v>
      </c>
      <c r="F8" s="108">
        <v>62</v>
      </c>
      <c r="G8" s="114">
        <v>29060</v>
      </c>
      <c r="H8" s="110">
        <f>IFERROR(Таблица3[[#This Row],[Валовый сбор, кг]]/100/Таблица3[[#This Row],[Площадь уборки, га]], "-")</f>
        <v>4.6870967741935488</v>
      </c>
    </row>
    <row r="9" spans="1:8" hidden="1">
      <c r="A9" s="126" t="str">
        <f t="shared" si="0"/>
        <v>Подсолнечник</v>
      </c>
      <c r="B9" s="107"/>
      <c r="E9" s="109">
        <v>45898</v>
      </c>
      <c r="F9" s="108">
        <v>1</v>
      </c>
      <c r="G9" s="114">
        <v>1520</v>
      </c>
      <c r="H9" s="110">
        <f>IFERROR(Таблица3[[#This Row],[Валовый сбор, кг]]/100/Таблица3[[#This Row],[Площадь уборки, га]], "-")</f>
        <v>15.2</v>
      </c>
    </row>
    <row r="10" spans="1:8" hidden="1">
      <c r="A10" s="127" t="str">
        <f t="shared" si="0"/>
        <v>Подсолнечник</v>
      </c>
      <c r="B10" s="107"/>
      <c r="E10" s="109">
        <v>45901</v>
      </c>
      <c r="F10" s="108">
        <v>114</v>
      </c>
      <c r="G10" s="114">
        <v>52380</v>
      </c>
      <c r="H10" s="110">
        <f>IFERROR(Таблица3[[#This Row],[Валовый сбор, кг]]/100/Таблица3[[#This Row],[Площадь уборки, га]], "-")</f>
        <v>4.594736842105263</v>
      </c>
    </row>
    <row r="11" spans="1:8" hidden="1">
      <c r="A11" s="126" t="str">
        <f t="shared" si="0"/>
        <v>Подсолнечник</v>
      </c>
      <c r="B11" s="107" t="s">
        <v>415</v>
      </c>
      <c r="C11" s="108" t="s">
        <v>419</v>
      </c>
      <c r="D11" s="112">
        <v>119</v>
      </c>
      <c r="E11" s="109">
        <v>45896</v>
      </c>
      <c r="F11" s="108">
        <v>3</v>
      </c>
      <c r="G11" s="114">
        <v>1240</v>
      </c>
      <c r="H11" s="110">
        <f>IFERROR(Таблица3[[#This Row],[Валовый сбор, кг]]/100/Таблица3[[#This Row],[Площадь уборки, га]], "-")</f>
        <v>4.1333333333333337</v>
      </c>
    </row>
    <row r="12" spans="1:8" hidden="1">
      <c r="A12" s="127" t="str">
        <f t="shared" si="0"/>
        <v>Подсолнечник</v>
      </c>
      <c r="B12" s="107"/>
      <c r="E12" s="109">
        <v>45898</v>
      </c>
      <c r="F12" s="108">
        <v>2</v>
      </c>
      <c r="G12" s="114">
        <v>780</v>
      </c>
      <c r="H12" s="110">
        <f>IFERROR(Таблица3[[#This Row],[Валовый сбор, кг]]/100/Таблица3[[#This Row],[Площадь уборки, га]], "-")</f>
        <v>3.9</v>
      </c>
    </row>
    <row r="13" spans="1:8" ht="15">
      <c r="A13" s="107" t="s">
        <v>451</v>
      </c>
      <c r="B13" s="107" t="s">
        <v>453</v>
      </c>
      <c r="C13" t="s">
        <v>452</v>
      </c>
      <c r="D13" s="112">
        <v>131</v>
      </c>
      <c r="E13" s="109">
        <v>45913</v>
      </c>
      <c r="F13" s="136">
        <v>22</v>
      </c>
      <c r="G13" s="114">
        <v>6820</v>
      </c>
      <c r="H13" s="110">
        <f>IFERROR(Таблица3[[#This Row],[Валовый сбор, кг]]/100/Таблица3[[#This Row],[Площадь уборки, га]], "-")</f>
        <v>3.1</v>
      </c>
    </row>
    <row r="14" spans="1:8">
      <c r="A14" s="126" t="str">
        <f>A13</f>
        <v>Подсолнечник кондитерский</v>
      </c>
      <c r="B14" s="107"/>
      <c r="E14" s="109">
        <v>45914</v>
      </c>
      <c r="F14" s="136">
        <v>54</v>
      </c>
      <c r="G14" s="114">
        <v>17420</v>
      </c>
      <c r="H14" s="110">
        <f>IFERROR(Таблица3[[#This Row],[Валовый сбор, кг]]/100/Таблица3[[#This Row],[Площадь уборки, га]], "-")</f>
        <v>3.2259259259259259</v>
      </c>
    </row>
    <row r="15" spans="1:8">
      <c r="A15" s="127" t="str">
        <f>A14</f>
        <v>Подсолнечник кондитерский</v>
      </c>
      <c r="B15" s="107"/>
      <c r="E15" s="109">
        <v>45915</v>
      </c>
      <c r="F15" s="136">
        <v>3.5</v>
      </c>
      <c r="G15" s="114">
        <v>860</v>
      </c>
      <c r="H15" s="110">
        <f>IFERROR(Таблица3[[#This Row],[Валовый сбор, кг]]/100/Таблица3[[#This Row],[Площадь уборки, га]], "-")</f>
        <v>2.4571428571428569</v>
      </c>
    </row>
    <row r="16" spans="1:8">
      <c r="A16" s="107"/>
      <c r="B16" s="107"/>
      <c r="E16" s="109">
        <v>45927</v>
      </c>
      <c r="F16" s="146">
        <f>22.5+29</f>
        <v>51.5</v>
      </c>
      <c r="G16" s="114">
        <v>2820</v>
      </c>
      <c r="H16" s="110">
        <f>IFERROR(Таблица3[[#This Row],[Валовый сбор, кг]]/100/Таблица3[[#This Row],[Площадь уборки, га]], "-")</f>
        <v>0.54757281553398052</v>
      </c>
    </row>
    <row r="17" spans="1:8" ht="15">
      <c r="A17" s="127" t="str">
        <f>A15</f>
        <v>Подсолнечник кондитерский</v>
      </c>
      <c r="B17" s="107" t="s">
        <v>454</v>
      </c>
      <c r="C17" t="s">
        <v>452</v>
      </c>
      <c r="D17" s="130">
        <v>107</v>
      </c>
      <c r="E17" s="109">
        <v>45913</v>
      </c>
      <c r="F17" s="136">
        <v>4</v>
      </c>
      <c r="G17" s="114">
        <v>1300</v>
      </c>
      <c r="H17" s="110">
        <f>IFERROR(Таблица3[[#This Row],[Валовый сбор, кг]]/100/Таблица3[[#This Row],[Площадь уборки, га]], "-")</f>
        <v>3.25</v>
      </c>
    </row>
    <row r="18" spans="1:8">
      <c r="A18" s="126" t="str">
        <f t="shared" ref="A18:A28" si="1">A17</f>
        <v>Подсолнечник кондитерский</v>
      </c>
      <c r="B18" s="107"/>
      <c r="E18" s="109">
        <v>45915</v>
      </c>
      <c r="F18" s="136">
        <v>41</v>
      </c>
      <c r="G18" s="114">
        <v>6180</v>
      </c>
      <c r="H18" s="110">
        <f>IFERROR(Таблица3[[#This Row],[Валовый сбор, кг]]/100/Таблица3[[#This Row],[Площадь уборки, га]], "-")</f>
        <v>1.5073170731707317</v>
      </c>
    </row>
    <row r="19" spans="1:8">
      <c r="A19" s="127" t="str">
        <f t="shared" si="1"/>
        <v>Подсолнечник кондитерский</v>
      </c>
      <c r="B19" s="107"/>
      <c r="E19" s="109">
        <v>45916</v>
      </c>
      <c r="F19" s="136">
        <v>43</v>
      </c>
      <c r="G19" s="114">
        <v>20280</v>
      </c>
      <c r="H19" s="110">
        <f>IFERROR(Таблица3[[#This Row],[Валовый сбор, кг]]/100/Таблица3[[#This Row],[Площадь уборки, га]], "-")</f>
        <v>4.7162790697674417</v>
      </c>
    </row>
    <row r="20" spans="1:8">
      <c r="A20" s="126" t="s">
        <v>451</v>
      </c>
      <c r="B20" s="107"/>
      <c r="E20" s="109">
        <v>45917</v>
      </c>
      <c r="F20" s="136">
        <v>19</v>
      </c>
      <c r="G20" s="114">
        <v>13040</v>
      </c>
      <c r="H20" s="110">
        <f>IFERROR(Таблица3[[#This Row],[Валовый сбор, кг]]/100/Таблица3[[#This Row],[Площадь уборки, га]], "-")</f>
        <v>6.8631578947368421</v>
      </c>
    </row>
    <row r="21" spans="1:8" ht="15">
      <c r="A21" s="127" t="str">
        <f>A19</f>
        <v>Подсолнечник кондитерский</v>
      </c>
      <c r="B21" s="107" t="s">
        <v>455</v>
      </c>
      <c r="C21" t="s">
        <v>452</v>
      </c>
      <c r="D21" s="130">
        <v>96</v>
      </c>
      <c r="E21" s="109">
        <v>45913</v>
      </c>
      <c r="F21" s="136">
        <v>3</v>
      </c>
      <c r="G21" s="114">
        <v>1500</v>
      </c>
      <c r="H21" s="110">
        <f>IFERROR(Таблица3[[#This Row],[Валовый сбор, кг]]/100/Таблица3[[#This Row],[Площадь уборки, га]], "-")</f>
        <v>5</v>
      </c>
    </row>
    <row r="22" spans="1:8">
      <c r="A22" s="126" t="str">
        <f t="shared" si="1"/>
        <v>Подсолнечник кондитерский</v>
      </c>
      <c r="B22" s="107"/>
      <c r="E22" s="109">
        <v>45917</v>
      </c>
      <c r="F22" s="136">
        <v>19</v>
      </c>
      <c r="G22" s="114">
        <v>15040</v>
      </c>
      <c r="H22" s="110">
        <f>IFERROR(Таблица3[[#This Row],[Валовый сбор, кг]]/100/Таблица3[[#This Row],[Площадь уборки, га]], "-")</f>
        <v>7.9157894736842112</v>
      </c>
    </row>
    <row r="23" spans="1:8">
      <c r="A23" s="127" t="str">
        <f t="shared" si="1"/>
        <v>Подсолнечник кондитерский</v>
      </c>
      <c r="B23" s="107"/>
      <c r="E23" s="109">
        <v>45918</v>
      </c>
      <c r="F23" s="136">
        <v>35</v>
      </c>
      <c r="G23" s="114">
        <v>23400</v>
      </c>
      <c r="H23" s="110">
        <f>IFERROR(Таблица3[[#This Row],[Валовый сбор, кг]]/100/Таблица3[[#This Row],[Площадь уборки, га]], "-")</f>
        <v>6.6857142857142859</v>
      </c>
    </row>
    <row r="24" spans="1:8">
      <c r="A24" s="126" t="s">
        <v>451</v>
      </c>
      <c r="B24" s="107"/>
      <c r="E24" s="109">
        <v>45922</v>
      </c>
      <c r="F24" s="136">
        <v>5</v>
      </c>
      <c r="G24" s="114">
        <v>4180</v>
      </c>
      <c r="H24" s="110">
        <f>IFERROR(Таблица3[[#This Row],[Валовый сбор, кг]]/100/Таблица3[[#This Row],[Площадь уборки, га]], "-")</f>
        <v>8.36</v>
      </c>
    </row>
    <row r="25" spans="1:8">
      <c r="A25" s="127"/>
      <c r="B25" s="107"/>
      <c r="E25" s="109">
        <v>45923</v>
      </c>
      <c r="F25" s="136">
        <v>34</v>
      </c>
      <c r="G25" s="114">
        <v>22720</v>
      </c>
      <c r="H25" s="110">
        <f>IFERROR(Таблица3[[#This Row],[Валовый сбор, кг]]/100/Таблица3[[#This Row],[Площадь уборки, га]], "-")</f>
        <v>6.6823529411764699</v>
      </c>
    </row>
    <row r="26" spans="1:8" ht="15">
      <c r="A26" s="126" t="str">
        <f>A23</f>
        <v>Подсолнечник кондитерский</v>
      </c>
      <c r="B26" s="107" t="s">
        <v>456</v>
      </c>
      <c r="C26" t="s">
        <v>452</v>
      </c>
      <c r="D26" s="130">
        <v>24</v>
      </c>
      <c r="E26" s="109">
        <v>45913</v>
      </c>
      <c r="F26" s="136">
        <v>3</v>
      </c>
      <c r="G26" s="114">
        <v>1300</v>
      </c>
      <c r="H26" s="110">
        <f>IFERROR(Таблица3[[#This Row],[Валовый сбор, кг]]/100/Таблица3[[#This Row],[Площадь уборки, га]], "-")</f>
        <v>4.333333333333333</v>
      </c>
    </row>
    <row r="27" spans="1:8">
      <c r="A27" s="127" t="str">
        <f t="shared" si="1"/>
        <v>Подсолнечник кондитерский</v>
      </c>
      <c r="B27" s="107"/>
      <c r="E27" s="109">
        <v>45924</v>
      </c>
      <c r="F27" s="136">
        <v>11</v>
      </c>
      <c r="G27" s="114">
        <v>3600</v>
      </c>
      <c r="H27" s="110">
        <f>IFERROR(Таблица3[[#This Row],[Валовый сбор, кг]]/100/Таблица3[[#This Row],[Площадь уборки, га]], "-")</f>
        <v>3.2727272727272729</v>
      </c>
    </row>
    <row r="28" spans="1:8">
      <c r="A28" s="126" t="str">
        <f t="shared" si="1"/>
        <v>Подсолнечник кондитерский</v>
      </c>
      <c r="B28" s="107"/>
      <c r="E28" s="109">
        <v>45927</v>
      </c>
      <c r="F28" s="136">
        <v>10</v>
      </c>
      <c r="G28" s="114">
        <v>5620</v>
      </c>
      <c r="H28" s="110">
        <f>IFERROR(Таблица3[[#This Row],[Валовый сбор, кг]]/100/Таблица3[[#This Row],[Площадь уборки, га]], "-")</f>
        <v>5.62</v>
      </c>
    </row>
    <row r="29" spans="1:8">
      <c r="A29" s="107"/>
      <c r="B29" s="107"/>
      <c r="D29" s="112">
        <f>SUBTOTAL(109,Таблица3[Площадь поля, га])</f>
        <v>358</v>
      </c>
      <c r="F29" s="136">
        <f>SUBTOTAL(109,Таблица3[Площадь уборки, га])</f>
        <v>358</v>
      </c>
      <c r="G29" s="114">
        <f>SUBTOTAL(109,Таблица3[Валовый сбор, кг])</f>
        <v>146080</v>
      </c>
      <c r="H29" s="110">
        <f>IFERROR(Таблица3[[#Totals],[Валовый сбор, кг]]/100/Таблица3[[#Totals],[Площадь уборки, га]], "-")</f>
        <v>4.0804469273743011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7CC3E-631F-4796-8840-5349961DD51B}">
  <dimension ref="A1:H14"/>
  <sheetViews>
    <sheetView showGridLines="0" zoomScale="90" zoomScaleNormal="90" workbookViewId="0">
      <selection activeCell="G40" sqref="G40"/>
    </sheetView>
  </sheetViews>
  <sheetFormatPr defaultColWidth="9.140625" defaultRowHeight="12.75"/>
  <cols>
    <col min="1" max="1" width="29" style="108" customWidth="1"/>
    <col min="2" max="2" width="18.7109375" style="108" customWidth="1"/>
    <col min="3" max="3" width="12.5703125" style="112" customWidth="1"/>
    <col min="4" max="4" width="14.42578125" style="109" customWidth="1"/>
    <col min="5" max="5" width="12.5703125" style="108" customWidth="1"/>
    <col min="6" max="6" width="19.42578125" style="114" customWidth="1"/>
    <col min="7" max="7" width="15.85546875" style="110" customWidth="1"/>
    <col min="8" max="16384" width="9.140625" style="108"/>
  </cols>
  <sheetData>
    <row r="1" spans="1:8" s="105" customFormat="1" ht="48.75" customHeight="1">
      <c r="A1" s="105" t="s">
        <v>420</v>
      </c>
      <c r="B1" s="105" t="s">
        <v>421</v>
      </c>
      <c r="C1" s="111" t="s">
        <v>422</v>
      </c>
      <c r="D1" s="105" t="s">
        <v>424</v>
      </c>
      <c r="E1" s="105" t="s">
        <v>425</v>
      </c>
      <c r="F1" s="113" t="s">
        <v>423</v>
      </c>
      <c r="G1" s="106" t="s">
        <v>32</v>
      </c>
    </row>
    <row r="2" spans="1:8">
      <c r="A2" s="107" t="s">
        <v>444</v>
      </c>
      <c r="B2" s="108" t="s">
        <v>447</v>
      </c>
      <c r="C2" s="112">
        <v>60</v>
      </c>
      <c r="D2" s="109">
        <v>45897</v>
      </c>
      <c r="E2" s="108">
        <v>60</v>
      </c>
      <c r="F2" s="114">
        <v>45240</v>
      </c>
      <c r="G2" s="110">
        <f>IFERROR(Таблица37[[#This Row],[Валовый сбор, кг]]/100/Таблица37[[#This Row],[Площадь уборки, га]], "-")</f>
        <v>7.54</v>
      </c>
    </row>
    <row r="3" spans="1:8">
      <c r="A3" s="107" t="s">
        <v>445</v>
      </c>
      <c r="B3" s="108" t="s">
        <v>447</v>
      </c>
      <c r="C3" s="112">
        <v>58</v>
      </c>
      <c r="D3" s="109">
        <v>45896</v>
      </c>
      <c r="E3" s="108">
        <v>54</v>
      </c>
      <c r="F3" s="114">
        <v>40940</v>
      </c>
      <c r="G3" s="110">
        <f>IFERROR(Таблица37[[#This Row],[Валовый сбор, кг]]/100/Таблица37[[#This Row],[Площадь уборки, га]], "-")</f>
        <v>7.5814814814814815</v>
      </c>
    </row>
    <row r="4" spans="1:8">
      <c r="A4" s="107"/>
      <c r="D4" s="109">
        <v>45897</v>
      </c>
      <c r="E4" s="108">
        <v>4</v>
      </c>
      <c r="F4" s="114">
        <v>3500</v>
      </c>
      <c r="G4" s="110">
        <f>IFERROR(Таблица37[[#This Row],[Валовый сбор, кг]]/100/Таблица37[[#This Row],[Площадь уборки, га]], "-")</f>
        <v>8.75</v>
      </c>
    </row>
    <row r="5" spans="1:8">
      <c r="A5" s="107" t="s">
        <v>446</v>
      </c>
      <c r="B5" s="108" t="s">
        <v>447</v>
      </c>
      <c r="C5" s="112">
        <v>49</v>
      </c>
      <c r="D5" s="109">
        <v>45897</v>
      </c>
      <c r="E5" s="108">
        <v>49</v>
      </c>
      <c r="F5" s="114">
        <v>19620</v>
      </c>
      <c r="G5" s="110">
        <f>IFERROR(Таблица37[[#This Row],[Валовый сбор, кг]]/100/Таблица37[[#This Row],[Площадь уборки, га]], "-")</f>
        <v>4.0040816326530608</v>
      </c>
    </row>
    <row r="6" spans="1:8">
      <c r="A6" s="107"/>
      <c r="C6" s="112">
        <f>SUBTOTAL(109,Таблица37[Площадь поля, га])</f>
        <v>167</v>
      </c>
      <c r="E6" s="108">
        <f>SUBTOTAL(109,Таблица37[Площадь уборки, га])</f>
        <v>167</v>
      </c>
      <c r="F6" s="114">
        <f>SUBTOTAL(109,Таблица37[Валовый сбор, кг])</f>
        <v>109300</v>
      </c>
      <c r="G6" s="110">
        <f>IFERROR(Таблица37[[#Totals],[Валовый сбор, кг]]/100/Таблица37[[#Totals],[Площадь уборки, га]], "-")</f>
        <v>6.544910179640719</v>
      </c>
    </row>
    <row r="9" spans="1:8" ht="18">
      <c r="A9" s="21" t="s">
        <v>103</v>
      </c>
      <c r="B9" s="20"/>
      <c r="C9" s="20"/>
      <c r="D9" s="124"/>
    </row>
    <row r="10" spans="1:8" ht="15">
      <c r="A10" s="11" t="s">
        <v>18</v>
      </c>
      <c r="B10" s="48">
        <v>167</v>
      </c>
      <c r="C10" s="139">
        <v>167</v>
      </c>
      <c r="D10" s="24">
        <f>B10*10/C10</f>
        <v>10</v>
      </c>
      <c r="E10" s="109"/>
      <c r="F10" s="108"/>
      <c r="G10" s="114"/>
      <c r="H10" s="110"/>
    </row>
    <row r="11" spans="1:8" ht="15">
      <c r="A11" s="72" t="s">
        <v>19</v>
      </c>
      <c r="B11" s="73">
        <f>Таблица37[[#Totals],[Валовый сбор, кг]]/1000</f>
        <v>109.3</v>
      </c>
      <c r="C11" s="125">
        <f>Таблица37[[#Totals],[Площадь уборки, га]]</f>
        <v>167</v>
      </c>
      <c r="D11" s="104">
        <f>B11*10/C11</f>
        <v>6.544910179640719</v>
      </c>
      <c r="E11" s="109"/>
      <c r="F11" s="108"/>
      <c r="G11" s="114"/>
      <c r="H11" s="110"/>
    </row>
    <row r="12" spans="1:8" ht="14.25">
      <c r="A12" s="1"/>
      <c r="B12" s="1"/>
      <c r="C12" s="1"/>
      <c r="D12" s="1"/>
      <c r="E12" s="109"/>
      <c r="F12" s="108"/>
      <c r="G12" s="114"/>
      <c r="H12" s="110"/>
    </row>
    <row r="13" spans="1:8" ht="14.25">
      <c r="A13" s="11" t="s">
        <v>64</v>
      </c>
      <c r="B13" s="19">
        <f>C11/C10</f>
        <v>1</v>
      </c>
      <c r="C13" s="19"/>
      <c r="D13" s="25"/>
      <c r="E13" s="109"/>
      <c r="F13" s="108"/>
      <c r="G13" s="114"/>
      <c r="H13" s="110"/>
    </row>
    <row r="14" spans="1:8" ht="14.25">
      <c r="A14" s="11" t="s">
        <v>449</v>
      </c>
      <c r="B14" s="19">
        <f>B11/B10</f>
        <v>0.65449101796407183</v>
      </c>
      <c r="C14" s="19"/>
      <c r="D14" s="1"/>
      <c r="E14" s="109"/>
      <c r="F14" s="108"/>
      <c r="G14" s="114"/>
      <c r="H14" s="110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AE3CB-42CE-40D9-AEFC-4882F33BE66E}">
  <sheetPr codeName="Лист2">
    <tabColor theme="7" tint="0.39997558519241921"/>
  </sheetPr>
  <dimension ref="B2:AA40"/>
  <sheetViews>
    <sheetView zoomScale="90" zoomScaleNormal="90" workbookViewId="0">
      <selection activeCell="F31" sqref="F31"/>
    </sheetView>
  </sheetViews>
  <sheetFormatPr defaultColWidth="9.140625" defaultRowHeight="14.25" outlineLevelCol="1"/>
  <cols>
    <col min="1" max="1" width="3.28515625" style="1" customWidth="1"/>
    <col min="2" max="2" width="32.28515625" style="1" customWidth="1"/>
    <col min="3" max="6" width="13.5703125" style="1" customWidth="1"/>
    <col min="7" max="7" width="12.85546875" style="1" customWidth="1"/>
    <col min="8" max="8" width="14.28515625" style="1" customWidth="1"/>
    <col min="9" max="9" width="12.85546875" style="1" customWidth="1"/>
    <col min="10" max="12" width="2.85546875" style="1" customWidth="1"/>
    <col min="13" max="13" width="13.140625" style="1" customWidth="1"/>
    <col min="14" max="14" width="10.42578125" style="4" hidden="1" customWidth="1"/>
    <col min="15" max="15" width="12.140625" style="1" customWidth="1"/>
    <col min="16" max="16" width="15.28515625" style="1" customWidth="1"/>
    <col min="17" max="17" width="15.5703125" style="1" customWidth="1"/>
    <col min="18" max="19" width="12.42578125" style="1" hidden="1" customWidth="1" outlineLevel="1"/>
    <col min="20" max="20" width="13.5703125" style="1" hidden="1" customWidth="1" outlineLevel="1"/>
    <col min="21" max="22" width="12.42578125" style="1" hidden="1" customWidth="1" outlineLevel="1"/>
    <col min="23" max="23" width="8.85546875" style="1" customWidth="1" collapsed="1"/>
    <col min="24" max="24" width="11.42578125" style="1" customWidth="1"/>
    <col min="25" max="25" width="12.7109375" style="1" customWidth="1"/>
    <col min="26" max="26" width="9.28515625" style="1" customWidth="1"/>
    <col min="27" max="27" width="10.7109375" style="1" customWidth="1"/>
    <col min="28" max="16384" width="9.140625" style="1"/>
  </cols>
  <sheetData>
    <row r="2" spans="2:27" ht="27.75" customHeight="1">
      <c r="B2" s="162" t="s">
        <v>475</v>
      </c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75"/>
      <c r="V2" s="30"/>
      <c r="W2" s="30"/>
      <c r="X2" s="30"/>
    </row>
    <row r="3" spans="2:27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5" spans="2:27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M5" s="28" t="s">
        <v>36</v>
      </c>
      <c r="N5" s="28" t="s">
        <v>34</v>
      </c>
      <c r="O5" s="28" t="s">
        <v>15</v>
      </c>
      <c r="P5" s="28" t="s">
        <v>13</v>
      </c>
      <c r="Q5" s="28" t="s">
        <v>41</v>
      </c>
      <c r="R5" s="28" t="s">
        <v>41</v>
      </c>
      <c r="S5" s="28" t="s">
        <v>41</v>
      </c>
      <c r="T5" s="28" t="s">
        <v>41</v>
      </c>
      <c r="U5" s="28" t="s">
        <v>41</v>
      </c>
      <c r="V5" s="28" t="s">
        <v>41</v>
      </c>
      <c r="W5" s="28" t="s">
        <v>37</v>
      </c>
      <c r="X5" s="28" t="s">
        <v>38</v>
      </c>
      <c r="Y5" s="28" t="s">
        <v>39</v>
      </c>
      <c r="Z5" s="28" t="s">
        <v>35</v>
      </c>
      <c r="AA5" s="28" t="s">
        <v>42</v>
      </c>
    </row>
    <row r="6" spans="2:27">
      <c r="B6" s="11" t="s">
        <v>5</v>
      </c>
      <c r="C6" s="12">
        <v>44010</v>
      </c>
      <c r="D6" s="12">
        <v>44377</v>
      </c>
      <c r="E6" s="12">
        <v>45109</v>
      </c>
      <c r="F6" s="12">
        <v>45106</v>
      </c>
      <c r="G6" s="12">
        <v>45460</v>
      </c>
      <c r="H6" s="12">
        <v>45834</v>
      </c>
      <c r="I6" s="92">
        <f>M6</f>
        <v>46204</v>
      </c>
      <c r="M6" s="36">
        <v>46204</v>
      </c>
      <c r="N6" s="37"/>
      <c r="O6" s="89">
        <v>69</v>
      </c>
      <c r="P6" s="32">
        <f>274100+204760</f>
        <v>478860</v>
      </c>
      <c r="Q6" s="57">
        <f>IFERROR(P6/100/O6,0)</f>
        <v>69.400000000000006</v>
      </c>
      <c r="R6" s="36">
        <v>46205</v>
      </c>
      <c r="S6" s="37"/>
      <c r="T6" s="89">
        <v>70</v>
      </c>
      <c r="U6" s="32">
        <f t="shared" ref="U6" si="0">274100+204760</f>
        <v>478860</v>
      </c>
      <c r="V6" s="57">
        <f t="shared" ref="V6:V19" si="1">IFERROR(U6/100/T6,0)</f>
        <v>68.408571428571435</v>
      </c>
      <c r="W6" s="150">
        <v>0.14299999999999999</v>
      </c>
      <c r="X6" s="151">
        <v>0.13</v>
      </c>
      <c r="Y6" s="150">
        <v>0.27500000000000002</v>
      </c>
      <c r="Z6" s="152">
        <v>728</v>
      </c>
      <c r="AA6" s="150">
        <v>0</v>
      </c>
    </row>
    <row r="7" spans="2:27">
      <c r="B7" s="11" t="s">
        <v>6</v>
      </c>
      <c r="C7" s="12">
        <v>44031</v>
      </c>
      <c r="D7" s="12">
        <v>44407</v>
      </c>
      <c r="E7" s="12">
        <v>45136</v>
      </c>
      <c r="F7" s="12">
        <v>45140</v>
      </c>
      <c r="G7" s="12">
        <v>45476</v>
      </c>
      <c r="H7" s="12">
        <v>45850</v>
      </c>
      <c r="I7" s="92"/>
      <c r="M7" s="36">
        <v>46205</v>
      </c>
      <c r="N7" s="37"/>
      <c r="O7" s="89">
        <v>204</v>
      </c>
      <c r="P7" s="32">
        <v>1315380</v>
      </c>
      <c r="Q7" s="57">
        <f>IFERROR(P7/100/O7,0)</f>
        <v>64.479411764705873</v>
      </c>
      <c r="R7" s="36"/>
      <c r="S7" s="37"/>
      <c r="T7" s="89"/>
      <c r="U7" s="32"/>
      <c r="V7" s="57">
        <f t="shared" si="1"/>
        <v>0</v>
      </c>
      <c r="W7" s="150">
        <f>AVERAGE(0.116,0.114,0.134)</f>
        <v>0.12133333333333333</v>
      </c>
      <c r="X7" s="151">
        <f>AVERAGE(0.128,0.112,0.108)</f>
        <v>0.11599999999999999</v>
      </c>
      <c r="Y7" s="150">
        <f>AVERAGE(0.19,0.201,0.239)</f>
        <v>0.21</v>
      </c>
      <c r="Z7" s="155">
        <f>AVERAGE(719,770,777)</f>
        <v>755.33333333333337</v>
      </c>
      <c r="AA7" s="150">
        <v>0</v>
      </c>
    </row>
    <row r="8" spans="2:27">
      <c r="B8" s="11" t="s">
        <v>7</v>
      </c>
      <c r="C8" s="13">
        <f>IF(C7=0,"-",C7-C6+1)</f>
        <v>22</v>
      </c>
      <c r="D8" s="13">
        <f t="shared" ref="D8:G8" si="2">IF(D7=0,"-",D7-D6+1)</f>
        <v>31</v>
      </c>
      <c r="E8" s="13">
        <f t="shared" si="2"/>
        <v>28</v>
      </c>
      <c r="F8" s="13">
        <f t="shared" si="2"/>
        <v>35</v>
      </c>
      <c r="G8" s="13">
        <f t="shared" si="2"/>
        <v>17</v>
      </c>
      <c r="H8" s="13">
        <v>17</v>
      </c>
      <c r="I8" s="164" t="str">
        <f>IF(I7=0,"-",I7-I6+1)</f>
        <v>-</v>
      </c>
      <c r="M8" s="36">
        <v>46206</v>
      </c>
      <c r="N8" s="37"/>
      <c r="O8" s="89">
        <v>229</v>
      </c>
      <c r="P8" s="32">
        <v>1464280</v>
      </c>
      <c r="Q8" s="57">
        <f t="shared" ref="Q8:Q19" si="3">IFERROR(P8/100/O8,0)</f>
        <v>63.942358078602616</v>
      </c>
      <c r="R8" s="36"/>
      <c r="S8" s="37"/>
      <c r="T8" s="89"/>
      <c r="U8" s="32"/>
      <c r="V8" s="57">
        <f t="shared" si="1"/>
        <v>0</v>
      </c>
      <c r="W8" s="150">
        <f>AVERAGE(0.12,0.117)</f>
        <v>0.11849999999999999</v>
      </c>
      <c r="X8" s="151">
        <f>AVERAGE(0.121,0.115)</f>
        <v>0.11799999999999999</v>
      </c>
      <c r="Y8" s="150">
        <f>AVERAGE(0.204,0.205)</f>
        <v>0.20449999999999999</v>
      </c>
      <c r="Z8" s="155">
        <f>AVERAGE(774,778)</f>
        <v>776</v>
      </c>
      <c r="AA8" s="150">
        <v>0</v>
      </c>
    </row>
    <row r="9" spans="2:27">
      <c r="B9" s="11" t="s">
        <v>8</v>
      </c>
      <c r="C9" s="13">
        <v>21</v>
      </c>
      <c r="D9" s="13">
        <v>23</v>
      </c>
      <c r="E9" s="13">
        <v>24</v>
      </c>
      <c r="F9" s="13">
        <v>27</v>
      </c>
      <c r="G9" s="13">
        <v>17</v>
      </c>
      <c r="H9" s="13">
        <v>14</v>
      </c>
      <c r="I9" s="164">
        <v>0</v>
      </c>
      <c r="M9" s="36">
        <v>46207</v>
      </c>
      <c r="N9" s="37"/>
      <c r="O9" s="89">
        <v>156</v>
      </c>
      <c r="P9" s="32">
        <v>1121200</v>
      </c>
      <c r="Q9" s="57">
        <f t="shared" si="3"/>
        <v>71.871794871794876</v>
      </c>
      <c r="R9" s="36"/>
      <c r="S9" s="37"/>
      <c r="T9" s="89"/>
      <c r="U9" s="32"/>
      <c r="V9" s="57">
        <f t="shared" si="1"/>
        <v>0</v>
      </c>
      <c r="W9" s="150">
        <v>0.123</v>
      </c>
      <c r="X9" s="151">
        <v>0.124</v>
      </c>
      <c r="Y9" s="150">
        <v>0.22</v>
      </c>
      <c r="Z9" s="155">
        <v>787</v>
      </c>
      <c r="AA9" s="150">
        <v>0</v>
      </c>
    </row>
    <row r="10" spans="2:27" ht="15">
      <c r="B10" s="11" t="s">
        <v>9</v>
      </c>
      <c r="C10" s="14" t="s">
        <v>10</v>
      </c>
      <c r="D10" s="14" t="s">
        <v>10</v>
      </c>
      <c r="E10" s="14" t="s">
        <v>11</v>
      </c>
      <c r="F10" s="14" t="s">
        <v>12</v>
      </c>
      <c r="G10" s="14" t="s">
        <v>43</v>
      </c>
      <c r="H10" s="14" t="s">
        <v>410</v>
      </c>
      <c r="I10" s="94" t="s">
        <v>476</v>
      </c>
      <c r="M10" s="36">
        <v>46208</v>
      </c>
      <c r="N10" s="37"/>
      <c r="O10" s="89">
        <v>245</v>
      </c>
      <c r="P10" s="32">
        <v>1736590</v>
      </c>
      <c r="Q10" s="57">
        <f t="shared" si="3"/>
        <v>70.881224489795926</v>
      </c>
      <c r="R10" s="36"/>
      <c r="S10" s="37"/>
      <c r="T10" s="89"/>
      <c r="U10" s="32"/>
      <c r="V10" s="57">
        <f t="shared" si="1"/>
        <v>0</v>
      </c>
      <c r="W10" s="150">
        <f>AVERAGE(0.125,0.132,0.117)</f>
        <v>0.12466666666666666</v>
      </c>
      <c r="X10" s="151">
        <f>AVERAGE(0.133,0.134,0.143)</f>
        <v>0.13666666666666669</v>
      </c>
      <c r="Y10" s="150">
        <f>AVERAGE(0.218,0.232,0.184)</f>
        <v>0.21133333333333335</v>
      </c>
      <c r="Z10" s="155">
        <f>AVERAGE(780,773,768)</f>
        <v>773.66666666666663</v>
      </c>
      <c r="AA10" s="157">
        <f>AVERAGE(0.2%,0,0)</f>
        <v>6.6666666666666664E-4</v>
      </c>
    </row>
    <row r="11" spans="2:27">
      <c r="B11" s="11" t="s">
        <v>13</v>
      </c>
      <c r="C11" s="48">
        <v>15809.01</v>
      </c>
      <c r="D11" s="48">
        <v>18722.34</v>
      </c>
      <c r="E11" s="48">
        <v>22621.25</v>
      </c>
      <c r="F11" s="48">
        <v>16385.28</v>
      </c>
      <c r="G11" s="48">
        <v>18615.46</v>
      </c>
      <c r="H11" s="48">
        <v>18818.61</v>
      </c>
      <c r="I11" s="95">
        <f>C21</f>
        <v>11845.97</v>
      </c>
      <c r="M11" s="36">
        <v>46209</v>
      </c>
      <c r="N11" s="37"/>
      <c r="O11" s="89">
        <v>246</v>
      </c>
      <c r="P11" s="32">
        <v>1638000</v>
      </c>
      <c r="Q11" s="57">
        <f t="shared" si="3"/>
        <v>66.58536585365853</v>
      </c>
      <c r="R11" s="36"/>
      <c r="S11" s="37"/>
      <c r="T11" s="89"/>
      <c r="U11" s="32"/>
      <c r="V11" s="57">
        <f t="shared" si="1"/>
        <v>0</v>
      </c>
      <c r="W11" s="150">
        <f>AVERAGE(0.129,0.123,0.125,0.128)</f>
        <v>0.12625</v>
      </c>
      <c r="X11" s="151">
        <f>AVERAGE(0.145,0.128,0.124,0.144)</f>
        <v>0.13525000000000001</v>
      </c>
      <c r="Y11" s="150">
        <f>AVERAGE(0.2,0.208,0.211,0.219)</f>
        <v>0.20949999999999999</v>
      </c>
      <c r="Z11" s="155">
        <f>AVERAGE(780,770,780,812)</f>
        <v>785.5</v>
      </c>
      <c r="AA11" s="157">
        <f>AVERAGE(0,0,0,0.6%)</f>
        <v>1.5E-3</v>
      </c>
    </row>
    <row r="12" spans="2:27">
      <c r="B12" s="11" t="s">
        <v>14</v>
      </c>
      <c r="C12" s="16">
        <v>3068</v>
      </c>
      <c r="D12" s="16">
        <v>2960</v>
      </c>
      <c r="E12" s="16">
        <v>3111</v>
      </c>
      <c r="F12" s="16">
        <v>3055</v>
      </c>
      <c r="G12" s="16">
        <v>2882</v>
      </c>
      <c r="H12" s="16">
        <v>4163</v>
      </c>
      <c r="I12" s="96">
        <v>3798</v>
      </c>
      <c r="M12" s="36">
        <v>46210</v>
      </c>
      <c r="N12" s="37"/>
      <c r="O12" s="89">
        <v>200</v>
      </c>
      <c r="P12" s="32">
        <v>1280360</v>
      </c>
      <c r="Q12" s="57">
        <f t="shared" si="3"/>
        <v>64.018000000000001</v>
      </c>
      <c r="R12" s="36"/>
      <c r="S12" s="37"/>
      <c r="T12" s="89"/>
      <c r="U12" s="32"/>
      <c r="V12" s="57">
        <f t="shared" si="1"/>
        <v>0</v>
      </c>
      <c r="W12" s="150">
        <f>AVERAGE(0.114,0.116,0.112)</f>
        <v>0.114</v>
      </c>
      <c r="X12" s="151">
        <f>AVERAGE(0.115,0.11,0.123)</f>
        <v>0.11599999999999999</v>
      </c>
      <c r="Y12" s="150">
        <f>AVERAGE(0.194,0.216,0.182)</f>
        <v>0.19733333333333336</v>
      </c>
      <c r="Z12" s="155">
        <f>AVERAGE(731,775,747)</f>
        <v>751</v>
      </c>
      <c r="AA12" s="157">
        <f>AVERAGE(0.2%,0.1%)</f>
        <v>1.5E-3</v>
      </c>
    </row>
    <row r="13" spans="2:27">
      <c r="B13" s="11" t="s">
        <v>15</v>
      </c>
      <c r="C13" s="16">
        <v>3068</v>
      </c>
      <c r="D13" s="16">
        <v>2960</v>
      </c>
      <c r="E13" s="16">
        <v>3111</v>
      </c>
      <c r="F13" s="16">
        <v>3029</v>
      </c>
      <c r="G13" s="16">
        <v>2882</v>
      </c>
      <c r="H13" s="16">
        <v>4163</v>
      </c>
      <c r="I13" s="96">
        <f>O20</f>
        <v>1838</v>
      </c>
      <c r="M13" s="36">
        <v>46211</v>
      </c>
      <c r="N13" s="37"/>
      <c r="O13" s="89">
        <v>244</v>
      </c>
      <c r="P13" s="32">
        <v>1533380</v>
      </c>
      <c r="Q13" s="57">
        <f t="shared" si="3"/>
        <v>62.843442622950818</v>
      </c>
      <c r="R13" s="36"/>
      <c r="S13" s="37"/>
      <c r="T13" s="89"/>
      <c r="U13" s="32"/>
      <c r="V13" s="57">
        <f t="shared" si="1"/>
        <v>0</v>
      </c>
      <c r="W13" s="150">
        <f>AVERAGE(0.112,0.109,0.126)</f>
        <v>0.11566666666666665</v>
      </c>
      <c r="X13" s="151">
        <f>AVERAGE(0.123,0.112,0.126)</f>
        <v>0.12033333333333333</v>
      </c>
      <c r="Y13" s="150">
        <f>AVERAGE(0.182,0.186,0.227)</f>
        <v>0.19833333333333333</v>
      </c>
      <c r="Z13" s="155">
        <f>AVERAGE(747,744,787)</f>
        <v>759.33333333333337</v>
      </c>
      <c r="AA13" s="157">
        <f>AVERAGE(0.2%,0.2%,0.1%)</f>
        <v>1.6666666666666668E-3</v>
      </c>
    </row>
    <row r="14" spans="2:27" ht="15">
      <c r="B14" s="11" t="s">
        <v>32</v>
      </c>
      <c r="C14" s="24">
        <v>51.528715775749674</v>
      </c>
      <c r="D14" s="24">
        <v>63.251148648648652</v>
      </c>
      <c r="E14" s="24">
        <v>72.713757634201215</v>
      </c>
      <c r="F14" s="24">
        <v>54.094684714427203</v>
      </c>
      <c r="G14" s="24">
        <v>64.592158223455925</v>
      </c>
      <c r="H14" s="24">
        <v>45.204443910641366</v>
      </c>
      <c r="I14" s="97">
        <f>Q20</f>
        <v>64.45032644178454</v>
      </c>
      <c r="M14" s="36">
        <v>46212</v>
      </c>
      <c r="N14" s="37"/>
      <c r="O14" s="89">
        <v>245</v>
      </c>
      <c r="P14" s="32">
        <v>1277920</v>
      </c>
      <c r="Q14" s="57">
        <f t="shared" si="3"/>
        <v>52.160000000000004</v>
      </c>
      <c r="R14" s="36"/>
      <c r="S14" s="37"/>
      <c r="T14" s="89"/>
      <c r="U14" s="32"/>
      <c r="V14" s="57">
        <f t="shared" si="1"/>
        <v>0</v>
      </c>
      <c r="W14" s="150">
        <f>AVERAGE(0.119,0.123,0.12)</f>
        <v>0.12066666666666666</v>
      </c>
      <c r="X14" s="151">
        <f>AVERAGE(0.106,0.111,0.115)</f>
        <v>0.11066666666666668</v>
      </c>
      <c r="Y14" s="150">
        <f>AVERAGE(0.215,0.223,0.225)</f>
        <v>0.221</v>
      </c>
      <c r="Z14" s="155">
        <f>AVERAGE(700,780,780)</f>
        <v>753.33333333333337</v>
      </c>
      <c r="AA14" s="157">
        <f>AVERAGE(0.3%,0.4%,0.4%)</f>
        <v>3.6666666666666666E-3</v>
      </c>
    </row>
    <row r="15" spans="2:27" ht="21.75" customHeight="1">
      <c r="B15" s="11" t="s">
        <v>16</v>
      </c>
      <c r="C15" s="24">
        <v>48.6</v>
      </c>
      <c r="D15" s="24">
        <v>64.5</v>
      </c>
      <c r="E15" s="24">
        <v>74.2</v>
      </c>
      <c r="F15" s="24">
        <v>59.3</v>
      </c>
      <c r="G15" s="24">
        <v>68.099999999999994</v>
      </c>
      <c r="H15" s="24">
        <v>41.5</v>
      </c>
      <c r="I15" s="97">
        <v>62.2</v>
      </c>
      <c r="J15" s="76"/>
      <c r="M15" s="36"/>
      <c r="N15" s="37"/>
      <c r="O15" s="89"/>
      <c r="P15" s="32"/>
      <c r="Q15" s="156">
        <f t="shared" si="3"/>
        <v>0</v>
      </c>
      <c r="R15" s="36"/>
      <c r="S15" s="37"/>
      <c r="T15" s="89"/>
      <c r="U15" s="32"/>
      <c r="V15" s="57">
        <f t="shared" si="1"/>
        <v>0</v>
      </c>
      <c r="W15" s="36"/>
      <c r="X15" s="37"/>
      <c r="Y15" s="89"/>
      <c r="Z15" s="32"/>
      <c r="AA15" s="57"/>
    </row>
    <row r="16" spans="2:27" s="8" customFormat="1" ht="15" customHeight="1">
      <c r="B16" s="5" t="s">
        <v>17</v>
      </c>
      <c r="C16" s="6" t="s">
        <v>106</v>
      </c>
      <c r="D16" s="7" t="s">
        <v>99</v>
      </c>
      <c r="E16" s="7" t="s">
        <v>107</v>
      </c>
      <c r="F16" s="7" t="s">
        <v>96</v>
      </c>
      <c r="G16" s="6" t="s">
        <v>107</v>
      </c>
      <c r="H16" s="6" t="s">
        <v>409</v>
      </c>
      <c r="I16" s="6" t="s">
        <v>479</v>
      </c>
      <c r="J16" s="76"/>
      <c r="M16" s="36"/>
      <c r="N16" s="37"/>
      <c r="O16" s="89"/>
      <c r="P16" s="32"/>
      <c r="Q16" s="156">
        <f t="shared" si="3"/>
        <v>0</v>
      </c>
      <c r="R16" s="36"/>
      <c r="S16" s="37"/>
      <c r="T16" s="89"/>
      <c r="U16" s="32"/>
      <c r="V16" s="57">
        <f t="shared" si="1"/>
        <v>0</v>
      </c>
      <c r="W16" s="36"/>
      <c r="X16" s="37"/>
      <c r="Y16" s="89"/>
      <c r="Z16" s="32"/>
      <c r="AA16" s="57"/>
    </row>
    <row r="17" spans="2:27">
      <c r="C17" s="25"/>
      <c r="D17" s="25"/>
      <c r="E17" s="25"/>
      <c r="F17" s="25"/>
      <c r="M17" s="36"/>
      <c r="N17" s="37"/>
      <c r="O17" s="89"/>
      <c r="P17" s="32"/>
      <c r="Q17" s="156">
        <f t="shared" si="3"/>
        <v>0</v>
      </c>
      <c r="R17" s="36"/>
      <c r="S17" s="37"/>
      <c r="T17" s="89"/>
      <c r="U17" s="32"/>
      <c r="V17" s="57">
        <f t="shared" si="1"/>
        <v>0</v>
      </c>
      <c r="W17" s="36"/>
      <c r="X17" s="37"/>
      <c r="Y17" s="89"/>
      <c r="Z17" s="32"/>
      <c r="AA17" s="57"/>
    </row>
    <row r="18" spans="2:27">
      <c r="M18" s="36"/>
      <c r="N18" s="37"/>
      <c r="O18" s="89"/>
      <c r="P18" s="32"/>
      <c r="Q18" s="156">
        <f t="shared" si="3"/>
        <v>0</v>
      </c>
      <c r="R18" s="36"/>
      <c r="S18" s="37"/>
      <c r="T18" s="89"/>
      <c r="U18" s="32"/>
      <c r="V18" s="57">
        <f t="shared" si="1"/>
        <v>0</v>
      </c>
      <c r="W18" s="36"/>
      <c r="X18" s="37"/>
      <c r="Y18" s="89"/>
      <c r="Z18" s="32"/>
      <c r="AA18" s="57"/>
    </row>
    <row r="19" spans="2:27" ht="13.9" customHeight="1">
      <c r="B19" s="21" t="s">
        <v>468</v>
      </c>
      <c r="C19" s="20"/>
      <c r="D19" s="3"/>
      <c r="E19" s="3"/>
      <c r="F19" s="3"/>
      <c r="G19" s="3"/>
      <c r="H19" s="3"/>
      <c r="I19" s="3"/>
      <c r="J19" s="3"/>
      <c r="K19" s="3"/>
      <c r="L19" s="3"/>
      <c r="M19" s="36"/>
      <c r="N19" s="37"/>
      <c r="O19" s="89"/>
      <c r="P19" s="32"/>
      <c r="Q19" s="156">
        <f t="shared" si="3"/>
        <v>0</v>
      </c>
      <c r="R19" s="36"/>
      <c r="S19" s="37"/>
      <c r="T19" s="89"/>
      <c r="U19" s="32"/>
      <c r="V19" s="57">
        <f t="shared" si="1"/>
        <v>0</v>
      </c>
      <c r="W19" s="36"/>
      <c r="X19" s="37"/>
      <c r="Y19" s="89"/>
      <c r="Z19" s="32"/>
      <c r="AA19" s="57"/>
    </row>
    <row r="20" spans="2:27" ht="15">
      <c r="B20" s="11" t="s">
        <v>18</v>
      </c>
      <c r="C20" s="48">
        <f>I12*64/10</f>
        <v>24307.200000000001</v>
      </c>
      <c r="D20" s="24">
        <f>C20/I12*10</f>
        <v>64</v>
      </c>
      <c r="M20" s="86" t="s">
        <v>40</v>
      </c>
      <c r="N20" s="86"/>
      <c r="O20" s="90">
        <f>SUM(O6:O19)</f>
        <v>1838</v>
      </c>
      <c r="P20" s="87">
        <f>SUM(P6:P19)</f>
        <v>11845970</v>
      </c>
      <c r="Q20" s="88">
        <f>P20/O20/100</f>
        <v>64.45032644178454</v>
      </c>
      <c r="R20" s="86" t="s">
        <v>40</v>
      </c>
      <c r="S20" s="86"/>
      <c r="T20" s="90">
        <f t="shared" ref="T20:U20" si="4">SUM(T6:T19)</f>
        <v>70</v>
      </c>
      <c r="U20" s="87">
        <f t="shared" si="4"/>
        <v>478860</v>
      </c>
      <c r="V20" s="88">
        <f t="shared" ref="V20" si="5">U20/T20/100</f>
        <v>68.408571428571435</v>
      </c>
      <c r="W20" s="153">
        <f>AVERAGE(W6:W19)</f>
        <v>0.12300925925925926</v>
      </c>
      <c r="X20" s="153">
        <f>AVERAGE(X6:X19)</f>
        <v>0.12299074074074073</v>
      </c>
      <c r="Y20" s="153">
        <f>AVERAGE(Y6:Y19)</f>
        <v>0.21633333333333335</v>
      </c>
      <c r="Z20" s="154">
        <f>AVERAGE(Z6:Z19)</f>
        <v>763.24074074074065</v>
      </c>
      <c r="AA20" s="158">
        <f>AVERAGE(AA6:AA19)</f>
        <v>1E-3</v>
      </c>
    </row>
    <row r="21" spans="2:27" ht="15">
      <c r="B21" s="72" t="s">
        <v>19</v>
      </c>
      <c r="C21" s="73">
        <f>P20/1000</f>
        <v>11845.97</v>
      </c>
      <c r="D21" s="74">
        <f>C21/I13*10</f>
        <v>64.450326441784554</v>
      </c>
    </row>
    <row r="22" spans="2:27">
      <c r="D22" s="19"/>
      <c r="G22" s="26"/>
      <c r="H22" s="26"/>
      <c r="I22" s="26"/>
    </row>
    <row r="23" spans="2:27">
      <c r="B23" s="11" t="s">
        <v>64</v>
      </c>
      <c r="C23" s="19">
        <f>I13/I12</f>
        <v>0.48393891521853605</v>
      </c>
      <c r="G23" s="26"/>
      <c r="H23" s="26"/>
      <c r="I23" s="26"/>
    </row>
    <row r="24" spans="2:27">
      <c r="B24" s="11" t="s">
        <v>62</v>
      </c>
      <c r="C24" s="19">
        <f>IFERROR(C21/C20,0)</f>
        <v>0.48734407912058975</v>
      </c>
      <c r="G24" s="38"/>
      <c r="H24" s="38"/>
      <c r="I24" s="38"/>
    </row>
    <row r="25" spans="2:27">
      <c r="B25" s="48"/>
      <c r="G25" s="25"/>
      <c r="H25" s="25"/>
      <c r="I25" s="25"/>
    </row>
    <row r="26" spans="2:27">
      <c r="G26" s="31"/>
      <c r="H26" s="31"/>
      <c r="I26" s="31"/>
    </row>
    <row r="27" spans="2:27">
      <c r="G27" s="31"/>
      <c r="H27" s="31"/>
      <c r="I27" s="31"/>
    </row>
    <row r="28" spans="2:27">
      <c r="G28" s="31"/>
      <c r="H28" s="31"/>
      <c r="I28" s="31"/>
      <c r="P28" s="159"/>
    </row>
    <row r="29" spans="2:27">
      <c r="G29" s="31"/>
      <c r="H29" s="31"/>
      <c r="I29" s="31"/>
    </row>
    <row r="30" spans="2:27">
      <c r="G30" s="31"/>
      <c r="H30" s="31"/>
      <c r="I30" s="31"/>
    </row>
    <row r="31" spans="2:27">
      <c r="G31" s="31"/>
      <c r="H31" s="31"/>
      <c r="I31" s="31"/>
    </row>
    <row r="32" spans="2:27">
      <c r="G32" s="31"/>
      <c r="H32" s="31"/>
      <c r="I32" s="31"/>
    </row>
    <row r="33" spans="7:9">
      <c r="G33" s="31"/>
      <c r="H33" s="31"/>
      <c r="I33" s="31"/>
    </row>
    <row r="34" spans="7:9">
      <c r="G34" s="31"/>
      <c r="H34" s="31"/>
      <c r="I34" s="31"/>
    </row>
    <row r="35" spans="7:9">
      <c r="G35" s="31"/>
      <c r="H35" s="31"/>
      <c r="I35" s="31"/>
    </row>
    <row r="36" spans="7:9">
      <c r="G36" s="31"/>
      <c r="H36" s="31"/>
      <c r="I36" s="31"/>
    </row>
    <row r="37" spans="7:9">
      <c r="G37" s="31"/>
      <c r="H37" s="31"/>
      <c r="I37" s="31"/>
    </row>
    <row r="38" spans="7:9">
      <c r="G38" s="31"/>
      <c r="H38" s="31"/>
      <c r="I38" s="31"/>
    </row>
    <row r="39" spans="7:9">
      <c r="G39" s="31"/>
      <c r="H39" s="31"/>
      <c r="I39" s="31"/>
    </row>
    <row r="40" spans="7:9">
      <c r="G40" s="31"/>
      <c r="H40" s="31"/>
      <c r="I40" s="31"/>
    </row>
  </sheetData>
  <mergeCells count="1">
    <mergeCell ref="B2:T2"/>
  </mergeCells>
  <phoneticPr fontId="8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653E-DD92-4D19-A99C-8AA2AC59B797}">
  <sheetPr codeName="Лист7">
    <tabColor theme="5" tint="0.39997558519241921"/>
  </sheetPr>
  <dimension ref="B2:X25"/>
  <sheetViews>
    <sheetView zoomScale="80" zoomScaleNormal="80" workbookViewId="0">
      <selection activeCell="E35" sqref="E35"/>
    </sheetView>
  </sheetViews>
  <sheetFormatPr defaultColWidth="9.140625" defaultRowHeight="14.25"/>
  <cols>
    <col min="1" max="1" width="2.7109375" style="1" customWidth="1"/>
    <col min="2" max="2" width="36.28515625" style="1" customWidth="1"/>
    <col min="3" max="6" width="13.5703125" style="1" customWidth="1"/>
    <col min="7" max="7" width="12.42578125" style="1" customWidth="1"/>
    <col min="8" max="8" width="15" style="1" customWidth="1"/>
    <col min="9" max="9" width="15.85546875" style="1" customWidth="1"/>
    <col min="10" max="10" width="20.7109375" style="1" customWidth="1"/>
    <col min="11" max="11" width="1.85546875" style="1" customWidth="1"/>
    <col min="12" max="12" width="13.42578125" style="1" customWidth="1"/>
    <col min="13" max="15" width="12.140625" style="1" customWidth="1"/>
    <col min="16" max="17" width="14.85546875" style="1" customWidth="1"/>
    <col min="18" max="20" width="12.140625" style="1" customWidth="1"/>
    <col min="21" max="21" width="11.28515625" style="1" bestFit="1" customWidth="1"/>
    <col min="22" max="16384" width="9.140625" style="1"/>
  </cols>
  <sheetData>
    <row r="2" spans="2:24" ht="27.75" customHeight="1">
      <c r="B2" s="162" t="s">
        <v>470</v>
      </c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62"/>
      <c r="V2" s="62"/>
      <c r="W2" s="62"/>
      <c r="X2" s="62"/>
    </row>
    <row r="3" spans="2:24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2:24">
      <c r="H4" s="148" t="s">
        <v>408</v>
      </c>
    </row>
    <row r="5" spans="2:24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61</v>
      </c>
      <c r="R5" s="28" t="s">
        <v>37</v>
      </c>
      <c r="S5" s="28" t="s">
        <v>38</v>
      </c>
      <c r="T5" s="28" t="s">
        <v>60</v>
      </c>
    </row>
    <row r="6" spans="2:24" ht="13.15" customHeight="1">
      <c r="B6" s="11" t="s">
        <v>5</v>
      </c>
      <c r="C6" s="12">
        <v>44088</v>
      </c>
      <c r="D6" s="12">
        <v>44446</v>
      </c>
      <c r="E6" s="12">
        <v>44835</v>
      </c>
      <c r="F6" s="12">
        <v>45189</v>
      </c>
      <c r="G6" s="12">
        <v>45535</v>
      </c>
      <c r="H6" s="12">
        <v>45898</v>
      </c>
      <c r="I6" s="92"/>
      <c r="L6" s="51"/>
      <c r="M6" s="37"/>
      <c r="N6" s="34"/>
      <c r="O6" s="32"/>
      <c r="P6" s="57">
        <f t="shared" ref="P6:P17" si="0">IFERROR(O6/100/N6,0)</f>
        <v>0</v>
      </c>
      <c r="Q6" s="27"/>
      <c r="R6" s="27"/>
      <c r="S6" s="27"/>
      <c r="T6" s="27"/>
    </row>
    <row r="7" spans="2:24" ht="13.15" customHeight="1">
      <c r="B7" s="11" t="s">
        <v>6</v>
      </c>
      <c r="C7" s="12">
        <v>44090</v>
      </c>
      <c r="D7" s="12">
        <v>44476</v>
      </c>
      <c r="E7" s="12">
        <v>44843</v>
      </c>
      <c r="F7" s="12">
        <v>45204</v>
      </c>
      <c r="G7" s="12">
        <v>45548</v>
      </c>
      <c r="H7" s="12">
        <v>45938</v>
      </c>
      <c r="I7" s="92"/>
      <c r="L7" s="51"/>
      <c r="M7" s="37"/>
      <c r="N7" s="34"/>
      <c r="O7" s="32"/>
      <c r="P7" s="57">
        <f t="shared" si="0"/>
        <v>0</v>
      </c>
      <c r="Q7" s="27"/>
      <c r="R7" s="27"/>
      <c r="S7" s="27"/>
      <c r="T7" s="27"/>
    </row>
    <row r="8" spans="2:24" ht="13.15" customHeight="1">
      <c r="B8" s="11" t="s">
        <v>7</v>
      </c>
      <c r="C8" s="13">
        <v>3</v>
      </c>
      <c r="D8" s="13">
        <v>31</v>
      </c>
      <c r="E8" s="13">
        <v>9</v>
      </c>
      <c r="F8" s="13">
        <v>16</v>
      </c>
      <c r="G8" s="13">
        <v>14</v>
      </c>
      <c r="H8" s="13">
        <v>41</v>
      </c>
      <c r="I8" s="93" t="str">
        <f>IF(I7=0,"-",I7-I6+1)</f>
        <v>-</v>
      </c>
      <c r="L8" s="51"/>
      <c r="M8" s="37"/>
      <c r="N8" s="34"/>
      <c r="O8" s="32"/>
      <c r="P8" s="57">
        <f t="shared" si="0"/>
        <v>0</v>
      </c>
      <c r="Q8" s="27"/>
      <c r="R8" s="27"/>
      <c r="S8" s="27"/>
      <c r="T8" s="27"/>
    </row>
    <row r="9" spans="2:24" ht="13.15" customHeight="1">
      <c r="B9" s="11" t="s">
        <v>8</v>
      </c>
      <c r="C9" s="13">
        <v>3</v>
      </c>
      <c r="D9" s="13">
        <v>8</v>
      </c>
      <c r="E9" s="13">
        <v>9</v>
      </c>
      <c r="F9" s="13">
        <v>16</v>
      </c>
      <c r="G9" s="13">
        <v>6</v>
      </c>
      <c r="H9" s="13">
        <v>11</v>
      </c>
      <c r="I9" s="93">
        <v>0</v>
      </c>
      <c r="L9" s="51"/>
      <c r="M9" s="37"/>
      <c r="N9" s="34"/>
      <c r="O9" s="32"/>
      <c r="P9" s="57">
        <f t="shared" si="0"/>
        <v>0</v>
      </c>
      <c r="Q9" s="27"/>
      <c r="R9" s="27"/>
      <c r="S9" s="27"/>
      <c r="T9" s="27"/>
    </row>
    <row r="10" spans="2:24" ht="13.15" customHeight="1">
      <c r="B10" s="11" t="s">
        <v>9</v>
      </c>
      <c r="C10" s="14" t="s">
        <v>25</v>
      </c>
      <c r="D10" s="14" t="s">
        <v>25</v>
      </c>
      <c r="E10" s="14" t="s">
        <v>25</v>
      </c>
      <c r="F10" s="14" t="s">
        <v>27</v>
      </c>
      <c r="G10" s="14" t="s">
        <v>95</v>
      </c>
      <c r="H10" s="14" t="s">
        <v>448</v>
      </c>
      <c r="I10" s="94" t="s">
        <v>466</v>
      </c>
      <c r="L10" s="51"/>
      <c r="M10" s="37"/>
      <c r="N10" s="34"/>
      <c r="O10" s="32"/>
      <c r="P10" s="57">
        <f t="shared" si="0"/>
        <v>0</v>
      </c>
      <c r="Q10" s="27"/>
      <c r="R10" s="27"/>
      <c r="S10" s="27"/>
      <c r="T10" s="27"/>
    </row>
    <row r="11" spans="2:24" ht="13.15" customHeight="1">
      <c r="B11" s="11" t="s">
        <v>13</v>
      </c>
      <c r="C11" s="48">
        <v>244.02</v>
      </c>
      <c r="D11" s="48">
        <v>2003.64</v>
      </c>
      <c r="E11" s="48">
        <v>626.86</v>
      </c>
      <c r="F11" s="48">
        <v>5393.6</v>
      </c>
      <c r="G11" s="48">
        <v>726.84</v>
      </c>
      <c r="H11" s="48">
        <v>394.24</v>
      </c>
      <c r="I11" s="95">
        <f>O19/1000</f>
        <v>0</v>
      </c>
      <c r="L11" s="51"/>
      <c r="M11" s="37"/>
      <c r="N11" s="34"/>
      <c r="O11" s="32"/>
      <c r="P11" s="57">
        <f t="shared" si="0"/>
        <v>0</v>
      </c>
      <c r="Q11" s="27"/>
      <c r="R11" s="27"/>
      <c r="S11" s="27"/>
      <c r="T11" s="27"/>
    </row>
    <row r="12" spans="2:24" ht="13.15" customHeight="1">
      <c r="B12" s="11" t="s">
        <v>14</v>
      </c>
      <c r="C12" s="16">
        <v>111</v>
      </c>
      <c r="D12" s="16">
        <v>242</v>
      </c>
      <c r="E12" s="16">
        <v>119</v>
      </c>
      <c r="F12" s="16">
        <v>930</v>
      </c>
      <c r="G12" s="16">
        <v>655</v>
      </c>
      <c r="H12" s="16">
        <v>304</v>
      </c>
      <c r="I12" s="96">
        <v>237</v>
      </c>
      <c r="J12" s="76" t="s">
        <v>471</v>
      </c>
      <c r="L12" s="51"/>
      <c r="M12" s="37"/>
      <c r="N12" s="34"/>
      <c r="O12" s="32"/>
      <c r="P12" s="57">
        <f t="shared" si="0"/>
        <v>0</v>
      </c>
      <c r="Q12" s="27"/>
      <c r="R12" s="27"/>
      <c r="S12" s="27"/>
      <c r="T12" s="27"/>
    </row>
    <row r="13" spans="2:24" ht="13.15" customHeight="1">
      <c r="B13" s="11" t="s">
        <v>15</v>
      </c>
      <c r="C13" s="16">
        <v>111</v>
      </c>
      <c r="D13" s="16">
        <v>242</v>
      </c>
      <c r="E13" s="16">
        <v>119</v>
      </c>
      <c r="F13" s="16">
        <v>900</v>
      </c>
      <c r="G13" s="16">
        <v>655</v>
      </c>
      <c r="H13" s="16">
        <v>66</v>
      </c>
      <c r="I13" s="96">
        <f>N19</f>
        <v>0</v>
      </c>
      <c r="L13" s="51"/>
      <c r="M13" s="37"/>
      <c r="N13" s="34"/>
      <c r="O13" s="32"/>
      <c r="P13" s="57">
        <f t="shared" si="0"/>
        <v>0</v>
      </c>
      <c r="Q13" s="27"/>
      <c r="R13" s="27"/>
      <c r="S13" s="27"/>
      <c r="T13" s="27"/>
    </row>
    <row r="14" spans="2:24" ht="13.15" customHeight="1">
      <c r="B14" s="11" t="s">
        <v>32</v>
      </c>
      <c r="C14" s="17">
        <v>21.983783783783785</v>
      </c>
      <c r="D14" s="17">
        <v>82.795041322314063</v>
      </c>
      <c r="E14" s="17">
        <v>52.677310924369749</v>
      </c>
      <c r="F14" s="17">
        <v>59.928888888888892</v>
      </c>
      <c r="G14" s="59">
        <v>11.096793893129771</v>
      </c>
      <c r="H14" s="59">
        <v>59.733333333333334</v>
      </c>
      <c r="I14" s="99">
        <f>P19</f>
        <v>0</v>
      </c>
      <c r="L14" s="51"/>
      <c r="M14" s="37"/>
      <c r="N14" s="34"/>
      <c r="O14" s="32"/>
      <c r="P14" s="57">
        <f t="shared" si="0"/>
        <v>0</v>
      </c>
      <c r="Q14" s="27"/>
      <c r="R14" s="27"/>
      <c r="S14" s="27"/>
      <c r="T14" s="27"/>
    </row>
    <row r="15" spans="2:24" ht="13.15" customHeight="1">
      <c r="B15" s="11" t="s">
        <v>16</v>
      </c>
      <c r="C15" s="18">
        <v>51.5</v>
      </c>
      <c r="D15" s="18">
        <v>63.5</v>
      </c>
      <c r="E15" s="18">
        <v>69.7</v>
      </c>
      <c r="F15" s="18">
        <v>58.6</v>
      </c>
      <c r="G15" s="18">
        <v>17</v>
      </c>
      <c r="H15" s="18">
        <v>7.53</v>
      </c>
      <c r="I15" s="123">
        <v>0</v>
      </c>
      <c r="J15" s="76"/>
      <c r="L15" s="51"/>
      <c r="M15" s="37"/>
      <c r="N15" s="34"/>
      <c r="O15" s="32"/>
      <c r="P15" s="57">
        <f t="shared" si="0"/>
        <v>0</v>
      </c>
      <c r="Q15" s="27"/>
      <c r="R15" s="27"/>
      <c r="S15" s="27"/>
      <c r="T15" s="27"/>
    </row>
    <row r="16" spans="2:24" s="8" customFormat="1" ht="13.15" customHeight="1">
      <c r="B16" s="5" t="s">
        <v>17</v>
      </c>
      <c r="C16" s="6" t="s">
        <v>26</v>
      </c>
      <c r="D16" s="7" t="s">
        <v>23</v>
      </c>
      <c r="E16" s="7" t="s">
        <v>22</v>
      </c>
      <c r="F16" s="7" t="s">
        <v>96</v>
      </c>
      <c r="G16" s="6" t="s">
        <v>97</v>
      </c>
      <c r="H16" s="6" t="s">
        <v>463</v>
      </c>
      <c r="I16" s="6" t="s">
        <v>472</v>
      </c>
      <c r="J16" s="76"/>
      <c r="L16" s="51"/>
      <c r="M16" s="37"/>
      <c r="N16" s="134"/>
      <c r="O16" s="32"/>
      <c r="P16" s="57">
        <f t="shared" si="0"/>
        <v>0</v>
      </c>
      <c r="Q16" s="27"/>
      <c r="R16" s="27"/>
      <c r="S16" s="27"/>
      <c r="T16" s="27"/>
      <c r="U16" s="1"/>
    </row>
    <row r="17" spans="2:20" ht="13.15" customHeight="1">
      <c r="L17" s="63"/>
      <c r="M17" s="64"/>
      <c r="N17" s="39"/>
      <c r="O17" s="40"/>
      <c r="P17" s="57">
        <f t="shared" si="0"/>
        <v>0</v>
      </c>
      <c r="Q17" s="41"/>
      <c r="R17" s="41"/>
      <c r="S17" s="41"/>
      <c r="T17" s="41"/>
    </row>
    <row r="18" spans="2:20" ht="13.15" customHeight="1">
      <c r="L18" s="63"/>
      <c r="M18" s="64"/>
      <c r="N18" s="39"/>
      <c r="O18" s="40"/>
      <c r="P18" s="57">
        <f t="shared" ref="P18" si="1">IFERROR(O18/100/N18,0)</f>
        <v>0</v>
      </c>
      <c r="Q18" s="41"/>
      <c r="R18" s="41"/>
      <c r="S18" s="41"/>
      <c r="T18" s="41"/>
    </row>
    <row r="19" spans="2:20" ht="13.15" customHeight="1">
      <c r="B19" s="21" t="s">
        <v>103</v>
      </c>
      <c r="C19" s="20"/>
      <c r="D19" s="145"/>
      <c r="E19" s="20"/>
      <c r="F19" s="3"/>
      <c r="G19" s="3"/>
      <c r="H19" s="3"/>
      <c r="I19" s="3"/>
      <c r="J19" s="3"/>
      <c r="K19" s="3"/>
      <c r="L19" s="28" t="s">
        <v>40</v>
      </c>
      <c r="M19" s="28">
        <f>SUM(M6:M18)</f>
        <v>0</v>
      </c>
      <c r="N19" s="35">
        <f>SUM(N6:N18)</f>
        <v>0</v>
      </c>
      <c r="O19" s="33">
        <f>SUM(O6:O18)</f>
        <v>0</v>
      </c>
      <c r="P19" s="58">
        <f>IFERROR(O19/100/N19, )</f>
        <v>0</v>
      </c>
      <c r="Q19" s="29">
        <f>IFERROR(AVERAGE(Q6:Q18),)</f>
        <v>0</v>
      </c>
      <c r="R19" s="29">
        <f t="shared" ref="R19:T19" si="2">IFERROR(AVERAGE(R6:R18),)</f>
        <v>0</v>
      </c>
      <c r="S19" s="29">
        <f t="shared" si="2"/>
        <v>0</v>
      </c>
      <c r="T19" s="29">
        <f t="shared" si="2"/>
        <v>0</v>
      </c>
    </row>
    <row r="20" spans="2:20" ht="13.15" customHeight="1">
      <c r="B20" s="11" t="s">
        <v>18</v>
      </c>
      <c r="C20" s="48">
        <f>I12*65*100/1000</f>
        <v>1540.5</v>
      </c>
      <c r="D20" s="24">
        <f>IFERROR(C20*10/E20, )</f>
        <v>65</v>
      </c>
      <c r="E20" s="31">
        <f>I12</f>
        <v>237</v>
      </c>
    </row>
    <row r="21" spans="2:20" ht="13.15" customHeight="1">
      <c r="B21" s="72" t="s">
        <v>19</v>
      </c>
      <c r="C21" s="73">
        <f>O19/1000</f>
        <v>0</v>
      </c>
      <c r="D21" s="61">
        <f>IFERROR(C21*10/E21, )</f>
        <v>0</v>
      </c>
      <c r="E21" s="31">
        <f>I13</f>
        <v>0</v>
      </c>
    </row>
    <row r="22" spans="2:20" ht="14.25" customHeight="1">
      <c r="E22" s="161"/>
      <c r="F22" s="161"/>
      <c r="G22" s="161"/>
      <c r="H22" s="45"/>
    </row>
    <row r="23" spans="2:20">
      <c r="B23" s="11" t="s">
        <v>64</v>
      </c>
      <c r="C23" s="19">
        <f>E21/E20</f>
        <v>0</v>
      </c>
      <c r="D23" s="25"/>
      <c r="N23" s="25"/>
      <c r="O23" s="25"/>
      <c r="P23" s="25"/>
    </row>
    <row r="24" spans="2:20">
      <c r="B24" s="11" t="s">
        <v>62</v>
      </c>
      <c r="C24" s="19">
        <f>C21/C20</f>
        <v>0</v>
      </c>
    </row>
    <row r="25" spans="2:20">
      <c r="B25" s="11"/>
      <c r="C25" s="19"/>
    </row>
  </sheetData>
  <mergeCells count="2">
    <mergeCell ref="E22:G22"/>
    <mergeCell ref="B2:T2"/>
  </mergeCells>
  <phoneticPr fontId="8" type="noConversion"/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30AA3-CD7E-4099-89CC-D9774549B096}">
  <dimension ref="A1:M31"/>
  <sheetViews>
    <sheetView showGridLines="0" zoomScale="90" zoomScaleNormal="90" workbookViewId="0">
      <selection activeCell="F40" sqref="F40"/>
    </sheetView>
  </sheetViews>
  <sheetFormatPr defaultRowHeight="15"/>
  <cols>
    <col min="1" max="1" width="23.7109375" customWidth="1"/>
    <col min="3" max="3" width="30.140625" customWidth="1"/>
    <col min="4" max="4" width="16.7109375" customWidth="1"/>
    <col min="5" max="5" width="12.5703125" customWidth="1"/>
    <col min="6" max="6" width="18.42578125" customWidth="1"/>
    <col min="7" max="7" width="16.140625" customWidth="1"/>
    <col min="8" max="8" width="17.28515625" style="122" customWidth="1"/>
    <col min="9" max="9" width="27.140625" customWidth="1"/>
  </cols>
  <sheetData>
    <row r="1" spans="1:13" ht="38.450000000000003" customHeight="1">
      <c r="A1" s="115" t="s">
        <v>426</v>
      </c>
      <c r="B1" s="115" t="s">
        <v>420</v>
      </c>
      <c r="C1" s="115" t="s">
        <v>421</v>
      </c>
      <c r="D1" s="116" t="s">
        <v>422</v>
      </c>
      <c r="E1" s="115" t="s">
        <v>424</v>
      </c>
      <c r="F1" s="115" t="s">
        <v>425</v>
      </c>
      <c r="G1" s="117" t="s">
        <v>423</v>
      </c>
      <c r="H1" s="119" t="s">
        <v>32</v>
      </c>
      <c r="I1" s="131" t="s">
        <v>458</v>
      </c>
    </row>
    <row r="2" spans="1:13">
      <c r="A2" s="118" t="s">
        <v>427</v>
      </c>
      <c r="B2" s="118" t="s">
        <v>428</v>
      </c>
      <c r="C2" t="s">
        <v>429</v>
      </c>
      <c r="D2" s="43">
        <v>82.5</v>
      </c>
      <c r="E2" s="85">
        <v>45897</v>
      </c>
      <c r="F2" s="144">
        <v>7</v>
      </c>
      <c r="G2" s="143">
        <v>240</v>
      </c>
      <c r="H2" s="120">
        <f>IFERROR(Таблица4[[#This Row],[Валовый сбор, кг]]/100/Таблица4[[#This Row],[Площадь уборки, га]], "-")</f>
        <v>0.34285714285714286</v>
      </c>
      <c r="I2" t="s">
        <v>459</v>
      </c>
    </row>
    <row r="3" spans="1:13">
      <c r="A3" s="118"/>
      <c r="B3" s="118"/>
      <c r="C3" t="s">
        <v>430</v>
      </c>
      <c r="D3" s="43">
        <v>0.5</v>
      </c>
      <c r="F3" s="144"/>
      <c r="G3" s="143"/>
      <c r="H3" s="120" t="str">
        <f>IFERROR(Таблица4[[#This Row],[Валовый сбор, кг]]/100/Таблица4[[#This Row],[Площадь уборки, га]], "-")</f>
        <v>-</v>
      </c>
      <c r="I3" t="s">
        <v>457</v>
      </c>
    </row>
    <row r="4" spans="1:13">
      <c r="A4" s="118"/>
      <c r="B4" s="118"/>
      <c r="D4" s="43"/>
      <c r="F4" s="144"/>
      <c r="G4" s="143"/>
      <c r="H4" s="120" t="str">
        <f>IFERROR(Таблица4[[#This Row],[Валовый сбор, кг]]/100/Таблица4[[#This Row],[Площадь уборки, га]], "-")</f>
        <v>-</v>
      </c>
    </row>
    <row r="5" spans="1:13">
      <c r="A5" s="118"/>
      <c r="B5" s="118"/>
      <c r="D5" s="43"/>
      <c r="F5" s="144"/>
      <c r="G5" s="143"/>
      <c r="H5" s="120" t="str">
        <f>IFERROR(Таблица4[[#This Row],[Валовый сбор, кг]]/100/Таблица4[[#This Row],[Площадь уборки, га]], "-")</f>
        <v>-</v>
      </c>
    </row>
    <row r="6" spans="1:13">
      <c r="A6" s="118"/>
      <c r="B6" s="118" t="s">
        <v>431</v>
      </c>
      <c r="C6" t="s">
        <v>429</v>
      </c>
      <c r="D6" s="43">
        <v>96.5</v>
      </c>
      <c r="E6" s="85">
        <v>45805</v>
      </c>
      <c r="F6" s="144">
        <v>4.5</v>
      </c>
      <c r="G6" s="143">
        <v>220</v>
      </c>
      <c r="H6" s="120">
        <f>IFERROR(Таблица4[[#This Row],[Валовый сбор, кг]]/100/Таблица4[[#This Row],[Площадь уборки, га]], "-")</f>
        <v>0.48888888888888893</v>
      </c>
      <c r="I6" t="s">
        <v>459</v>
      </c>
    </row>
    <row r="7" spans="1:13">
      <c r="A7" s="118"/>
      <c r="B7" s="118"/>
      <c r="C7" t="s">
        <v>432</v>
      </c>
      <c r="D7" s="43">
        <v>0.5</v>
      </c>
      <c r="F7" s="144"/>
      <c r="G7" s="143"/>
      <c r="H7" s="120" t="str">
        <f>IFERROR(Таблица4[[#This Row],[Валовый сбор, кг]]/100/Таблица4[[#This Row],[Площадь уборки, га]], "-")</f>
        <v>-</v>
      </c>
      <c r="I7" t="s">
        <v>457</v>
      </c>
    </row>
    <row r="8" spans="1:13">
      <c r="A8" s="118"/>
      <c r="B8" s="118"/>
      <c r="D8" s="43"/>
      <c r="F8" s="144"/>
      <c r="G8" s="143"/>
      <c r="H8" s="120" t="str">
        <f>IFERROR(Таблица4[[#This Row],[Валовый сбор, кг]]/100/Таблица4[[#This Row],[Площадь уборки, га]], "-")</f>
        <v>-</v>
      </c>
    </row>
    <row r="9" spans="1:13">
      <c r="A9" s="118"/>
      <c r="B9" s="118"/>
      <c r="D9" s="43"/>
      <c r="F9" s="144"/>
      <c r="G9" s="143"/>
      <c r="H9" s="120" t="str">
        <f>IFERROR(Таблица4[[#This Row],[Валовый сбор, кг]]/100/Таблица4[[#This Row],[Площадь уборки, га]], "-")</f>
        <v>-</v>
      </c>
    </row>
    <row r="10" spans="1:13">
      <c r="A10" s="118"/>
      <c r="B10" s="118" t="s">
        <v>433</v>
      </c>
      <c r="C10" t="s">
        <v>434</v>
      </c>
      <c r="D10" s="43">
        <v>51.5</v>
      </c>
      <c r="E10" s="85">
        <v>45805</v>
      </c>
      <c r="F10" s="144">
        <v>4.5</v>
      </c>
      <c r="G10" s="143">
        <v>1180</v>
      </c>
      <c r="H10" s="120">
        <f>IFERROR(Таблица4[[#This Row],[Валовый сбор, кг]]/100/Таблица4[[#This Row],[Площадь уборки, га]], "-")</f>
        <v>2.6222222222222222</v>
      </c>
      <c r="I10" t="s">
        <v>459</v>
      </c>
      <c r="J10" s="133"/>
      <c r="K10" s="132"/>
      <c r="L10" s="132"/>
      <c r="M10" s="132"/>
    </row>
    <row r="11" spans="1:13">
      <c r="A11" s="118"/>
      <c r="B11" s="118"/>
      <c r="C11" t="s">
        <v>435</v>
      </c>
      <c r="D11" s="43">
        <v>0.5</v>
      </c>
      <c r="F11" s="144"/>
      <c r="G11" s="143"/>
      <c r="H11" s="120" t="str">
        <f>IFERROR(Таблица4[[#This Row],[Валовый сбор, кг]]/100/Таблица4[[#This Row],[Площадь уборки, га]], "-")</f>
        <v>-</v>
      </c>
      <c r="I11" t="s">
        <v>457</v>
      </c>
    </row>
    <row r="12" spans="1:13">
      <c r="A12" s="118"/>
      <c r="B12" s="118"/>
      <c r="D12" s="43"/>
      <c r="F12" s="144"/>
      <c r="G12" s="143"/>
      <c r="H12" s="120" t="str">
        <f>IFERROR(Таблица4[[#This Row],[Валовый сбор, кг]]/100/Таблица4[[#This Row],[Площадь уборки, га]], "-")</f>
        <v>-</v>
      </c>
    </row>
    <row r="13" spans="1:13">
      <c r="A13" s="118"/>
      <c r="B13" s="118"/>
      <c r="D13" s="43"/>
      <c r="F13" s="144"/>
      <c r="G13" s="143"/>
      <c r="H13" s="120" t="str">
        <f>IFERROR(Таблица4[[#This Row],[Валовый сбор, кг]]/100/Таблица4[[#This Row],[Площадь уборки, га]], "-")</f>
        <v>-</v>
      </c>
    </row>
    <row r="14" spans="1:13">
      <c r="A14" s="118"/>
      <c r="B14" s="118" t="s">
        <v>436</v>
      </c>
      <c r="C14" t="s">
        <v>434</v>
      </c>
      <c r="D14" s="43">
        <v>23</v>
      </c>
      <c r="E14" s="85">
        <v>45897</v>
      </c>
      <c r="F14" s="144">
        <v>1</v>
      </c>
      <c r="G14" s="143">
        <v>300</v>
      </c>
      <c r="H14" s="120">
        <f>IFERROR(Таблица4[[#This Row],[Валовый сбор, кг]]/100/Таблица4[[#This Row],[Площадь уборки, га]], "-")</f>
        <v>3</v>
      </c>
      <c r="I14" t="s">
        <v>459</v>
      </c>
    </row>
    <row r="15" spans="1:13">
      <c r="A15" s="118"/>
      <c r="B15" s="118"/>
      <c r="D15" s="43"/>
      <c r="F15" s="144"/>
      <c r="G15" s="143"/>
      <c r="H15" s="120" t="str">
        <f>IFERROR(Таблица4[[#This Row],[Валовый сбор, кг]]/100/Таблица4[[#This Row],[Площадь уборки, га]], "-")</f>
        <v>-</v>
      </c>
    </row>
    <row r="16" spans="1:13">
      <c r="A16" s="118"/>
      <c r="B16" s="118"/>
      <c r="D16" s="43"/>
      <c r="F16" s="144"/>
      <c r="G16" s="143"/>
      <c r="H16" s="120" t="str">
        <f>IFERROR(Таблица4[[#This Row],[Валовый сбор, кг]]/100/Таблица4[[#This Row],[Площадь уборки, га]], "-")</f>
        <v>-</v>
      </c>
    </row>
    <row r="17" spans="1:8">
      <c r="A17" s="118"/>
      <c r="B17" s="118" t="s">
        <v>437</v>
      </c>
      <c r="C17" t="s">
        <v>434</v>
      </c>
      <c r="D17" s="43">
        <v>2.46</v>
      </c>
      <c r="E17" s="85">
        <v>45938</v>
      </c>
      <c r="F17" s="144">
        <v>3</v>
      </c>
      <c r="G17" s="143">
        <v>16140</v>
      </c>
      <c r="H17" s="120">
        <f>IFERROR(Таблица4[[#This Row],[Валовый сбор, кг]]/100/Таблица4[[#This Row],[Площадь уборки, га]], "-")</f>
        <v>53.800000000000004</v>
      </c>
    </row>
    <row r="18" spans="1:8">
      <c r="A18" s="118"/>
      <c r="B18" s="118"/>
      <c r="C18" t="s">
        <v>438</v>
      </c>
      <c r="D18" s="43">
        <f>0.5/3</f>
        <v>0.16666666666666666</v>
      </c>
      <c r="F18" s="144"/>
      <c r="G18" s="143"/>
      <c r="H18" s="120" t="str">
        <f>IFERROR(Таблица4[[#This Row],[Валовый сбор, кг]]/100/Таблица4[[#This Row],[Площадь уборки, га]], "-")</f>
        <v>-</v>
      </c>
    </row>
    <row r="19" spans="1:8">
      <c r="A19" s="118"/>
      <c r="B19" s="118"/>
      <c r="C19" t="s">
        <v>439</v>
      </c>
      <c r="D19" s="43">
        <f t="shared" ref="D19:D20" si="0">0.5/3</f>
        <v>0.16666666666666666</v>
      </c>
      <c r="F19" s="144"/>
      <c r="G19" s="143"/>
      <c r="H19" s="120" t="str">
        <f>IFERROR(Таблица4[[#This Row],[Валовый сбор, кг]]/100/Таблица4[[#This Row],[Площадь уборки, га]], "-")</f>
        <v>-</v>
      </c>
    </row>
    <row r="20" spans="1:8">
      <c r="A20" s="118"/>
      <c r="B20" s="118"/>
      <c r="C20" t="s">
        <v>440</v>
      </c>
      <c r="D20" s="43">
        <f t="shared" si="0"/>
        <v>0.16666666666666666</v>
      </c>
      <c r="F20" s="144"/>
      <c r="G20" s="143"/>
      <c r="H20" s="120" t="str">
        <f>IFERROR(Таблица4[[#This Row],[Валовый сбор, кг]]/100/Таблица4[[#This Row],[Площадь уборки, га]], "-")</f>
        <v>-</v>
      </c>
    </row>
    <row r="21" spans="1:8">
      <c r="A21" s="118"/>
      <c r="B21" s="118"/>
      <c r="D21" s="43"/>
      <c r="F21" s="144"/>
      <c r="G21" s="143"/>
      <c r="H21" s="120" t="str">
        <f>IFERROR(Таблица4[[#This Row],[Валовый сбор, кг]]/100/Таблица4[[#This Row],[Площадь уборки, га]], "-")</f>
        <v>-</v>
      </c>
    </row>
    <row r="22" spans="1:8">
      <c r="A22" s="118"/>
      <c r="B22" s="118"/>
      <c r="D22" s="43"/>
      <c r="F22" s="144"/>
      <c r="G22" s="143"/>
      <c r="H22" s="120" t="str">
        <f>IFERROR(Таблица4[[#This Row],[Валовый сбор, кг]]/100/Таблица4[[#This Row],[Площадь уборки, га]], "-")</f>
        <v>-</v>
      </c>
    </row>
    <row r="23" spans="1:8">
      <c r="A23" s="118" t="s">
        <v>441</v>
      </c>
      <c r="B23" s="118" t="s">
        <v>442</v>
      </c>
      <c r="C23" t="s">
        <v>429</v>
      </c>
      <c r="D23" s="43">
        <v>31</v>
      </c>
      <c r="E23" s="85">
        <v>45929</v>
      </c>
      <c r="F23" s="144">
        <v>2</v>
      </c>
      <c r="G23" s="143">
        <v>17260</v>
      </c>
      <c r="H23" s="120">
        <f>IFERROR(Таблица4[[#This Row],[Валовый сбор, кг]]/100/Таблица4[[#This Row],[Площадь уборки, га]], "-")</f>
        <v>86.3</v>
      </c>
    </row>
    <row r="24" spans="1:8">
      <c r="A24" s="118"/>
      <c r="B24" s="118"/>
      <c r="C24" t="s">
        <v>443</v>
      </c>
      <c r="D24" s="43">
        <v>15</v>
      </c>
      <c r="E24" s="85">
        <v>45933</v>
      </c>
      <c r="F24" s="144">
        <v>16</v>
      </c>
      <c r="G24" s="143">
        <v>117940</v>
      </c>
      <c r="H24" s="120">
        <f>IFERROR(Таблица4[[#This Row],[Валовый сбор, кг]]/100/Таблица4[[#This Row],[Площадь уборки, га]], "-")</f>
        <v>73.712500000000006</v>
      </c>
    </row>
    <row r="25" spans="1:8">
      <c r="A25" s="118"/>
      <c r="B25" s="118"/>
      <c r="D25" s="43"/>
      <c r="E25" s="85">
        <v>45934</v>
      </c>
      <c r="F25" s="144">
        <v>7</v>
      </c>
      <c r="G25" s="143">
        <v>56980</v>
      </c>
      <c r="H25" s="120">
        <f>IFERROR(Таблица4[[#This Row],[Валовый сбор, кг]]/100/Таблица4[[#This Row],[Площадь уборки, га]], "-")</f>
        <v>81.399999999999991</v>
      </c>
    </row>
    <row r="26" spans="1:8">
      <c r="A26" s="118"/>
      <c r="B26" s="118"/>
      <c r="D26" s="43"/>
      <c r="E26" s="85">
        <v>45937</v>
      </c>
      <c r="F26" s="144">
        <v>0.3</v>
      </c>
      <c r="G26" s="143">
        <v>2280</v>
      </c>
      <c r="H26" s="120">
        <f>IFERROR(Таблица4[[#This Row],[Валовый сбор, кг]]/100/Таблица4[[#This Row],[Площадь уборки, га]], "-")</f>
        <v>76</v>
      </c>
    </row>
    <row r="27" spans="1:8">
      <c r="A27" s="118"/>
      <c r="B27" s="118"/>
      <c r="D27" s="43"/>
      <c r="E27" s="85">
        <v>45938</v>
      </c>
      <c r="F27" s="144">
        <v>20.7</v>
      </c>
      <c r="G27" s="143">
        <v>181700</v>
      </c>
      <c r="H27" s="120">
        <f>IFERROR(Таблица4[[#This Row],[Валовый сбор, кг]]/100/Таблица4[[#This Row],[Площадь уборки, га]], "-")</f>
        <v>87.777777777777786</v>
      </c>
    </row>
    <row r="28" spans="1:8">
      <c r="A28" s="118"/>
      <c r="B28" s="118"/>
      <c r="D28" s="135">
        <f>SUBTOTAL(109,Таблица4[Площадь поля, га])</f>
        <v>303.96000000000004</v>
      </c>
      <c r="F28" s="43">
        <f>SUBTOTAL(109,Таблица4[Площадь уборки, га])</f>
        <v>66</v>
      </c>
      <c r="G28" s="143">
        <f>SUBTOTAL(109,Таблица4[Валовый сбор, кг])</f>
        <v>394240</v>
      </c>
      <c r="H28" s="121">
        <f>Таблица4[[#Totals],[Валовый сбор, кг]]/100/Таблица4[[#Totals],[Площадь уборки, га]]</f>
        <v>59.733333333333334</v>
      </c>
    </row>
    <row r="31" spans="1:8">
      <c r="A31" s="142" t="s">
        <v>460</v>
      </c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5E46B-4326-4410-9172-B6C4B9982811}">
  <dimension ref="A1:H11"/>
  <sheetViews>
    <sheetView showGridLines="0" zoomScale="90" zoomScaleNormal="90" workbookViewId="0">
      <selection activeCell="H25" sqref="H25"/>
    </sheetView>
  </sheetViews>
  <sheetFormatPr defaultColWidth="9.140625" defaultRowHeight="12.75"/>
  <cols>
    <col min="1" max="1" width="29" style="108" customWidth="1"/>
    <col min="2" max="2" width="18.7109375" style="108" customWidth="1"/>
    <col min="3" max="3" width="12.5703125" style="112" customWidth="1"/>
    <col min="4" max="4" width="14.42578125" style="109" customWidth="1"/>
    <col min="5" max="5" width="12.5703125" style="108" customWidth="1"/>
    <col min="6" max="6" width="19.42578125" style="114" customWidth="1"/>
    <col min="7" max="7" width="15.85546875" style="110" customWidth="1"/>
    <col min="8" max="16384" width="9.140625" style="108"/>
  </cols>
  <sheetData>
    <row r="1" spans="1:8" s="105" customFormat="1" ht="48.75" customHeight="1">
      <c r="A1" s="105" t="s">
        <v>420</v>
      </c>
      <c r="B1" s="105" t="s">
        <v>421</v>
      </c>
      <c r="C1" s="111" t="s">
        <v>422</v>
      </c>
      <c r="D1" s="105" t="s">
        <v>424</v>
      </c>
      <c r="E1" s="105" t="s">
        <v>425</v>
      </c>
      <c r="F1" s="113" t="s">
        <v>423</v>
      </c>
      <c r="G1" s="106" t="s">
        <v>32</v>
      </c>
    </row>
    <row r="2" spans="1:8">
      <c r="A2" s="107" t="s">
        <v>461</v>
      </c>
      <c r="C2" s="112">
        <v>55</v>
      </c>
      <c r="D2" s="109">
        <v>45929</v>
      </c>
      <c r="E2" s="108">
        <v>55</v>
      </c>
      <c r="F2" s="114">
        <v>3080</v>
      </c>
      <c r="G2" s="110">
        <f>IFERROR(Таблица378[[#This Row],[Валовый сбор, кг]]/100/Таблица378[[#This Row],[Площадь уборки, га]], "-")</f>
        <v>0.56000000000000005</v>
      </c>
    </row>
    <row r="3" spans="1:8">
      <c r="A3" s="107"/>
      <c r="C3" s="112">
        <f>SUBTOTAL(109,Таблица378[Площадь поля, га])</f>
        <v>55</v>
      </c>
      <c r="E3" s="108">
        <f>SUBTOTAL(109,Таблица378[Площадь уборки, га])</f>
        <v>55</v>
      </c>
      <c r="F3" s="114">
        <f>SUBTOTAL(109,Таблица378[Валовый сбор, кг])</f>
        <v>3080</v>
      </c>
      <c r="G3" s="110">
        <f>IFERROR(Таблица378[[#Totals],[Валовый сбор, кг]]/100/Таблица378[[#Totals],[Площадь уборки, га]], "-")</f>
        <v>0.56000000000000005</v>
      </c>
    </row>
    <row r="6" spans="1:8" ht="18">
      <c r="A6" s="21" t="s">
        <v>103</v>
      </c>
      <c r="B6" s="20"/>
      <c r="C6" s="20"/>
      <c r="D6" s="124"/>
    </row>
    <row r="7" spans="1:8" ht="15">
      <c r="A7" s="11" t="s">
        <v>18</v>
      </c>
      <c r="B7" s="141">
        <v>247.5</v>
      </c>
      <c r="C7" s="139">
        <v>55</v>
      </c>
      <c r="D7" s="24">
        <f>B7*10/C7</f>
        <v>45</v>
      </c>
      <c r="E7" s="109"/>
      <c r="F7" s="108"/>
      <c r="G7" s="114"/>
      <c r="H7" s="110"/>
    </row>
    <row r="8" spans="1:8" ht="15">
      <c r="A8" s="72" t="s">
        <v>19</v>
      </c>
      <c r="B8" s="140">
        <f>Таблица378[[#Totals],[Валовый сбор, кг]]/1000</f>
        <v>3.08</v>
      </c>
      <c r="C8" s="125">
        <f>Таблица378[[#Totals],[Площадь уборки, га]]</f>
        <v>55</v>
      </c>
      <c r="D8" s="104">
        <f>B8*10/C8</f>
        <v>0.56000000000000005</v>
      </c>
      <c r="E8" s="109"/>
      <c r="F8" s="108"/>
      <c r="G8" s="114"/>
      <c r="H8" s="110"/>
    </row>
    <row r="9" spans="1:8" ht="14.25">
      <c r="A9" s="1"/>
      <c r="B9" s="1"/>
      <c r="C9" s="1"/>
      <c r="D9" s="1"/>
      <c r="E9" s="109"/>
      <c r="F9" s="108"/>
      <c r="G9" s="114"/>
      <c r="H9" s="110"/>
    </row>
    <row r="10" spans="1:8" ht="14.25">
      <c r="A10" s="11" t="s">
        <v>64</v>
      </c>
      <c r="B10" s="19">
        <f>C8/C7</f>
        <v>1</v>
      </c>
      <c r="C10" s="19"/>
      <c r="D10" s="25"/>
      <c r="E10" s="109"/>
      <c r="F10" s="108"/>
      <c r="G10" s="114"/>
      <c r="H10" s="110"/>
    </row>
    <row r="11" spans="1:8" ht="14.25">
      <c r="A11" s="11" t="s">
        <v>449</v>
      </c>
      <c r="B11" s="19">
        <f>B8/B7</f>
        <v>1.2444444444444445E-2</v>
      </c>
      <c r="C11" s="19"/>
      <c r="D11" s="1"/>
      <c r="E11" s="109"/>
      <c r="F11" s="108"/>
      <c r="G11" s="114"/>
      <c r="H11" s="110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2CEA1-6891-439F-8506-4EB1B6F3B1FC}">
  <sheetPr codeName="Лист4">
    <tabColor theme="0" tint="-0.249977111117893"/>
  </sheetPr>
  <dimension ref="B2:Y38"/>
  <sheetViews>
    <sheetView zoomScale="80" zoomScaleNormal="80" workbookViewId="0">
      <selection activeCell="L32" sqref="L32"/>
    </sheetView>
  </sheetViews>
  <sheetFormatPr defaultColWidth="9.140625" defaultRowHeight="14.25" outlineLevelCol="1"/>
  <cols>
    <col min="1" max="1" width="2.28515625" style="1" customWidth="1"/>
    <col min="2" max="2" width="35.85546875" style="1" customWidth="1"/>
    <col min="3" max="6" width="13.5703125" style="1" customWidth="1"/>
    <col min="7" max="7" width="12.85546875" style="1" customWidth="1"/>
    <col min="8" max="8" width="15.5703125" style="1" customWidth="1"/>
    <col min="9" max="9" width="14.85546875" style="46" customWidth="1"/>
    <col min="10" max="10" width="8.5703125" style="1" customWidth="1"/>
    <col min="11" max="11" width="9.140625" style="1"/>
    <col min="12" max="12" width="14.7109375" style="1" customWidth="1"/>
    <col min="13" max="13" width="8.5703125" style="1" hidden="1" customWidth="1"/>
    <col min="14" max="14" width="14.28515625" style="1" customWidth="1"/>
    <col min="15" max="15" width="14.5703125" style="1" customWidth="1"/>
    <col min="16" max="16" width="14.85546875" style="49" customWidth="1"/>
    <col min="17" max="17" width="9.85546875" style="1" hidden="1" customWidth="1" outlineLevel="1"/>
    <col min="18" max="18" width="14.5703125" style="1" hidden="1" customWidth="1" outlineLevel="1"/>
    <col min="19" max="19" width="14.42578125" style="1" hidden="1" customWidth="1" outlineLevel="1"/>
    <col min="20" max="20" width="11.28515625" style="1" hidden="1" customWidth="1" outlineLevel="1"/>
    <col min="21" max="21" width="28.28515625" style="1" customWidth="1" collapsed="1"/>
    <col min="22" max="16384" width="9.140625" style="1"/>
  </cols>
  <sheetData>
    <row r="2" spans="2:25" ht="27.75">
      <c r="B2" s="162" t="s">
        <v>474</v>
      </c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62"/>
      <c r="V2" s="62"/>
    </row>
    <row r="3" spans="2:25" ht="18" customHeight="1">
      <c r="B3" s="162"/>
      <c r="C3" s="162"/>
      <c r="D3" s="162"/>
      <c r="E3" s="162"/>
      <c r="F3" s="162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</row>
    <row r="4" spans="2:25">
      <c r="I4" s="149" t="s">
        <v>473</v>
      </c>
    </row>
    <row r="5" spans="2:25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37</v>
      </c>
      <c r="R5" s="28" t="s">
        <v>61</v>
      </c>
      <c r="S5" s="28" t="s">
        <v>38</v>
      </c>
      <c r="T5" s="28" t="s">
        <v>60</v>
      </c>
    </row>
    <row r="6" spans="2:25">
      <c r="B6" s="11" t="s">
        <v>5</v>
      </c>
      <c r="C6" s="22"/>
      <c r="D6" s="12">
        <v>44379</v>
      </c>
      <c r="E6" s="12">
        <v>44744</v>
      </c>
      <c r="F6" s="12"/>
      <c r="G6" s="12"/>
      <c r="H6" s="12">
        <v>45835</v>
      </c>
      <c r="I6" s="92">
        <f>L6</f>
        <v>46198</v>
      </c>
      <c r="L6" s="51">
        <v>46198</v>
      </c>
      <c r="M6" s="37"/>
      <c r="N6" s="34">
        <f>12*O6/(O6+O7)</f>
        <v>9.8478011472275337</v>
      </c>
      <c r="O6" s="32">
        <v>21460</v>
      </c>
      <c r="P6" s="57">
        <f>IFERROR(O6/100/N6,0)</f>
        <v>21.791666666666664</v>
      </c>
      <c r="Q6" s="27"/>
      <c r="R6" s="27"/>
      <c r="S6" s="27"/>
      <c r="T6" s="27"/>
      <c r="U6" s="1" t="s">
        <v>480</v>
      </c>
    </row>
    <row r="7" spans="2:25" ht="16.899999999999999" customHeight="1">
      <c r="B7" s="11" t="s">
        <v>6</v>
      </c>
      <c r="C7" s="22"/>
      <c r="D7" s="12">
        <v>44408</v>
      </c>
      <c r="E7" s="12">
        <v>44752</v>
      </c>
      <c r="F7" s="12"/>
      <c r="G7" s="12"/>
      <c r="H7" s="12">
        <v>45842</v>
      </c>
      <c r="I7" s="92"/>
      <c r="L7" s="51">
        <v>46199</v>
      </c>
      <c r="M7" s="37"/>
      <c r="N7" s="34">
        <f>12-N6</f>
        <v>2.1521988527724663</v>
      </c>
      <c r="O7" s="32">
        <v>4690</v>
      </c>
      <c r="P7" s="57">
        <f>IFERROR(O7/100/N7,0)</f>
        <v>21.791666666666668</v>
      </c>
      <c r="Q7" s="27"/>
      <c r="R7" s="27"/>
      <c r="S7" s="27"/>
      <c r="T7" s="27"/>
      <c r="U7" s="1" t="s">
        <v>480</v>
      </c>
    </row>
    <row r="8" spans="2:25">
      <c r="B8" s="11" t="s">
        <v>7</v>
      </c>
      <c r="C8" s="13"/>
      <c r="D8" s="13">
        <f>IF(D7=0,"-",D7-D6+1)</f>
        <v>30</v>
      </c>
      <c r="E8" s="13">
        <f>IF(E7=0,"-",E7-E6+1)</f>
        <v>9</v>
      </c>
      <c r="F8" s="13"/>
      <c r="G8" s="13"/>
      <c r="H8" s="13">
        <v>8</v>
      </c>
      <c r="I8" s="93" t="str">
        <f>IF(I7=0,"-",I7-I6+1)</f>
        <v>-</v>
      </c>
      <c r="L8" s="51">
        <v>46200</v>
      </c>
      <c r="M8" s="37"/>
      <c r="N8" s="34"/>
      <c r="O8" s="32"/>
      <c r="P8" s="57"/>
      <c r="Q8" s="27"/>
      <c r="R8" s="27"/>
      <c r="S8" s="27"/>
      <c r="T8" s="27"/>
      <c r="U8" s="42"/>
    </row>
    <row r="9" spans="2:25">
      <c r="B9" s="11" t="s">
        <v>8</v>
      </c>
      <c r="C9" s="13"/>
      <c r="D9" s="13">
        <v>5</v>
      </c>
      <c r="E9" s="13">
        <v>9</v>
      </c>
      <c r="F9" s="13"/>
      <c r="G9" s="13"/>
      <c r="H9" s="13">
        <v>5</v>
      </c>
      <c r="I9" s="93">
        <v>0</v>
      </c>
      <c r="L9" s="51">
        <v>46201</v>
      </c>
      <c r="M9" s="37"/>
      <c r="N9" s="34">
        <v>21</v>
      </c>
      <c r="O9" s="32">
        <v>23170</v>
      </c>
      <c r="P9" s="57">
        <f t="shared" ref="P9:P11" si="0">IFERROR(O9/100/N9,0)</f>
        <v>11.033333333333333</v>
      </c>
      <c r="Q9" s="27"/>
      <c r="R9" s="27"/>
      <c r="S9" s="27"/>
      <c r="T9" s="27"/>
      <c r="U9" s="42" t="s">
        <v>481</v>
      </c>
    </row>
    <row r="10" spans="2:25" ht="15">
      <c r="B10" s="11" t="s">
        <v>9</v>
      </c>
      <c r="C10" s="14"/>
      <c r="D10" s="14" t="s">
        <v>25</v>
      </c>
      <c r="E10" s="14" t="s">
        <v>25</v>
      </c>
      <c r="F10" s="14"/>
      <c r="G10" s="14"/>
      <c r="H10" s="14" t="s">
        <v>105</v>
      </c>
      <c r="I10" s="94" t="s">
        <v>478</v>
      </c>
      <c r="L10" s="51">
        <v>46202</v>
      </c>
      <c r="M10" s="37"/>
      <c r="N10" s="34">
        <v>37</v>
      </c>
      <c r="O10" s="32">
        <v>57550</v>
      </c>
      <c r="P10" s="57">
        <f t="shared" si="0"/>
        <v>15.554054054054054</v>
      </c>
      <c r="Q10" s="27"/>
      <c r="R10" s="27"/>
      <c r="S10" s="27"/>
      <c r="T10" s="27"/>
      <c r="U10" s="1" t="s">
        <v>342</v>
      </c>
    </row>
    <row r="11" spans="2:25">
      <c r="B11" s="11" t="s">
        <v>13</v>
      </c>
      <c r="C11" s="48"/>
      <c r="D11" s="48">
        <v>368.83</v>
      </c>
      <c r="E11" s="48">
        <v>180.7</v>
      </c>
      <c r="F11" s="48"/>
      <c r="G11" s="48"/>
      <c r="H11" s="48">
        <v>764.29</v>
      </c>
      <c r="I11" s="95">
        <f>O12/1000</f>
        <v>150.19999999999999</v>
      </c>
      <c r="L11" s="51">
        <v>46203</v>
      </c>
      <c r="M11" s="37"/>
      <c r="N11" s="34">
        <v>21</v>
      </c>
      <c r="O11" s="32">
        <v>43330</v>
      </c>
      <c r="P11" s="57">
        <f t="shared" si="0"/>
        <v>20.633333333333333</v>
      </c>
      <c r="Q11" s="27"/>
      <c r="R11" s="27"/>
      <c r="S11" s="27"/>
      <c r="T11" s="27"/>
      <c r="U11" s="1" t="s">
        <v>482</v>
      </c>
    </row>
    <row r="12" spans="2:25">
      <c r="B12" s="11" t="s">
        <v>14</v>
      </c>
      <c r="C12" s="16"/>
      <c r="D12" s="16">
        <v>151</v>
      </c>
      <c r="E12" s="16">
        <v>191</v>
      </c>
      <c r="F12" s="16"/>
      <c r="G12" s="16"/>
      <c r="H12" s="16">
        <v>384</v>
      </c>
      <c r="I12" s="96">
        <v>0</v>
      </c>
      <c r="L12" s="28" t="s">
        <v>40</v>
      </c>
      <c r="M12" s="28">
        <f>SUM(M6:M11)</f>
        <v>0</v>
      </c>
      <c r="N12" s="35">
        <f>SUM(N6:N11)</f>
        <v>91</v>
      </c>
      <c r="O12" s="33">
        <f>SUM(O6:O11)</f>
        <v>150200</v>
      </c>
      <c r="P12" s="58">
        <f>O12/100/N12</f>
        <v>16.505494505494507</v>
      </c>
      <c r="Q12" s="29">
        <f>IFERROR(AVERAGE(Q6:Q11),)</f>
        <v>0</v>
      </c>
      <c r="R12" s="29">
        <f>IFERROR(AVERAGE(R6:R11),)</f>
        <v>0</v>
      </c>
      <c r="S12" s="29">
        <f>IFERROR(AVERAGE(S6:S11),)</f>
        <v>0</v>
      </c>
      <c r="T12" s="29">
        <f>IFERROR(AVERAGE(T6:T11),)</f>
        <v>0</v>
      </c>
    </row>
    <row r="13" spans="2:25">
      <c r="B13" s="11" t="s">
        <v>15</v>
      </c>
      <c r="C13" s="16"/>
      <c r="D13" s="16">
        <v>151</v>
      </c>
      <c r="E13" s="16">
        <v>191</v>
      </c>
      <c r="F13" s="16"/>
      <c r="G13" s="52"/>
      <c r="H13" s="52">
        <v>384</v>
      </c>
      <c r="I13" s="98">
        <f>N12</f>
        <v>91</v>
      </c>
      <c r="M13" s="4"/>
    </row>
    <row r="14" spans="2:25" ht="15">
      <c r="B14" s="11" t="s">
        <v>32</v>
      </c>
      <c r="C14" s="17"/>
      <c r="D14" s="24">
        <f>D11/D13*10</f>
        <v>24.425827814569537</v>
      </c>
      <c r="E14" s="102">
        <f t="shared" ref="E14" si="1">E11/E13*10</f>
        <v>9.4607329842931929</v>
      </c>
      <c r="F14" s="24"/>
      <c r="G14" s="102"/>
      <c r="H14" s="24">
        <v>19.903385416666666</v>
      </c>
      <c r="I14" s="24">
        <f>P12</f>
        <v>16.505494505494507</v>
      </c>
    </row>
    <row r="15" spans="2:25" ht="13.15" customHeight="1">
      <c r="B15" s="11" t="s">
        <v>16</v>
      </c>
      <c r="C15" s="18"/>
      <c r="D15" s="18">
        <v>37.1</v>
      </c>
      <c r="E15" s="18">
        <v>24.11</v>
      </c>
      <c r="F15" s="18">
        <v>38.76</v>
      </c>
      <c r="G15" s="70">
        <v>26.28</v>
      </c>
      <c r="H15" s="70">
        <v>23.9</v>
      </c>
      <c r="I15" s="103">
        <v>37.6</v>
      </c>
      <c r="J15" s="76"/>
      <c r="N15" s="42"/>
      <c r="O15" s="42"/>
    </row>
    <row r="16" spans="2:25" s="8" customFormat="1" ht="15">
      <c r="B16" s="5" t="s">
        <v>17</v>
      </c>
      <c r="C16" s="6"/>
      <c r="D16" s="7"/>
      <c r="E16" s="7"/>
      <c r="F16" s="7"/>
      <c r="G16" s="6"/>
      <c r="H16" s="6" t="s">
        <v>97</v>
      </c>
      <c r="I16" s="6" t="s">
        <v>472</v>
      </c>
      <c r="J16" s="76"/>
      <c r="L16" s="1"/>
      <c r="M16" s="1"/>
      <c r="N16" s="1"/>
      <c r="O16" s="42"/>
      <c r="P16" s="49"/>
      <c r="Q16" s="1"/>
      <c r="R16" s="1"/>
      <c r="S16" s="1"/>
      <c r="T16" s="1"/>
      <c r="U16" s="1"/>
      <c r="V16" s="1"/>
      <c r="W16" s="1"/>
      <c r="X16" s="1"/>
      <c r="Y16" s="1"/>
    </row>
    <row r="17" spans="2:25">
      <c r="U17" s="8"/>
      <c r="V17" s="8"/>
      <c r="W17" s="8"/>
      <c r="X17" s="8"/>
      <c r="Y17" s="8"/>
    </row>
    <row r="19" spans="2:25" ht="14.45" customHeight="1">
      <c r="B19" s="21" t="s">
        <v>468</v>
      </c>
      <c r="C19" s="20"/>
      <c r="D19" s="3"/>
      <c r="E19" s="3"/>
      <c r="F19" s="3"/>
      <c r="G19" s="3"/>
      <c r="H19" s="3"/>
      <c r="I19" s="44"/>
      <c r="J19" s="3"/>
      <c r="K19" s="3"/>
    </row>
    <row r="20" spans="2:25" ht="14.45" customHeight="1">
      <c r="B20" s="11" t="s">
        <v>18</v>
      </c>
      <c r="C20" s="48">
        <v>0</v>
      </c>
      <c r="D20" s="24">
        <f>IFERROR(C20*10/I12,)</f>
        <v>0</v>
      </c>
    </row>
    <row r="21" spans="2:25" ht="14.45" customHeight="1">
      <c r="B21" s="1" t="s">
        <v>19</v>
      </c>
      <c r="C21" s="60">
        <f>O12/1000</f>
        <v>150.19999999999999</v>
      </c>
      <c r="D21" s="61">
        <f>C21*10/N12</f>
        <v>16.505494505494507</v>
      </c>
    </row>
    <row r="22" spans="2:25">
      <c r="B22" s="11"/>
      <c r="C22" s="48"/>
    </row>
    <row r="23" spans="2:25" ht="13.9" customHeight="1">
      <c r="B23" s="11" t="s">
        <v>64</v>
      </c>
      <c r="C23" s="19">
        <f>IFERROR(I13/I12,)</f>
        <v>0</v>
      </c>
      <c r="D23" s="25"/>
      <c r="E23" s="161"/>
      <c r="F23" s="161"/>
    </row>
    <row r="24" spans="2:25" ht="13.9" customHeight="1">
      <c r="B24" s="11" t="s">
        <v>62</v>
      </c>
      <c r="C24" s="19">
        <f>IFERROR(C21/C20,0)</f>
        <v>0</v>
      </c>
    </row>
    <row r="37" spans="21:22" ht="15.75" customHeight="1"/>
    <row r="38" spans="21:22">
      <c r="U38" s="163"/>
      <c r="V38" s="163"/>
    </row>
  </sheetData>
  <mergeCells count="3">
    <mergeCell ref="B2:T3"/>
    <mergeCell ref="E23:F23"/>
    <mergeCell ref="U38:V38"/>
  </mergeCells>
  <phoneticPr fontId="8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D6C01-B359-4149-81B8-E8E06BB8031A}">
  <sheetPr codeName="Лист8">
    <tabColor theme="0" tint="-0.249977111117893"/>
  </sheetPr>
  <dimension ref="B2:U55"/>
  <sheetViews>
    <sheetView zoomScale="80" zoomScaleNormal="80" workbookViewId="0">
      <selection activeCell="D30" sqref="D30"/>
    </sheetView>
  </sheetViews>
  <sheetFormatPr defaultColWidth="9.140625" defaultRowHeight="14.25" outlineLevelCol="1"/>
  <cols>
    <col min="1" max="1" width="2.28515625" style="1" customWidth="1"/>
    <col min="2" max="2" width="36.28515625" style="1" customWidth="1"/>
    <col min="3" max="6" width="13.5703125" style="1" customWidth="1"/>
    <col min="7" max="7" width="12.85546875" style="1" customWidth="1"/>
    <col min="8" max="8" width="14.85546875" style="46" customWidth="1"/>
    <col min="9" max="10" width="9.140625" style="1"/>
    <col min="11" max="11" width="14.7109375" style="1" customWidth="1"/>
    <col min="12" max="12" width="8.5703125" style="1" customWidth="1"/>
    <col min="13" max="13" width="11.28515625" style="1" customWidth="1"/>
    <col min="14" max="14" width="14.5703125" style="1" customWidth="1"/>
    <col min="15" max="15" width="14.85546875" style="49" customWidth="1"/>
    <col min="16" max="16" width="9.85546875" style="1" customWidth="1" outlineLevel="1"/>
    <col min="17" max="17" width="14.5703125" style="1" customWidth="1" outlineLevel="1"/>
    <col min="18" max="18" width="14.42578125" style="1" customWidth="1" outlineLevel="1"/>
    <col min="19" max="19" width="11.28515625" style="1" customWidth="1" outlineLevel="1"/>
    <col min="20" max="20" width="28.28515625" style="1" customWidth="1"/>
    <col min="21" max="16384" width="9.140625" style="1"/>
  </cols>
  <sheetData>
    <row r="2" spans="2:21" ht="27.75">
      <c r="B2" s="162" t="s">
        <v>30</v>
      </c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62"/>
      <c r="U2" s="62"/>
    </row>
    <row r="3" spans="2:21" ht="18" customHeight="1">
      <c r="B3" s="162"/>
      <c r="C3" s="162"/>
      <c r="D3" s="162"/>
      <c r="E3" s="162"/>
      <c r="F3" s="162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</row>
    <row r="5" spans="2:21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45"/>
      <c r="K5" s="28" t="s">
        <v>36</v>
      </c>
      <c r="L5" s="28" t="s">
        <v>34</v>
      </c>
      <c r="M5" s="28" t="s">
        <v>15</v>
      </c>
      <c r="N5" s="28" t="s">
        <v>13</v>
      </c>
      <c r="O5" s="50" t="s">
        <v>41</v>
      </c>
      <c r="P5" s="28" t="s">
        <v>37</v>
      </c>
      <c r="Q5" s="28" t="s">
        <v>61</v>
      </c>
      <c r="R5" s="28" t="s">
        <v>38</v>
      </c>
      <c r="S5" s="28" t="s">
        <v>60</v>
      </c>
    </row>
    <row r="6" spans="2:21">
      <c r="B6" s="11" t="s">
        <v>5</v>
      </c>
      <c r="C6" s="22"/>
      <c r="D6" s="12">
        <v>44454</v>
      </c>
      <c r="E6" s="12">
        <v>44831</v>
      </c>
      <c r="F6" s="12">
        <v>45199</v>
      </c>
      <c r="G6" s="12">
        <v>45519</v>
      </c>
      <c r="K6" s="51">
        <v>45519</v>
      </c>
      <c r="L6" s="37">
        <v>4</v>
      </c>
      <c r="M6" s="34">
        <v>111</v>
      </c>
      <c r="N6" s="32">
        <v>58380</v>
      </c>
      <c r="O6" s="57">
        <f>IFERROR(N6/100/M6,0)</f>
        <v>5.2594594594594595</v>
      </c>
      <c r="P6" s="27">
        <v>0.32900000000000001</v>
      </c>
      <c r="Q6" s="27">
        <v>0.246</v>
      </c>
      <c r="R6" s="27">
        <v>0.15</v>
      </c>
      <c r="S6" s="27">
        <v>0.16200000000000001</v>
      </c>
    </row>
    <row r="7" spans="2:21" ht="16.899999999999999" customHeight="1">
      <c r="B7" s="11" t="s">
        <v>6</v>
      </c>
      <c r="C7" s="22"/>
      <c r="D7" s="12">
        <v>44476</v>
      </c>
      <c r="E7" s="12">
        <v>44839</v>
      </c>
      <c r="F7" s="12">
        <v>45204</v>
      </c>
      <c r="G7" s="12">
        <v>45564</v>
      </c>
      <c r="K7" s="51">
        <v>45520</v>
      </c>
      <c r="L7" s="37">
        <v>4</v>
      </c>
      <c r="M7" s="34">
        <v>120</v>
      </c>
      <c r="N7" s="32">
        <f>24480+13980</f>
        <v>38460</v>
      </c>
      <c r="O7" s="57">
        <f>IFERROR(N7/100/M7,0)</f>
        <v>3.2050000000000001</v>
      </c>
      <c r="P7" s="27">
        <v>0.33500000000000002</v>
      </c>
      <c r="Q7" s="27">
        <v>0.25</v>
      </c>
      <c r="R7" s="27">
        <v>0.16700000000000001</v>
      </c>
      <c r="S7" s="27">
        <v>0.19</v>
      </c>
    </row>
    <row r="8" spans="2:21">
      <c r="B8" s="11" t="s">
        <v>7</v>
      </c>
      <c r="C8" s="13"/>
      <c r="D8" s="13">
        <v>23</v>
      </c>
      <c r="E8" s="13">
        <v>9</v>
      </c>
      <c r="F8" s="13">
        <v>6</v>
      </c>
      <c r="G8" s="13">
        <v>46</v>
      </c>
      <c r="K8" s="51">
        <v>45521</v>
      </c>
      <c r="L8" s="37">
        <v>2</v>
      </c>
      <c r="M8" s="34">
        <v>26</v>
      </c>
      <c r="N8" s="32">
        <v>17240</v>
      </c>
      <c r="O8" s="57">
        <f>IFERROR(N8/100/M8,0)</f>
        <v>6.6307692307692312</v>
      </c>
      <c r="P8" s="27">
        <v>0.33100000000000002</v>
      </c>
      <c r="Q8" s="27">
        <v>0.248</v>
      </c>
      <c r="R8" s="27">
        <v>0.17399999999999999</v>
      </c>
      <c r="S8" s="27">
        <v>0.18</v>
      </c>
    </row>
    <row r="9" spans="2:21">
      <c r="B9" s="11" t="s">
        <v>8</v>
      </c>
      <c r="C9" s="13"/>
      <c r="D9" s="13">
        <v>7</v>
      </c>
      <c r="E9" s="13">
        <v>7</v>
      </c>
      <c r="F9" s="13">
        <v>4</v>
      </c>
      <c r="G9" s="13">
        <v>18</v>
      </c>
      <c r="K9" s="51">
        <v>45522</v>
      </c>
      <c r="L9" s="37"/>
      <c r="M9" s="34"/>
      <c r="N9" s="32"/>
      <c r="O9" s="57"/>
      <c r="P9" s="27"/>
      <c r="Q9" s="27"/>
      <c r="R9" s="27"/>
      <c r="S9" s="27"/>
    </row>
    <row r="10" spans="2:21" ht="15">
      <c r="B10" s="11" t="s">
        <v>9</v>
      </c>
      <c r="C10" s="14"/>
      <c r="D10" s="14"/>
      <c r="E10" s="14"/>
      <c r="F10" s="14" t="s">
        <v>27</v>
      </c>
      <c r="G10" s="14" t="s">
        <v>27</v>
      </c>
      <c r="K10" s="51">
        <v>45523</v>
      </c>
      <c r="L10" s="37"/>
      <c r="M10" s="34"/>
      <c r="N10" s="32"/>
      <c r="O10" s="57"/>
      <c r="P10" s="27"/>
      <c r="Q10" s="27"/>
      <c r="R10" s="27"/>
      <c r="S10" s="27"/>
    </row>
    <row r="11" spans="2:21">
      <c r="B11" s="11" t="s">
        <v>13</v>
      </c>
      <c r="C11" s="48"/>
      <c r="D11" s="48">
        <v>672.96</v>
      </c>
      <c r="E11" s="48">
        <v>490.62</v>
      </c>
      <c r="F11" s="48">
        <v>412.22</v>
      </c>
      <c r="G11" s="48">
        <v>334.96</v>
      </c>
      <c r="K11" s="51">
        <v>45524</v>
      </c>
      <c r="L11" s="37">
        <v>2</v>
      </c>
      <c r="M11" s="34">
        <f>41+5</f>
        <v>46</v>
      </c>
      <c r="N11" s="32">
        <v>16180</v>
      </c>
      <c r="O11" s="57">
        <f t="shared" ref="O11:O51" si="0">IFERROR(N11/100/M11,0)</f>
        <v>3.5173913043478264</v>
      </c>
      <c r="P11" s="27">
        <v>0.33600000000000002</v>
      </c>
      <c r="Q11" s="27">
        <v>0.25</v>
      </c>
      <c r="R11" s="27">
        <v>0.17699999999999999</v>
      </c>
      <c r="S11" s="27">
        <v>0.14699999999999999</v>
      </c>
    </row>
    <row r="12" spans="2:21">
      <c r="B12" s="11" t="s">
        <v>14</v>
      </c>
      <c r="C12" s="16"/>
      <c r="D12" s="16">
        <v>311</v>
      </c>
      <c r="E12" s="16">
        <v>329</v>
      </c>
      <c r="F12" s="16">
        <v>335</v>
      </c>
      <c r="G12" s="16">
        <v>879</v>
      </c>
      <c r="K12" s="51">
        <v>45525</v>
      </c>
      <c r="L12" s="37"/>
      <c r="M12" s="34"/>
      <c r="N12" s="32"/>
      <c r="O12" s="57"/>
      <c r="P12" s="27"/>
      <c r="Q12" s="27"/>
      <c r="R12" s="27"/>
      <c r="S12" s="27"/>
    </row>
    <row r="13" spans="2:21">
      <c r="B13" s="11" t="s">
        <v>15</v>
      </c>
      <c r="C13" s="16"/>
      <c r="D13" s="16">
        <v>311</v>
      </c>
      <c r="E13" s="16">
        <v>329</v>
      </c>
      <c r="F13" s="16">
        <v>332</v>
      </c>
      <c r="G13" s="52">
        <v>879</v>
      </c>
      <c r="K13" s="51">
        <v>45526</v>
      </c>
      <c r="L13" s="37"/>
      <c r="M13" s="34"/>
      <c r="N13" s="32"/>
      <c r="O13" s="57"/>
      <c r="P13" s="27"/>
      <c r="Q13" s="27"/>
      <c r="R13" s="27"/>
      <c r="S13" s="27"/>
    </row>
    <row r="14" spans="2:21" ht="15">
      <c r="B14" s="11" t="s">
        <v>32</v>
      </c>
      <c r="C14" s="17"/>
      <c r="D14" s="17">
        <v>21.638585209003217</v>
      </c>
      <c r="E14" s="17">
        <v>14.912462006079028</v>
      </c>
      <c r="F14" s="17">
        <v>12.416265060240965</v>
      </c>
      <c r="G14" s="59">
        <v>3.8106939704209326</v>
      </c>
      <c r="K14" s="51">
        <v>45527</v>
      </c>
      <c r="L14" s="37"/>
      <c r="M14" s="34"/>
      <c r="N14" s="32"/>
      <c r="O14" s="57"/>
      <c r="P14" s="27"/>
      <c r="Q14" s="27"/>
      <c r="R14" s="27"/>
      <c r="S14" s="27"/>
    </row>
    <row r="15" spans="2:21">
      <c r="B15" s="11" t="s">
        <v>16</v>
      </c>
      <c r="C15" s="18"/>
      <c r="D15" s="18">
        <v>23</v>
      </c>
      <c r="E15" s="18">
        <v>26.1</v>
      </c>
      <c r="F15" s="18" t="s">
        <v>31</v>
      </c>
      <c r="G15" s="70">
        <v>5.4</v>
      </c>
      <c r="H15" s="71" t="s">
        <v>102</v>
      </c>
      <c r="K15" s="51">
        <v>45528</v>
      </c>
      <c r="L15" s="37"/>
      <c r="M15" s="34"/>
      <c r="N15" s="32"/>
      <c r="O15" s="57"/>
      <c r="P15" s="27"/>
      <c r="Q15" s="27"/>
      <c r="R15" s="27"/>
      <c r="S15" s="27"/>
    </row>
    <row r="16" spans="2:21" s="8" customFormat="1" ht="15">
      <c r="B16" s="5" t="s">
        <v>17</v>
      </c>
      <c r="C16" s="6"/>
      <c r="D16" s="7" t="s">
        <v>21</v>
      </c>
      <c r="E16" s="7" t="s">
        <v>21</v>
      </c>
      <c r="F16" s="7" t="s">
        <v>57</v>
      </c>
      <c r="G16" s="6" t="s">
        <v>98</v>
      </c>
      <c r="H16" s="47"/>
      <c r="K16" s="51">
        <v>45529</v>
      </c>
      <c r="L16" s="37"/>
      <c r="M16" s="34"/>
      <c r="N16" s="32"/>
      <c r="O16" s="57"/>
      <c r="P16" s="27"/>
      <c r="Q16" s="27"/>
      <c r="R16" s="27"/>
      <c r="S16" s="27"/>
    </row>
    <row r="17" spans="2:19">
      <c r="K17" s="51">
        <v>45530</v>
      </c>
      <c r="L17" s="37"/>
      <c r="M17" s="34"/>
      <c r="N17" s="32"/>
      <c r="O17" s="57"/>
      <c r="P17" s="27"/>
      <c r="Q17" s="27"/>
      <c r="R17" s="27"/>
      <c r="S17" s="27"/>
    </row>
    <row r="18" spans="2:19">
      <c r="K18" s="51">
        <v>45531</v>
      </c>
      <c r="L18" s="37"/>
      <c r="M18" s="34"/>
      <c r="N18" s="32"/>
      <c r="O18" s="57"/>
      <c r="P18" s="27"/>
      <c r="Q18" s="27"/>
      <c r="R18" s="27"/>
      <c r="S18" s="27"/>
    </row>
    <row r="19" spans="2:19" ht="14.45" customHeight="1">
      <c r="B19" s="21" t="s">
        <v>33</v>
      </c>
      <c r="C19" s="20"/>
      <c r="D19" s="3"/>
      <c r="E19" s="3"/>
      <c r="F19" s="3"/>
      <c r="G19" s="3"/>
      <c r="H19" s="44"/>
      <c r="I19" s="3"/>
      <c r="J19" s="3"/>
      <c r="K19" s="51">
        <v>45532</v>
      </c>
      <c r="L19" s="37"/>
      <c r="M19" s="34"/>
      <c r="N19" s="32"/>
      <c r="O19" s="57"/>
      <c r="P19" s="27"/>
      <c r="Q19" s="27"/>
      <c r="R19" s="27"/>
      <c r="S19" s="27"/>
    </row>
    <row r="20" spans="2:19" ht="14.45" customHeight="1">
      <c r="B20" s="11" t="s">
        <v>18</v>
      </c>
      <c r="C20" s="48">
        <v>1929.4</v>
      </c>
      <c r="D20" s="24">
        <f>C20*10/G12</f>
        <v>21.949943117178613</v>
      </c>
      <c r="K20" s="51">
        <v>45533</v>
      </c>
      <c r="L20" s="37"/>
      <c r="M20" s="34"/>
      <c r="N20" s="32"/>
      <c r="O20" s="57"/>
      <c r="P20" s="27"/>
      <c r="Q20" s="27"/>
      <c r="R20" s="27"/>
      <c r="S20" s="27"/>
    </row>
    <row r="21" spans="2:19" ht="14.45" customHeight="1">
      <c r="B21" s="53" t="s">
        <v>59</v>
      </c>
      <c r="C21" s="54">
        <f>G12*1</f>
        <v>879</v>
      </c>
      <c r="D21" s="55">
        <f>C21*10/G12</f>
        <v>10</v>
      </c>
      <c r="K21" s="51">
        <v>45534</v>
      </c>
      <c r="L21" s="37"/>
      <c r="M21" s="34"/>
      <c r="N21" s="32"/>
      <c r="O21" s="57"/>
      <c r="P21" s="27"/>
      <c r="Q21" s="27"/>
      <c r="R21" s="27"/>
      <c r="S21" s="27"/>
    </row>
    <row r="22" spans="2:19" ht="14.45" customHeight="1">
      <c r="B22" s="53" t="s">
        <v>58</v>
      </c>
      <c r="C22" s="54">
        <f>G12*0.75</f>
        <v>659.25</v>
      </c>
      <c r="D22" s="56">
        <f>C22*10/G12</f>
        <v>7.5</v>
      </c>
      <c r="K22" s="51">
        <v>45535</v>
      </c>
      <c r="L22" s="37"/>
      <c r="M22" s="34"/>
      <c r="N22" s="32"/>
      <c r="O22" s="57"/>
      <c r="P22" s="27"/>
      <c r="Q22" s="27"/>
      <c r="R22" s="27"/>
      <c r="S22" s="27"/>
    </row>
    <row r="23" spans="2:19" ht="14.45" customHeight="1">
      <c r="B23" s="1" t="s">
        <v>19</v>
      </c>
      <c r="C23" s="60">
        <f>N52/1000</f>
        <v>334.96</v>
      </c>
      <c r="D23" s="61">
        <f>C23*10/M52</f>
        <v>3.8106939704209326</v>
      </c>
      <c r="K23" s="51">
        <v>45536</v>
      </c>
      <c r="L23" s="37"/>
      <c r="M23" s="34"/>
      <c r="N23" s="32"/>
      <c r="O23" s="57"/>
      <c r="P23" s="27"/>
      <c r="Q23" s="27"/>
      <c r="R23" s="27"/>
      <c r="S23" s="27"/>
    </row>
    <row r="24" spans="2:19">
      <c r="B24" s="11"/>
      <c r="C24" s="48"/>
      <c r="K24" s="51">
        <v>45537</v>
      </c>
      <c r="L24" s="37"/>
      <c r="M24" s="34"/>
      <c r="N24" s="32"/>
      <c r="O24" s="57"/>
      <c r="P24" s="27"/>
      <c r="Q24" s="27"/>
      <c r="R24" s="27"/>
      <c r="S24" s="27"/>
    </row>
    <row r="25" spans="2:19" ht="13.9" customHeight="1">
      <c r="B25" s="11" t="s">
        <v>64</v>
      </c>
      <c r="C25" s="19">
        <f>G13/G12</f>
        <v>1</v>
      </c>
      <c r="D25" s="25"/>
      <c r="E25" s="161"/>
      <c r="F25" s="161"/>
      <c r="K25" s="51">
        <v>45538</v>
      </c>
      <c r="L25" s="37"/>
      <c r="M25" s="34"/>
      <c r="N25" s="32"/>
      <c r="O25" s="57"/>
      <c r="P25" s="27"/>
      <c r="Q25" s="27"/>
      <c r="R25" s="27"/>
      <c r="S25" s="27"/>
    </row>
    <row r="26" spans="2:19" ht="13.9" customHeight="1">
      <c r="B26" s="11" t="s">
        <v>62</v>
      </c>
      <c r="C26" s="19">
        <f>IFERROR(C23/C20,0)</f>
        <v>0.17360837566082718</v>
      </c>
      <c r="K26" s="51">
        <v>45539</v>
      </c>
      <c r="L26" s="37"/>
      <c r="M26" s="34"/>
      <c r="N26" s="32"/>
      <c r="O26" s="57"/>
      <c r="P26" s="27"/>
      <c r="Q26" s="27"/>
      <c r="R26" s="27"/>
      <c r="S26" s="27"/>
    </row>
    <row r="27" spans="2:19" ht="13.9" customHeight="1">
      <c r="B27" s="11" t="s">
        <v>63</v>
      </c>
      <c r="C27" s="19">
        <f>C23/C22</f>
        <v>0.5080925293894577</v>
      </c>
      <c r="K27" s="51">
        <v>45540</v>
      </c>
      <c r="L27" s="37"/>
      <c r="M27" s="34"/>
      <c r="N27" s="32"/>
      <c r="O27" s="57"/>
      <c r="P27" s="27"/>
      <c r="Q27" s="27"/>
      <c r="R27" s="27"/>
      <c r="S27" s="27"/>
    </row>
    <row r="28" spans="2:19">
      <c r="K28" s="51">
        <v>45541</v>
      </c>
      <c r="L28" s="37"/>
      <c r="M28" s="34"/>
      <c r="N28" s="32"/>
      <c r="O28" s="57"/>
      <c r="P28" s="27"/>
      <c r="Q28" s="27"/>
      <c r="R28" s="27"/>
      <c r="S28" s="27"/>
    </row>
    <row r="29" spans="2:19">
      <c r="K29" s="51">
        <v>45542</v>
      </c>
      <c r="L29" s="37"/>
      <c r="M29" s="34"/>
      <c r="N29" s="32"/>
      <c r="O29" s="57"/>
      <c r="P29" s="27"/>
      <c r="Q29" s="27"/>
      <c r="R29" s="27"/>
      <c r="S29" s="27"/>
    </row>
    <row r="30" spans="2:19">
      <c r="K30" s="51">
        <v>45543</v>
      </c>
      <c r="L30" s="37"/>
      <c r="M30" s="34"/>
      <c r="N30" s="32"/>
      <c r="O30" s="57"/>
      <c r="P30" s="27"/>
      <c r="Q30" s="27"/>
      <c r="R30" s="27"/>
      <c r="S30" s="27"/>
    </row>
    <row r="31" spans="2:19">
      <c r="K31" s="51">
        <v>45544</v>
      </c>
      <c r="L31" s="37"/>
      <c r="M31" s="34"/>
      <c r="N31" s="32"/>
      <c r="O31" s="57"/>
      <c r="P31" s="27"/>
      <c r="Q31" s="27"/>
      <c r="R31" s="27"/>
      <c r="S31" s="27"/>
    </row>
    <row r="32" spans="2:19">
      <c r="K32" s="51">
        <v>45545</v>
      </c>
      <c r="L32" s="37"/>
      <c r="M32" s="34"/>
      <c r="N32" s="32"/>
      <c r="O32" s="57"/>
      <c r="P32" s="27"/>
      <c r="Q32" s="27"/>
      <c r="R32" s="27"/>
      <c r="S32" s="27"/>
    </row>
    <row r="33" spans="11:21">
      <c r="K33" s="63">
        <v>45546</v>
      </c>
      <c r="L33" s="64">
        <v>2</v>
      </c>
      <c r="M33" s="39">
        <v>11</v>
      </c>
      <c r="N33" s="40">
        <v>7880</v>
      </c>
      <c r="O33" s="65">
        <f t="shared" si="0"/>
        <v>7.1636363636363631</v>
      </c>
      <c r="P33" s="41"/>
      <c r="Q33" s="41"/>
      <c r="R33" s="41"/>
      <c r="S33" s="69">
        <v>0.97199999999999998</v>
      </c>
    </row>
    <row r="34" spans="11:21">
      <c r="K34" s="63">
        <v>45547</v>
      </c>
      <c r="L34" s="64"/>
      <c r="M34" s="39"/>
      <c r="N34" s="40"/>
      <c r="O34" s="65"/>
      <c r="P34" s="41"/>
      <c r="Q34" s="41"/>
      <c r="R34" s="41"/>
      <c r="S34" s="41"/>
    </row>
    <row r="35" spans="11:21">
      <c r="K35" s="63">
        <v>45548</v>
      </c>
      <c r="L35" s="37"/>
      <c r="M35" s="34"/>
      <c r="N35" s="32"/>
      <c r="O35" s="65"/>
      <c r="P35" s="27"/>
      <c r="Q35" s="27"/>
      <c r="R35" s="27"/>
      <c r="S35" s="27"/>
    </row>
    <row r="36" spans="11:21">
      <c r="K36" s="63">
        <v>45549</v>
      </c>
      <c r="L36" s="37"/>
      <c r="M36" s="34"/>
      <c r="N36" s="32"/>
      <c r="O36" s="65"/>
      <c r="P36" s="27"/>
      <c r="Q36" s="27"/>
      <c r="R36" s="27"/>
      <c r="S36" s="27"/>
    </row>
    <row r="37" spans="11:21">
      <c r="K37" s="63">
        <v>45550</v>
      </c>
      <c r="L37" s="37"/>
      <c r="M37" s="34"/>
      <c r="N37" s="32"/>
      <c r="O37" s="65"/>
      <c r="P37" s="27"/>
      <c r="Q37" s="27"/>
      <c r="R37" s="27"/>
      <c r="S37" s="27"/>
    </row>
    <row r="38" spans="11:21">
      <c r="K38" s="63">
        <v>45551</v>
      </c>
      <c r="L38" s="37">
        <v>2</v>
      </c>
      <c r="M38" s="34">
        <v>55</v>
      </c>
      <c r="N38" s="32">
        <v>23280</v>
      </c>
      <c r="O38" s="65">
        <f t="shared" si="0"/>
        <v>4.2327272727272733</v>
      </c>
      <c r="P38" s="27">
        <v>0.33800000000000002</v>
      </c>
      <c r="Q38" s="27">
        <v>0.251</v>
      </c>
      <c r="R38" s="27">
        <v>0.16200000000000001</v>
      </c>
      <c r="S38" s="27">
        <v>0.434</v>
      </c>
    </row>
    <row r="39" spans="11:21">
      <c r="K39" s="63">
        <v>45552</v>
      </c>
      <c r="L39" s="37">
        <v>6</v>
      </c>
      <c r="M39" s="34">
        <v>61</v>
      </c>
      <c r="N39" s="32">
        <v>31520</v>
      </c>
      <c r="O39" s="65">
        <f t="shared" si="0"/>
        <v>5.1672131147540981</v>
      </c>
      <c r="P39" s="27">
        <v>0.41799999999999998</v>
      </c>
      <c r="Q39" s="27">
        <v>0.224</v>
      </c>
      <c r="R39" s="27">
        <v>0.14499999999999999</v>
      </c>
      <c r="S39" s="27">
        <v>0.46700000000000003</v>
      </c>
    </row>
    <row r="40" spans="11:21" ht="15.75" customHeight="1">
      <c r="K40" s="51">
        <v>45553</v>
      </c>
      <c r="L40" s="37">
        <v>6</v>
      </c>
      <c r="M40" s="34">
        <f>75+5</f>
        <v>80</v>
      </c>
      <c r="N40" s="32">
        <v>47080</v>
      </c>
      <c r="O40" s="65">
        <f t="shared" si="0"/>
        <v>5.8849999999999998</v>
      </c>
      <c r="P40" s="27">
        <v>0.42</v>
      </c>
      <c r="Q40" s="27">
        <v>0.25</v>
      </c>
      <c r="R40" s="27">
        <v>0.13800000000000001</v>
      </c>
      <c r="S40" s="27">
        <v>0.26100000000000001</v>
      </c>
      <c r="T40" s="163" t="s">
        <v>101</v>
      </c>
      <c r="U40" s="163"/>
    </row>
    <row r="41" spans="11:21">
      <c r="K41" s="63">
        <v>45554</v>
      </c>
      <c r="L41" s="64">
        <v>3</v>
      </c>
      <c r="M41" s="39">
        <v>81</v>
      </c>
      <c r="N41" s="40">
        <v>34580</v>
      </c>
      <c r="O41" s="65">
        <f t="shared" si="0"/>
        <v>4.2691358024691359</v>
      </c>
      <c r="P41" s="41">
        <v>0.42299999999999999</v>
      </c>
      <c r="Q41" s="41">
        <v>0.22500000000000001</v>
      </c>
      <c r="R41" s="41">
        <v>0.14000000000000001</v>
      </c>
      <c r="S41" s="41">
        <v>0.14000000000000001</v>
      </c>
    </row>
    <row r="42" spans="11:21">
      <c r="K42" s="63">
        <v>45555</v>
      </c>
      <c r="L42" s="64">
        <v>2</v>
      </c>
      <c r="M42" s="39">
        <v>19</v>
      </c>
      <c r="N42" s="40">
        <v>7820</v>
      </c>
      <c r="O42" s="65">
        <f t="shared" si="0"/>
        <v>4.1157894736842104</v>
      </c>
      <c r="P42" s="41">
        <v>0.41599999999999998</v>
      </c>
      <c r="Q42" s="41">
        <v>0.23699999999999999</v>
      </c>
      <c r="R42" s="41">
        <v>0.129</v>
      </c>
      <c r="S42" s="41">
        <v>0.39200000000000002</v>
      </c>
    </row>
    <row r="43" spans="11:21">
      <c r="K43" s="63">
        <v>45556</v>
      </c>
      <c r="L43" s="64">
        <v>1</v>
      </c>
      <c r="M43" s="39">
        <v>24</v>
      </c>
      <c r="N43" s="40">
        <v>4140</v>
      </c>
      <c r="O43" s="65">
        <f t="shared" si="0"/>
        <v>1.7249999999999999</v>
      </c>
      <c r="P43" s="41">
        <v>0.42199999999999999</v>
      </c>
      <c r="Q43" s="41">
        <v>0.22500000000000001</v>
      </c>
      <c r="R43" s="41">
        <v>0.13200000000000001</v>
      </c>
      <c r="S43" s="41">
        <v>0.38200000000000001</v>
      </c>
    </row>
    <row r="44" spans="11:21">
      <c r="K44" s="51">
        <v>45557</v>
      </c>
      <c r="L44" s="37"/>
      <c r="M44" s="34"/>
      <c r="N44" s="32"/>
      <c r="O44" s="65"/>
      <c r="P44" s="27"/>
      <c r="Q44" s="27"/>
      <c r="R44" s="27"/>
      <c r="S44" s="27"/>
    </row>
    <row r="45" spans="11:21">
      <c r="K45" s="51">
        <v>45558</v>
      </c>
      <c r="L45" s="37">
        <v>2</v>
      </c>
      <c r="M45" s="34">
        <v>23</v>
      </c>
      <c r="N45" s="32">
        <v>1340</v>
      </c>
      <c r="O45" s="65">
        <f t="shared" si="0"/>
        <v>0.58260869565217388</v>
      </c>
      <c r="P45" s="27">
        <v>0.42199999999999999</v>
      </c>
      <c r="Q45" s="27">
        <v>0.22500000000000001</v>
      </c>
      <c r="R45" s="27">
        <v>0.13800000000000001</v>
      </c>
      <c r="S45" s="27">
        <v>0.35599999999999998</v>
      </c>
    </row>
    <row r="46" spans="11:21">
      <c r="K46" s="51">
        <v>45559</v>
      </c>
      <c r="L46" s="37">
        <v>1</v>
      </c>
      <c r="M46" s="34">
        <v>41</v>
      </c>
      <c r="N46" s="32">
        <v>8280</v>
      </c>
      <c r="O46" s="65">
        <f t="shared" si="0"/>
        <v>2.0195121951219512</v>
      </c>
      <c r="P46" s="27">
        <v>0.41599999999999998</v>
      </c>
      <c r="Q46" s="27">
        <v>0.22500000000000001</v>
      </c>
      <c r="R46" s="27">
        <v>0.13600000000000001</v>
      </c>
      <c r="S46" s="27">
        <v>0.46200000000000002</v>
      </c>
    </row>
    <row r="47" spans="11:21">
      <c r="K47" s="51">
        <v>45560</v>
      </c>
      <c r="L47" s="37">
        <v>3</v>
      </c>
      <c r="M47" s="34">
        <v>45</v>
      </c>
      <c r="N47" s="32">
        <v>5840</v>
      </c>
      <c r="O47" s="65">
        <f t="shared" si="0"/>
        <v>1.2977777777777777</v>
      </c>
      <c r="P47" s="27">
        <v>0.42599999999999999</v>
      </c>
      <c r="Q47" s="27">
        <v>0.22500000000000001</v>
      </c>
      <c r="R47" s="27">
        <v>0.13900000000000001</v>
      </c>
      <c r="S47" s="27">
        <v>0.24199999999999999</v>
      </c>
    </row>
    <row r="48" spans="11:21">
      <c r="K48" s="51">
        <v>45561</v>
      </c>
      <c r="L48" s="37">
        <v>2</v>
      </c>
      <c r="M48" s="34">
        <v>22</v>
      </c>
      <c r="N48" s="32">
        <v>8300</v>
      </c>
      <c r="O48" s="65">
        <f t="shared" si="0"/>
        <v>3.7727272727272729</v>
      </c>
      <c r="P48" s="27">
        <v>0.40500000000000003</v>
      </c>
      <c r="Q48" s="27">
        <v>0.22500000000000001</v>
      </c>
      <c r="R48" s="27">
        <v>0.13400000000000001</v>
      </c>
      <c r="S48" s="27">
        <v>0.42399999999999999</v>
      </c>
    </row>
    <row r="49" spans="11:19">
      <c r="K49" s="51">
        <v>45562</v>
      </c>
      <c r="L49" s="37">
        <v>2</v>
      </c>
      <c r="M49" s="34">
        <v>40</v>
      </c>
      <c r="N49" s="32">
        <v>14320</v>
      </c>
      <c r="O49" s="65">
        <f t="shared" si="0"/>
        <v>3.5799999999999996</v>
      </c>
      <c r="P49" s="27">
        <v>0.4</v>
      </c>
      <c r="Q49" s="27">
        <v>0.22500000000000001</v>
      </c>
      <c r="R49" s="27">
        <v>0.14799999999999999</v>
      </c>
      <c r="S49" s="27">
        <v>0.39800000000000002</v>
      </c>
    </row>
    <row r="50" spans="11:19">
      <c r="K50" s="51">
        <v>45563</v>
      </c>
      <c r="L50" s="37">
        <v>1</v>
      </c>
      <c r="M50" s="34">
        <v>69</v>
      </c>
      <c r="N50" s="32">
        <v>8240</v>
      </c>
      <c r="O50" s="65">
        <f t="shared" si="0"/>
        <v>1.1942028985507247</v>
      </c>
      <c r="P50" s="27">
        <v>0.41799999999999998</v>
      </c>
      <c r="Q50" s="27">
        <v>0.22500000000000001</v>
      </c>
      <c r="R50" s="27">
        <v>0.14399999999999999</v>
      </c>
      <c r="S50" s="27">
        <v>0.44400000000000001</v>
      </c>
    </row>
    <row r="51" spans="11:19">
      <c r="K51" s="51">
        <v>45564</v>
      </c>
      <c r="L51" s="37">
        <v>1</v>
      </c>
      <c r="M51" s="34">
        <v>5</v>
      </c>
      <c r="N51" s="32">
        <v>2080</v>
      </c>
      <c r="O51" s="65">
        <f t="shared" si="0"/>
        <v>4.16</v>
      </c>
      <c r="P51" s="27">
        <v>0.40400000000000003</v>
      </c>
      <c r="Q51" s="27">
        <v>0.22500000000000001</v>
      </c>
      <c r="R51" s="27">
        <v>0.14799999999999999</v>
      </c>
      <c r="S51" s="27">
        <v>0.30199999999999999</v>
      </c>
    </row>
    <row r="52" spans="11:19">
      <c r="K52" s="28" t="s">
        <v>40</v>
      </c>
      <c r="L52" s="28">
        <f>SUM(L6:L51)</f>
        <v>46</v>
      </c>
      <c r="M52" s="35">
        <f>SUM(M6:M51)</f>
        <v>879</v>
      </c>
      <c r="N52" s="33">
        <f>SUM(N6:N51)</f>
        <v>334960</v>
      </c>
      <c r="O52" s="58">
        <f>N52/100/M52</f>
        <v>3.8106939704209326</v>
      </c>
      <c r="P52" s="29">
        <f>AVERAGE(P6:P51)</f>
        <v>0.39170588235294129</v>
      </c>
      <c r="Q52" s="29">
        <f t="shared" ref="Q52:S52" si="1">AVERAGE(Q6:Q51)</f>
        <v>0.23417647058823535</v>
      </c>
      <c r="R52" s="29">
        <f t="shared" si="1"/>
        <v>0.14711764705882358</v>
      </c>
      <c r="S52" s="29">
        <f t="shared" si="1"/>
        <v>0.35305555555555551</v>
      </c>
    </row>
    <row r="53" spans="11:19">
      <c r="L53" s="4"/>
    </row>
    <row r="55" spans="11:19">
      <c r="M55" s="42"/>
      <c r="N55" s="42"/>
    </row>
  </sheetData>
  <mergeCells count="3">
    <mergeCell ref="E25:F25"/>
    <mergeCell ref="B2:S3"/>
    <mergeCell ref="T40:U40"/>
  </mergeCells>
  <phoneticPr fontId="8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61033-F4D4-4432-8B4A-1DBFAEA8E650}">
  <sheetPr codeName="Лист9"/>
  <dimension ref="A2:F120"/>
  <sheetViews>
    <sheetView topLeftCell="A19" zoomScale="90" zoomScaleNormal="90" workbookViewId="0">
      <selection activeCell="B129" sqref="B129"/>
    </sheetView>
  </sheetViews>
  <sheetFormatPr defaultRowHeight="15"/>
  <cols>
    <col min="1" max="1" width="23.5703125" customWidth="1"/>
    <col min="2" max="2" width="15.28515625" customWidth="1"/>
    <col min="3" max="3" width="11.85546875" customWidth="1"/>
  </cols>
  <sheetData>
    <row r="2" spans="2:2">
      <c r="B2" t="s">
        <v>44</v>
      </c>
    </row>
    <row r="59" spans="1:3">
      <c r="A59" t="s">
        <v>55</v>
      </c>
      <c r="B59" t="s">
        <v>41</v>
      </c>
      <c r="C59" t="s">
        <v>56</v>
      </c>
    </row>
    <row r="60" spans="1:3">
      <c r="A60" t="s">
        <v>46</v>
      </c>
      <c r="B60" s="43">
        <v>77.299877600979187</v>
      </c>
      <c r="C60">
        <v>1</v>
      </c>
    </row>
    <row r="61" spans="1:3">
      <c r="A61" t="s">
        <v>54</v>
      </c>
      <c r="B61" s="43">
        <v>75.905732484076424</v>
      </c>
      <c r="C61">
        <v>2</v>
      </c>
    </row>
    <row r="62" spans="1:3">
      <c r="A62" t="s">
        <v>51</v>
      </c>
      <c r="B62" s="43">
        <v>74.884198295894649</v>
      </c>
      <c r="C62">
        <v>3</v>
      </c>
    </row>
    <row r="63" spans="1:3">
      <c r="A63" t="s">
        <v>45</v>
      </c>
      <c r="B63" s="43">
        <v>73.575978161965423</v>
      </c>
      <c r="C63">
        <v>4</v>
      </c>
    </row>
    <row r="64" spans="1:3">
      <c r="A64" t="s">
        <v>48</v>
      </c>
      <c r="B64" s="43">
        <v>68.622832263301603</v>
      </c>
      <c r="C64">
        <v>5</v>
      </c>
    </row>
    <row r="65" spans="1:3">
      <c r="A65" t="s">
        <v>53</v>
      </c>
      <c r="B65" s="43">
        <v>66.644486692015207</v>
      </c>
      <c r="C65">
        <v>6</v>
      </c>
    </row>
    <row r="66" spans="1:3">
      <c r="A66" t="s">
        <v>49</v>
      </c>
      <c r="B66" s="43">
        <v>65.747882268485284</v>
      </c>
      <c r="C66">
        <v>7</v>
      </c>
    </row>
    <row r="67" spans="1:3">
      <c r="A67" t="s">
        <v>50</v>
      </c>
      <c r="B67" s="43">
        <v>64.591950034698129</v>
      </c>
      <c r="C67">
        <v>8</v>
      </c>
    </row>
    <row r="68" spans="1:3">
      <c r="A68" t="s">
        <v>47</v>
      </c>
      <c r="B68" s="43">
        <v>61.999466097170313</v>
      </c>
      <c r="C68">
        <v>9</v>
      </c>
    </row>
    <row r="69" spans="1:3">
      <c r="A69" t="s">
        <v>52</v>
      </c>
      <c r="B69" s="43">
        <v>60.242165242165242</v>
      </c>
      <c r="C69">
        <v>10</v>
      </c>
    </row>
    <row r="106" spans="1:6">
      <c r="A106" s="66"/>
      <c r="B106" s="67"/>
      <c r="C106" s="66"/>
      <c r="D106" s="67"/>
      <c r="E106" s="67"/>
      <c r="F106" s="68"/>
    </row>
    <row r="107" spans="1:6">
      <c r="A107" s="66" t="s">
        <v>86</v>
      </c>
      <c r="B107" s="67" t="s">
        <v>87</v>
      </c>
      <c r="C107" s="66" t="s">
        <v>88</v>
      </c>
      <c r="D107" s="67" t="s">
        <v>89</v>
      </c>
      <c r="E107" s="67" t="s">
        <v>90</v>
      </c>
      <c r="F107" s="68" t="s">
        <v>91</v>
      </c>
    </row>
    <row r="108" spans="1:6">
      <c r="A108" s="66" t="s">
        <v>46</v>
      </c>
      <c r="B108" s="67">
        <v>1144</v>
      </c>
      <c r="C108" s="66">
        <v>1144</v>
      </c>
      <c r="D108" s="67">
        <v>100</v>
      </c>
      <c r="E108" s="67">
        <v>3387.4</v>
      </c>
      <c r="F108" s="68">
        <v>29.61013986013986</v>
      </c>
    </row>
    <row r="109" spans="1:6">
      <c r="A109" s="66" t="s">
        <v>53</v>
      </c>
      <c r="B109" s="67">
        <v>693</v>
      </c>
      <c r="C109" s="66">
        <v>693</v>
      </c>
      <c r="D109" s="67">
        <v>100</v>
      </c>
      <c r="E109" s="67">
        <v>1809.86</v>
      </c>
      <c r="F109" s="68">
        <v>26.116305916305915</v>
      </c>
    </row>
    <row r="110" spans="1:6">
      <c r="A110" s="66" t="s">
        <v>51</v>
      </c>
      <c r="B110" s="67">
        <v>163</v>
      </c>
      <c r="C110" s="66">
        <v>163</v>
      </c>
      <c r="D110" s="67">
        <v>100</v>
      </c>
      <c r="E110" s="67">
        <v>374.82</v>
      </c>
      <c r="F110" s="68">
        <v>22.995092024539879</v>
      </c>
    </row>
    <row r="111" spans="1:6">
      <c r="A111" s="66" t="s">
        <v>92</v>
      </c>
      <c r="B111" s="67">
        <v>974</v>
      </c>
      <c r="C111" s="66">
        <v>974</v>
      </c>
      <c r="D111" s="67">
        <v>100</v>
      </c>
      <c r="E111" s="67">
        <v>2165</v>
      </c>
      <c r="F111" s="68">
        <v>22.227926078028748</v>
      </c>
    </row>
    <row r="112" spans="1:6">
      <c r="A112" s="66" t="s">
        <v>52</v>
      </c>
      <c r="B112" s="67">
        <v>501</v>
      </c>
      <c r="C112" s="66">
        <v>501</v>
      </c>
      <c r="D112" s="67">
        <v>100</v>
      </c>
      <c r="E112" s="67">
        <v>945.6</v>
      </c>
      <c r="F112" s="68">
        <v>18.874251497005989</v>
      </c>
    </row>
    <row r="113" spans="1:6">
      <c r="A113" s="66" t="s">
        <v>93</v>
      </c>
      <c r="B113" s="67">
        <v>918</v>
      </c>
      <c r="C113" s="66">
        <v>918</v>
      </c>
      <c r="D113" s="67">
        <v>100</v>
      </c>
      <c r="E113" s="67">
        <v>1692</v>
      </c>
      <c r="F113" s="68">
        <v>18.431372549019606</v>
      </c>
    </row>
    <row r="114" spans="1:6">
      <c r="A114" s="66" t="s">
        <v>49</v>
      </c>
      <c r="B114" s="67">
        <v>1142.5999999999999</v>
      </c>
      <c r="C114" s="66">
        <v>1142.5999999999999</v>
      </c>
      <c r="D114" s="67">
        <v>100</v>
      </c>
      <c r="E114" s="67">
        <v>1960.08</v>
      </c>
      <c r="F114" s="68">
        <v>17.15455977594959</v>
      </c>
    </row>
    <row r="115" spans="1:6">
      <c r="A115" s="66" t="s">
        <v>50</v>
      </c>
      <c r="B115" s="67">
        <v>1063</v>
      </c>
      <c r="C115" s="66">
        <v>1063</v>
      </c>
      <c r="D115" s="67">
        <v>100</v>
      </c>
      <c r="E115" s="67">
        <v>1772.96</v>
      </c>
      <c r="F115" s="68">
        <v>16.678833490122294</v>
      </c>
    </row>
    <row r="116" spans="1:6">
      <c r="A116" s="66" t="s">
        <v>94</v>
      </c>
      <c r="B116" s="67">
        <v>1463</v>
      </c>
      <c r="C116" s="66">
        <v>1291</v>
      </c>
      <c r="D116" s="67">
        <v>88.243335611756663</v>
      </c>
      <c r="E116" s="67">
        <v>2102</v>
      </c>
      <c r="F116" s="68">
        <v>16.281951975213012</v>
      </c>
    </row>
    <row r="117" spans="1:6">
      <c r="A117" s="66" t="s">
        <v>48</v>
      </c>
      <c r="B117" s="67">
        <v>483</v>
      </c>
      <c r="C117" s="66">
        <v>463</v>
      </c>
      <c r="D117" s="67">
        <v>95.859213250517598</v>
      </c>
      <c r="E117" s="67">
        <v>525.6</v>
      </c>
      <c r="F117" s="68">
        <v>11.352051835853132</v>
      </c>
    </row>
    <row r="118" spans="1:6">
      <c r="A118" s="66"/>
      <c r="B118" s="67"/>
      <c r="C118" s="67">
        <f>SUM(Таблица26[Столбец3])</f>
        <v>8352.6</v>
      </c>
      <c r="D118" s="67"/>
      <c r="E118" s="67">
        <f>SUM(Таблица26[Столбец5])</f>
        <v>16735.32</v>
      </c>
      <c r="F118" s="68"/>
    </row>
    <row r="119" spans="1:6">
      <c r="A119" s="66"/>
      <c r="B119" s="67"/>
      <c r="C119" s="66"/>
      <c r="D119" s="67"/>
      <c r="E119" s="67"/>
      <c r="F119" s="68"/>
    </row>
    <row r="120" spans="1:6">
      <c r="A120" s="66"/>
      <c r="B120" s="67"/>
      <c r="C120" s="66"/>
      <c r="D120" s="67"/>
      <c r="E120" s="67">
        <f>Таблица26[[#Totals],[Столбец5]]*10/Таблица26[[#Totals],[Столбец3]]</f>
        <v>20.036060627828462</v>
      </c>
      <c r="F120" s="68"/>
    </row>
  </sheetData>
  <sheetProtection algorithmName="SHA-512" hashValue="pXqhSzN5c3rZ+9iQfd9rgyWoHSge7Nqv+yikCLlx7YnPLnClLCiF461ecpsznhbmQD4SRajhgK4o5Q+BKA7SgA==" saltValue="Sl6SteLlX97YFtBFdfCiLg==" spinCount="100000"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124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ИНФО</vt:lpstr>
      <vt:lpstr>Реестр ОП 2025</vt:lpstr>
      <vt:lpstr>Подсолнечник</vt:lpstr>
      <vt:lpstr>Подсолнечник кондитерский</vt:lpstr>
      <vt:lpstr>Поля подсолнечника</vt:lpstr>
      <vt:lpstr>Подсолнечник (гибрид)</vt:lpstr>
      <vt:lpstr>Озимая пшеница</vt:lpstr>
      <vt:lpstr>Кукуруза на зерно</vt:lpstr>
      <vt:lpstr>Поля кукурузы на зерно</vt:lpstr>
      <vt:lpstr>Кукуруза (гибрид)</vt:lpstr>
      <vt:lpstr>Горох на зерно</vt:lpstr>
      <vt:lpstr>Соя</vt:lpstr>
      <vt:lpstr>Статистика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Маркарян Мария Владимировна</dc:creator>
  <dc:description/>
  <cp:lastModifiedBy>Неезжалова Анастасия Викторовна</cp:lastModifiedBy>
  <cp:revision>2</cp:revision>
  <cp:lastPrinted>2023-10-09T08:39:57Z</cp:lastPrinted>
  <dcterms:created xsi:type="dcterms:W3CDTF">2015-06-05T18:19:34Z</dcterms:created>
  <dcterms:modified xsi:type="dcterms:W3CDTF">2026-07-10T07:45:03Z</dcterms:modified>
  <dc:language>ru-RU</dc:language>
</cp:coreProperties>
</file>