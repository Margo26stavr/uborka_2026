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8.png" ContentType="image/png"/>
  <Override PartName="/xl/media/image3.jpeg" ContentType="image/jpeg"/>
  <Override PartName="/xl/media/image5.png" ContentType="image/png"/>
  <Override PartName="/xl/media/image4.png" ContentType="image/png"/>
  <Override PartName="/xl/media/image6.png" ContentType="image/png"/>
  <Override PartName="/xl/media/image7.svg" ContentType="image/svg"/>
  <Override PartName="/xl/media/image14.png" ContentType="image/png"/>
  <Override PartName="/xl/media/image9.svg" ContentType="image/svg"/>
  <Override PartName="/xl/media/image10.png" ContentType="image/png"/>
  <Override PartName="/xl/media/image11.svg" ContentType="image/svg"/>
  <Override PartName="/xl/media/image12.png" ContentType="image/png"/>
  <Override PartName="/xl/media/image13.png" ContentType="image/p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3.vml" ContentType="application/vnd.openxmlformats-officedocument.vmlDrawing"/>
  <Override PartName="/xl/drawings/drawing7.xml" ContentType="application/vnd.openxmlformats-officedocument.drawing+xml"/>
  <Override PartName="/xl/drawings/vmlDrawing4.vml" ContentType="application/vnd.openxmlformats-officedocument.vmlDrawing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ИНФО" sheetId="1" state="visible" r:id="rId3"/>
    <sheet name="Реестр ОП 2025" sheetId="2" state="hidden" r:id="rId4"/>
    <sheet name="Подсолнечник" sheetId="3" state="hidden" r:id="rId5"/>
    <sheet name="Подсолнечник кондитерский" sheetId="4" state="hidden" r:id="rId6"/>
    <sheet name="Поля подсолнечника" sheetId="5" state="hidden" r:id="rId7"/>
    <sheet name="Подсолнечник (гибрид)" sheetId="6" state="hidden" r:id="rId8"/>
    <sheet name="Озимая пшеница" sheetId="7" state="visible" r:id="rId9"/>
    <sheet name="Рапс озимый" sheetId="8" state="visible" r:id="rId10"/>
    <sheet name="Кукуруза на зерно" sheetId="9" state="hidden" r:id="rId11"/>
    <sheet name="Поля кукурузы на зерно" sheetId="10" state="hidden" r:id="rId12"/>
    <sheet name="Кукуруза (гибрид)" sheetId="11" state="hidden" r:id="rId13"/>
    <sheet name="Горох на зерно" sheetId="12" state="visible" r:id="rId14"/>
    <sheet name="Соя" sheetId="13" state="hidden" r:id="rId15"/>
    <sheet name="Статистика" sheetId="14" state="hidden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H15" authorId="0">
      <text>
        <r>
          <rPr>
            <sz val="10"/>
            <rFont val="Arial"/>
            <family val="2"/>
            <charset val="204"/>
          </rPr>
          <t xml:space="preserve">Неезжалова Анастасия Викторовна:
</t>
        </r>
        <r>
          <rPr>
            <sz val="9"/>
            <color rgb="FF000000"/>
            <rFont val="Tahoma"/>
            <family val="2"/>
            <charset val="204"/>
          </rPr>
          <t xml:space="preserve">на 25.07.2025</t>
        </r>
      </text>
    </comment>
    <comment ref="I15" authorId="0">
      <text>
        <r>
          <rPr>
            <sz val="10"/>
            <rFont val="Arial"/>
            <family val="2"/>
            <charset val="204"/>
          </rPr>
          <t xml:space="preserve">на 19.07.2026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I15" authorId="0">
      <text>
        <r>
          <rPr>
            <sz val="10"/>
            <rFont val="Arial"/>
            <family val="2"/>
            <charset val="204"/>
          </rPr>
          <t xml:space="preserve">на 19.07.2026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G15" authorId="0">
      <text>
        <r>
          <rPr>
            <sz val="10"/>
            <rFont val="Arial"/>
            <family val="2"/>
            <charset val="204"/>
          </rPr>
          <t xml:space="preserve">Неезжалова Анастасия Викторовна:
</t>
        </r>
        <r>
          <rPr>
            <sz val="9"/>
            <color rgb="FF000000"/>
            <rFont val="Tahoma"/>
            <family val="2"/>
            <charset val="204"/>
          </rPr>
          <t xml:space="preserve">на 15.09.2024</t>
        </r>
      </text>
    </comment>
    <comment ref="H12" authorId="0">
      <text>
        <r>
          <rPr>
            <sz val="10"/>
            <rFont val="Arial"/>
            <family val="2"/>
            <charset val="204"/>
          </rPr>
          <t xml:space="preserve">Неезжалова Анастасия Викторовна:
</t>
        </r>
      </text>
    </comment>
    <comment ref="H15" authorId="0">
      <text>
        <r>
          <rPr>
            <sz val="10"/>
            <rFont val="Arial"/>
            <family val="2"/>
            <charset val="204"/>
          </rPr>
          <t xml:space="preserve">Неезжалова Анастасия Викторовна:
</t>
        </r>
        <r>
          <rPr>
            <sz val="9"/>
            <color rgb="FF000000"/>
            <rFont val="Tahoma"/>
            <family val="2"/>
            <charset val="204"/>
          </rPr>
          <t xml:space="preserve">на 11.11.2025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D5" authorId="0">
      <text>
        <r>
          <rPr>
            <sz val="10"/>
            <rFont val="Arial"/>
            <family val="2"/>
            <charset val="204"/>
          </rPr>
          <t xml:space="preserve">продукция овощеводства
</t>
        </r>
      </text>
    </comment>
    <comment ref="E5" authorId="0">
      <text>
        <r>
          <rPr>
            <sz val="10"/>
            <rFont val="Arial"/>
            <family val="2"/>
            <charset val="204"/>
          </rPr>
          <t xml:space="preserve">продукция растениеводства</t>
        </r>
      </text>
    </comment>
    <comment ref="F5" authorId="0">
      <text>
        <r>
          <rPr>
            <sz val="10"/>
            <rFont val="Arial"/>
            <family val="2"/>
            <charset val="204"/>
          </rPr>
          <t xml:space="preserve">была уборка в ООО Колос переспелого овощного гороха на площади 82 га
</t>
        </r>
      </text>
    </comment>
    <comment ref="H5" authorId="0">
      <text>
        <r>
          <rPr>
            <sz val="10"/>
            <rFont val="Arial"/>
            <family val="2"/>
            <charset val="204"/>
          </rPr>
          <t xml:space="preserve">без учета уборки гороха овощного на зерно (71 га)
</t>
        </r>
      </text>
    </comment>
    <comment ref="H15" authorId="0">
      <text>
        <r>
          <rPr>
            <sz val="10"/>
            <rFont val="Arial"/>
            <family val="2"/>
            <charset val="204"/>
          </rPr>
          <t xml:space="preserve">Неезжалова Анастасия Викторовна:
</t>
        </r>
        <r>
          <rPr>
            <sz val="9"/>
            <color rgb="FF000000"/>
            <rFont val="Tahoma"/>
            <family val="2"/>
            <charset val="204"/>
          </rPr>
          <t xml:space="preserve">на 16.07.2025</t>
        </r>
      </text>
    </comment>
  </commentList>
</comments>
</file>

<file path=xl/sharedStrings.xml><?xml version="1.0" encoding="utf-8"?>
<sst xmlns="http://schemas.openxmlformats.org/spreadsheetml/2006/main" count="1589" uniqueCount="491">
  <si>
    <t xml:space="preserve">ОБЩАЯ ИНФОРМАЦИЯ ПО УБОРКЕ ЗЕРНОВЫХ КУЛЬТУР СЕЗОН 2026 г.</t>
  </si>
  <si>
    <t xml:space="preserve">№ п/п</t>
  </si>
  <si>
    <t xml:space="preserve">Период</t>
  </si>
  <si>
    <t xml:space="preserve">Столбец1</t>
  </si>
  <si>
    <t xml:space="preserve">Столбец2</t>
  </si>
  <si>
    <t xml:space="preserve">Номер документа</t>
  </si>
  <si>
    <t xml:space="preserve">Водитель</t>
  </si>
  <si>
    <t xml:space="preserve">№ машины</t>
  </si>
  <si>
    <t xml:space="preserve">№ прицепа</t>
  </si>
  <si>
    <t xml:space="preserve">Груз</t>
  </si>
  <si>
    <t xml:space="preserve">Столбец3</t>
  </si>
  <si>
    <t xml:space="preserve">Номера полей</t>
  </si>
  <si>
    <t xml:space="preserve">Пункт назначения</t>
  </si>
  <si>
    <t xml:space="preserve">Пункт отправления</t>
  </si>
  <si>
    <t xml:space="preserve">Брутто</t>
  </si>
  <si>
    <t xml:space="preserve">Тара</t>
  </si>
  <si>
    <t xml:space="preserve">Нетто</t>
  </si>
  <si>
    <t xml:space="preserve">Дата отчета</t>
  </si>
  <si>
    <t xml:space="preserve">24.06.2025 15:31:17</t>
  </si>
  <si>
    <t xml:space="preserve">00000000072</t>
  </si>
  <si>
    <t xml:space="preserve">Сайко Владимир Николаевич</t>
  </si>
  <si>
    <t xml:space="preserve">Т919РВ 193</t>
  </si>
  <si>
    <t xml:space="preserve"> </t>
  </si>
  <si>
    <t xml:space="preserve">Пшеница озимая</t>
  </si>
  <si>
    <t xml:space="preserve">Грин Рэй Кубань ООО</t>
  </si>
  <si>
    <t xml:space="preserve">25.06.2025 15:46:44</t>
  </si>
  <si>
    <t xml:space="preserve">00000000073</t>
  </si>
  <si>
    <t xml:space="preserve">26.06.2025 13:44:30</t>
  </si>
  <si>
    <t xml:space="preserve">00000000079</t>
  </si>
  <si>
    <t xml:space="preserve">Сайко В.В.</t>
  </si>
  <si>
    <t xml:space="preserve">А816ЕВ 123</t>
  </si>
  <si>
    <t xml:space="preserve">ЕС2898 23</t>
  </si>
  <si>
    <t xml:space="preserve">26.06.2025 13:46:07</t>
  </si>
  <si>
    <t xml:space="preserve">00000000078</t>
  </si>
  <si>
    <t xml:space="preserve">26.06.2025 13:49:28</t>
  </si>
  <si>
    <t xml:space="preserve">00000000076</t>
  </si>
  <si>
    <t xml:space="preserve">Роговской Р.А.</t>
  </si>
  <si>
    <t xml:space="preserve">Т945РВ 193</t>
  </si>
  <si>
    <t xml:space="preserve">26.06.2025 14:21:32</t>
  </si>
  <si>
    <t xml:space="preserve">00000000081</t>
  </si>
  <si>
    <t xml:space="preserve">26.06.2025 14:38:21</t>
  </si>
  <si>
    <t xml:space="preserve">00000000082</t>
  </si>
  <si>
    <t xml:space="preserve">26.06.2025 14:40:58</t>
  </si>
  <si>
    <t xml:space="preserve">00000000080</t>
  </si>
  <si>
    <t xml:space="preserve">Чигрин Н А</t>
  </si>
  <si>
    <t xml:space="preserve">А819ЕВ 123</t>
  </si>
  <si>
    <t xml:space="preserve">ЕС2899 23</t>
  </si>
  <si>
    <t xml:space="preserve">26.06.2025 14:55:48</t>
  </si>
  <si>
    <t xml:space="preserve">00000000083</t>
  </si>
  <si>
    <t xml:space="preserve">Магадиев Александр Сайлаувич</t>
  </si>
  <si>
    <t xml:space="preserve">У184НО 193</t>
  </si>
  <si>
    <t xml:space="preserve">МН7302 23</t>
  </si>
  <si>
    <t xml:space="preserve">26.06.2025 15:40:36</t>
  </si>
  <si>
    <t xml:space="preserve">00000000084</t>
  </si>
  <si>
    <t xml:space="preserve">Ревенко А.В.</t>
  </si>
  <si>
    <t xml:space="preserve">А781РР 123</t>
  </si>
  <si>
    <t xml:space="preserve">ЕХ4187 23</t>
  </si>
  <si>
    <t xml:space="preserve">26.06.2025 15:41:27</t>
  </si>
  <si>
    <t xml:space="preserve">00000000085</t>
  </si>
  <si>
    <t xml:space="preserve">26.06.2025 17:36:39</t>
  </si>
  <si>
    <t xml:space="preserve">00000000106</t>
  </si>
  <si>
    <t xml:space="preserve">26.06.2025 17:45:43</t>
  </si>
  <si>
    <t xml:space="preserve">00000000107</t>
  </si>
  <si>
    <t xml:space="preserve">26.06.2025 18:23:07</t>
  </si>
  <si>
    <t xml:space="preserve">00000000109</t>
  </si>
  <si>
    <t xml:space="preserve">26.06.2025 18:42:02</t>
  </si>
  <si>
    <t xml:space="preserve">00000000108</t>
  </si>
  <si>
    <t xml:space="preserve">26.06.2025 18:48:52</t>
  </si>
  <si>
    <t xml:space="preserve">00000000116</t>
  </si>
  <si>
    <t xml:space="preserve">26.06.2025 18:50:07</t>
  </si>
  <si>
    <t xml:space="preserve">00000000111</t>
  </si>
  <si>
    <t xml:space="preserve">Сероштан Станислав Викторович</t>
  </si>
  <si>
    <t xml:space="preserve">Е758РЕ 123</t>
  </si>
  <si>
    <t xml:space="preserve">ЕХ4191 23</t>
  </si>
  <si>
    <t xml:space="preserve">26.06.2025 18:53:49</t>
  </si>
  <si>
    <t xml:space="preserve">00000000118</t>
  </si>
  <si>
    <t xml:space="preserve">26.06.2025 19:00:03</t>
  </si>
  <si>
    <t xml:space="preserve">00000000113</t>
  </si>
  <si>
    <t xml:space="preserve">26.06.2025 19:17:14</t>
  </si>
  <si>
    <t xml:space="preserve">00000000122</t>
  </si>
  <si>
    <t xml:space="preserve">26.06.2025 19:44:19</t>
  </si>
  <si>
    <t xml:space="preserve">00000000128</t>
  </si>
  <si>
    <t xml:space="preserve">26.06.2025 20:02:30</t>
  </si>
  <si>
    <t xml:space="preserve">00000000133</t>
  </si>
  <si>
    <t xml:space="preserve">26.06.2025 20:15:57</t>
  </si>
  <si>
    <t xml:space="preserve">00000000136</t>
  </si>
  <si>
    <t xml:space="preserve">26.06.2025 20:39:39</t>
  </si>
  <si>
    <t xml:space="preserve">00000000123</t>
  </si>
  <si>
    <t xml:space="preserve">26.06.2025 20:58:14</t>
  </si>
  <si>
    <t xml:space="preserve">00000000146</t>
  </si>
  <si>
    <t xml:space="preserve">26.06.2025 21:11:45</t>
  </si>
  <si>
    <t xml:space="preserve">00000000147</t>
  </si>
  <si>
    <t xml:space="preserve">26.06.2025 21:34:00</t>
  </si>
  <si>
    <t xml:space="preserve">00000000152</t>
  </si>
  <si>
    <t xml:space="preserve">26.06.2025 21:39:00</t>
  </si>
  <si>
    <t xml:space="preserve">00000000142</t>
  </si>
  <si>
    <t xml:space="preserve">26.06.2025 22:11:03</t>
  </si>
  <si>
    <t xml:space="preserve">00000000158</t>
  </si>
  <si>
    <t xml:space="preserve">26.06.2025 22:12:55</t>
  </si>
  <si>
    <t xml:space="preserve">00000000163</t>
  </si>
  <si>
    <t xml:space="preserve">26.06.2025 22:23:39</t>
  </si>
  <si>
    <t xml:space="preserve">00000000164</t>
  </si>
  <si>
    <t xml:space="preserve">26.06.2025 22:31:23</t>
  </si>
  <si>
    <t xml:space="preserve">00000000156</t>
  </si>
  <si>
    <t xml:space="preserve">26.06.2025 22:38:25</t>
  </si>
  <si>
    <t xml:space="preserve">00000000140</t>
  </si>
  <si>
    <t xml:space="preserve">27.06.2025 10:15:33</t>
  </si>
  <si>
    <t xml:space="preserve">00000000167</t>
  </si>
  <si>
    <t xml:space="preserve">Извеков Владимир Владимирович</t>
  </si>
  <si>
    <t xml:space="preserve">Н378ХЕ 93</t>
  </si>
  <si>
    <t xml:space="preserve">ЕР7829 23</t>
  </si>
  <si>
    <t xml:space="preserve">А-20</t>
  </si>
  <si>
    <t xml:space="preserve">27.06.2025 10:35:05</t>
  </si>
  <si>
    <t xml:space="preserve">00000000170</t>
  </si>
  <si>
    <t xml:space="preserve">Емец  Р.А.</t>
  </si>
  <si>
    <t xml:space="preserve">У315НХ 123</t>
  </si>
  <si>
    <t xml:space="preserve">ЕУ4649 23</t>
  </si>
  <si>
    <t xml:space="preserve">27.06.2025 10:38:25</t>
  </si>
  <si>
    <t xml:space="preserve">00000000171</t>
  </si>
  <si>
    <t xml:space="preserve">27.06.2025 11:02:03</t>
  </si>
  <si>
    <t xml:space="preserve">00000000176</t>
  </si>
  <si>
    <t xml:space="preserve">27.06.2025 11:06:11</t>
  </si>
  <si>
    <t xml:space="preserve">00000000172</t>
  </si>
  <si>
    <t xml:space="preserve">27.06.2025 11:15:58</t>
  </si>
  <si>
    <t xml:space="preserve">00000000177</t>
  </si>
  <si>
    <t xml:space="preserve">27.06.2025 11:20:49</t>
  </si>
  <si>
    <t xml:space="preserve">00000000180</t>
  </si>
  <si>
    <t xml:space="preserve">27.06.2025 11:26:51</t>
  </si>
  <si>
    <t xml:space="preserve">00000000182</t>
  </si>
  <si>
    <t xml:space="preserve">27.06.2025 11:48:49</t>
  </si>
  <si>
    <t xml:space="preserve">00000000186</t>
  </si>
  <si>
    <t xml:space="preserve">27.06.2025 11:55:55</t>
  </si>
  <si>
    <t xml:space="preserve">00000000188</t>
  </si>
  <si>
    <t xml:space="preserve">27.06.2025 12:22:53</t>
  </si>
  <si>
    <t xml:space="preserve">00000000193</t>
  </si>
  <si>
    <t xml:space="preserve">27.06.2025 12:32:02</t>
  </si>
  <si>
    <t xml:space="preserve">00000000194</t>
  </si>
  <si>
    <t xml:space="preserve">27.06.2025 12:36:45</t>
  </si>
  <si>
    <t xml:space="preserve">00000000195</t>
  </si>
  <si>
    <t xml:space="preserve">27.06.2025 12:38:02</t>
  </si>
  <si>
    <t xml:space="preserve">00000000196</t>
  </si>
  <si>
    <t xml:space="preserve">27.06.2025 12:56:11</t>
  </si>
  <si>
    <t xml:space="preserve">00000000197</t>
  </si>
  <si>
    <t xml:space="preserve">27.06.2025 13:23:48</t>
  </si>
  <si>
    <t xml:space="preserve">00000000198</t>
  </si>
  <si>
    <t xml:space="preserve">27.06.2025 13:34:50</t>
  </si>
  <si>
    <t xml:space="preserve">00000000199</t>
  </si>
  <si>
    <t xml:space="preserve">А-87</t>
  </si>
  <si>
    <t xml:space="preserve">27.06.2025 13:42:26</t>
  </si>
  <si>
    <t xml:space="preserve">00000000201</t>
  </si>
  <si>
    <t xml:space="preserve">27.06.2025 13:47:24</t>
  </si>
  <si>
    <t xml:space="preserve">00000000202</t>
  </si>
  <si>
    <t xml:space="preserve">27.06.2025 13:57:14</t>
  </si>
  <si>
    <t xml:space="preserve">00000000203</t>
  </si>
  <si>
    <t xml:space="preserve">27.06.2025 14:09:35</t>
  </si>
  <si>
    <t xml:space="preserve">00000000204</t>
  </si>
  <si>
    <t xml:space="preserve">27.06.2025 14:13:37</t>
  </si>
  <si>
    <t xml:space="preserve">00000000205</t>
  </si>
  <si>
    <t xml:space="preserve">Фомин Н.Г.</t>
  </si>
  <si>
    <t xml:space="preserve">А731ВА 123</t>
  </si>
  <si>
    <t xml:space="preserve">МО8130 23</t>
  </si>
  <si>
    <t xml:space="preserve">27.06.2025 14:25:54</t>
  </si>
  <si>
    <t xml:space="preserve">00000000206</t>
  </si>
  <si>
    <t xml:space="preserve">27.06.2025 14:28:16</t>
  </si>
  <si>
    <t xml:space="preserve">00000000207</t>
  </si>
  <si>
    <t xml:space="preserve">27.06.2025 14:46:50</t>
  </si>
  <si>
    <t xml:space="preserve">00000000208</t>
  </si>
  <si>
    <t xml:space="preserve">27.06.2025 14:57:05</t>
  </si>
  <si>
    <t xml:space="preserve">00000000209</t>
  </si>
  <si>
    <t xml:space="preserve">27.06.2025 15:06:29</t>
  </si>
  <si>
    <t xml:space="preserve">00000000210</t>
  </si>
  <si>
    <t xml:space="preserve">27.06.2025 15:11:27</t>
  </si>
  <si>
    <t xml:space="preserve">00000000211</t>
  </si>
  <si>
    <t xml:space="preserve">27.06.2025 15:13:14</t>
  </si>
  <si>
    <t xml:space="preserve">00000000212</t>
  </si>
  <si>
    <t xml:space="preserve">27.06.2025 15:54:28</t>
  </si>
  <si>
    <t xml:space="preserve">00000000213</t>
  </si>
  <si>
    <t xml:space="preserve">27.06.2025 16:15:44</t>
  </si>
  <si>
    <t xml:space="preserve">00000000214</t>
  </si>
  <si>
    <t xml:space="preserve">А-17</t>
  </si>
  <si>
    <t xml:space="preserve">27.06.2025 16:30:55</t>
  </si>
  <si>
    <t xml:space="preserve">00000000215</t>
  </si>
  <si>
    <t xml:space="preserve">27.06.2025 16:39:05</t>
  </si>
  <si>
    <t xml:space="preserve">00000000216</t>
  </si>
  <si>
    <t xml:space="preserve">27.06.2025 16:41:00</t>
  </si>
  <si>
    <t xml:space="preserve">00000000217</t>
  </si>
  <si>
    <t xml:space="preserve">27.06.2025 16:55:47</t>
  </si>
  <si>
    <t xml:space="preserve">00000000218</t>
  </si>
  <si>
    <t xml:space="preserve">27.06.2025 17:05:17</t>
  </si>
  <si>
    <t xml:space="preserve">00000000219</t>
  </si>
  <si>
    <t xml:space="preserve">27.06.2025 17:13:19</t>
  </si>
  <si>
    <t xml:space="preserve">00000000220</t>
  </si>
  <si>
    <t xml:space="preserve">27.06.2025 17:44:18</t>
  </si>
  <si>
    <t xml:space="preserve">00000000221</t>
  </si>
  <si>
    <t xml:space="preserve">27.06.2025 18:01:01</t>
  </si>
  <si>
    <t xml:space="preserve">00000000222</t>
  </si>
  <si>
    <t xml:space="preserve">27.06.2025 18:35:46</t>
  </si>
  <si>
    <t xml:space="preserve">00000000224</t>
  </si>
  <si>
    <t xml:space="preserve">27.06.2025 18:37:40</t>
  </si>
  <si>
    <t xml:space="preserve">00000000223</t>
  </si>
  <si>
    <t xml:space="preserve">27.06.2025 19:23:47</t>
  </si>
  <si>
    <t xml:space="preserve">00000000225</t>
  </si>
  <si>
    <t xml:space="preserve">А-18</t>
  </si>
  <si>
    <t xml:space="preserve">27.06.2025 19:51:07</t>
  </si>
  <si>
    <t xml:space="preserve">00000000227</t>
  </si>
  <si>
    <t xml:space="preserve">27.06.2025 20:07:54</t>
  </si>
  <si>
    <t xml:space="preserve">00000000229</t>
  </si>
  <si>
    <t xml:space="preserve">27.06.2025 20:13:17</t>
  </si>
  <si>
    <t xml:space="preserve">00000000226</t>
  </si>
  <si>
    <t xml:space="preserve">27.06.2025 20:16:02</t>
  </si>
  <si>
    <t xml:space="preserve">00000000228</t>
  </si>
  <si>
    <t xml:space="preserve">27.06.2025 20:21:06</t>
  </si>
  <si>
    <t xml:space="preserve">00000000230</t>
  </si>
  <si>
    <t xml:space="preserve">27.06.2025 21:08:24</t>
  </si>
  <si>
    <t xml:space="preserve">00000000231</t>
  </si>
  <si>
    <t xml:space="preserve">27.06.2025 21:38:12</t>
  </si>
  <si>
    <t xml:space="preserve">00000000232</t>
  </si>
  <si>
    <t xml:space="preserve">27.06.2025 21:43:40</t>
  </si>
  <si>
    <t xml:space="preserve">00000000233</t>
  </si>
  <si>
    <t xml:space="preserve">27.06.2025 21:52:04</t>
  </si>
  <si>
    <t xml:space="preserve">00000000234</t>
  </si>
  <si>
    <t xml:space="preserve">28.06.2025 10:59:39</t>
  </si>
  <si>
    <t xml:space="preserve">00000000243</t>
  </si>
  <si>
    <t xml:space="preserve">А-15</t>
  </si>
  <si>
    <t xml:space="preserve">28.06.2025 11:07:43</t>
  </si>
  <si>
    <t xml:space="preserve">00000000245</t>
  </si>
  <si>
    <t xml:space="preserve">28.06.2025 11:36:11</t>
  </si>
  <si>
    <t xml:space="preserve">00000000248</t>
  </si>
  <si>
    <t xml:space="preserve">28.06.2025 12:04:50</t>
  </si>
  <si>
    <t xml:space="preserve">00000000254</t>
  </si>
  <si>
    <t xml:space="preserve">28.06.2025 12:06:29</t>
  </si>
  <si>
    <t xml:space="preserve">00000000252</t>
  </si>
  <si>
    <t xml:space="preserve">Титаренко М.С.</t>
  </si>
  <si>
    <t xml:space="preserve">О398ХО 193</t>
  </si>
  <si>
    <t xml:space="preserve">МТ9729 23</t>
  </si>
  <si>
    <t xml:space="preserve">28.06.2025 12:14:21</t>
  </si>
  <si>
    <t xml:space="preserve">00000000255</t>
  </si>
  <si>
    <t xml:space="preserve">28.06.2025 12:16:53</t>
  </si>
  <si>
    <t xml:space="preserve">00000000256</t>
  </si>
  <si>
    <t xml:space="preserve">28.06.2025 12:33:51</t>
  </si>
  <si>
    <t xml:space="preserve">00000000251</t>
  </si>
  <si>
    <t xml:space="preserve">Игольницын С.В.</t>
  </si>
  <si>
    <t xml:space="preserve">В780ТТ 193</t>
  </si>
  <si>
    <t xml:space="preserve">МС8607 23</t>
  </si>
  <si>
    <t xml:space="preserve">28.06.2025 12:42:40</t>
  </si>
  <si>
    <t xml:space="preserve">00000000257</t>
  </si>
  <si>
    <t xml:space="preserve">28.06.2025 12:54:33</t>
  </si>
  <si>
    <t xml:space="preserve">00000000258</t>
  </si>
  <si>
    <t xml:space="preserve">28.06.2025 13:30:32</t>
  </si>
  <si>
    <t xml:space="preserve">00000000259</t>
  </si>
  <si>
    <t xml:space="preserve">Грищенко А.А.</t>
  </si>
  <si>
    <t xml:space="preserve">К416ТН 193</t>
  </si>
  <si>
    <t xml:space="preserve">МС8480 23</t>
  </si>
  <si>
    <t xml:space="preserve">28.06.2025 14:12:38</t>
  </si>
  <si>
    <t xml:space="preserve">00000000265</t>
  </si>
  <si>
    <t xml:space="preserve">А-11</t>
  </si>
  <si>
    <t xml:space="preserve">28.06.2025 14:14:49</t>
  </si>
  <si>
    <t xml:space="preserve">00000000263</t>
  </si>
  <si>
    <t xml:space="preserve">28.06.2025 14:44:32</t>
  </si>
  <si>
    <t xml:space="preserve">00000000269</t>
  </si>
  <si>
    <t xml:space="preserve">А-5</t>
  </si>
  <si>
    <t xml:space="preserve">28.06.2025 14:54:47</t>
  </si>
  <si>
    <t xml:space="preserve">00000000270</t>
  </si>
  <si>
    <t xml:space="preserve">28.06.2025 14:56:24</t>
  </si>
  <si>
    <t xml:space="preserve">00000000271</t>
  </si>
  <si>
    <t xml:space="preserve">28.06.2025 15:01:07</t>
  </si>
  <si>
    <t xml:space="preserve">00000000272</t>
  </si>
  <si>
    <t xml:space="preserve">28.06.2025 15:26:00</t>
  </si>
  <si>
    <t xml:space="preserve">00000000274</t>
  </si>
  <si>
    <t xml:space="preserve">28.06.2025 15:35:33</t>
  </si>
  <si>
    <t xml:space="preserve">00000000275</t>
  </si>
  <si>
    <t xml:space="preserve">28.06.2025 15:40:24</t>
  </si>
  <si>
    <t xml:space="preserve">00000000277</t>
  </si>
  <si>
    <t xml:space="preserve">28.06.2025 16:05:38</t>
  </si>
  <si>
    <t xml:space="preserve">00000000281</t>
  </si>
  <si>
    <t xml:space="preserve">28.06.2025 16:07:07</t>
  </si>
  <si>
    <t xml:space="preserve">00000000283</t>
  </si>
  <si>
    <t xml:space="preserve">28.06.2025 16:59:36</t>
  </si>
  <si>
    <t xml:space="preserve">00000000292</t>
  </si>
  <si>
    <t xml:space="preserve">А- 16</t>
  </si>
  <si>
    <t xml:space="preserve">28.06.2025 17:12:10</t>
  </si>
  <si>
    <t xml:space="preserve">00000000293</t>
  </si>
  <si>
    <t xml:space="preserve">28.06.2025 17:25:51</t>
  </si>
  <si>
    <t xml:space="preserve">00000000297</t>
  </si>
  <si>
    <t xml:space="preserve">28.06.2025 17:31:04</t>
  </si>
  <si>
    <t xml:space="preserve">00000000294</t>
  </si>
  <si>
    <t xml:space="preserve">28.06.2025 17:34:30</t>
  </si>
  <si>
    <t xml:space="preserve">00000000289</t>
  </si>
  <si>
    <t xml:space="preserve">28.06.2025 17:35:58</t>
  </si>
  <si>
    <t xml:space="preserve">00000000298</t>
  </si>
  <si>
    <t xml:space="preserve">28.06.2025 18:13:30</t>
  </si>
  <si>
    <t xml:space="preserve">00000000302</t>
  </si>
  <si>
    <t xml:space="preserve">28.06.2025 18:25:14</t>
  </si>
  <si>
    <t xml:space="preserve">00000000303</t>
  </si>
  <si>
    <t xml:space="preserve">28.06.2025 19:00:44</t>
  </si>
  <si>
    <t xml:space="preserve">00000000307</t>
  </si>
  <si>
    <t xml:space="preserve">28.06.2025 19:07:56</t>
  </si>
  <si>
    <t xml:space="preserve">00000000311</t>
  </si>
  <si>
    <t xml:space="preserve">28.06.2025 19:11:21</t>
  </si>
  <si>
    <t xml:space="preserve">00000000310</t>
  </si>
  <si>
    <t xml:space="preserve">28.06.2025 20:44:59</t>
  </si>
  <si>
    <t xml:space="preserve">00000000314</t>
  </si>
  <si>
    <t xml:space="preserve">А-64</t>
  </si>
  <si>
    <t xml:space="preserve">28.06.2025 20:51:02</t>
  </si>
  <si>
    <t xml:space="preserve">00000000315</t>
  </si>
  <si>
    <t xml:space="preserve">28.06.2025 21:10:46</t>
  </si>
  <si>
    <t xml:space="preserve">00000000316</t>
  </si>
  <si>
    <t xml:space="preserve">28.06.2025 21:20:03</t>
  </si>
  <si>
    <t xml:space="preserve">00000000317</t>
  </si>
  <si>
    <t xml:space="preserve">28.06.2025 21:45:03</t>
  </si>
  <si>
    <t xml:space="preserve">00000000320</t>
  </si>
  <si>
    <t xml:space="preserve">А-62</t>
  </si>
  <si>
    <t xml:space="preserve">28.06.2025 22:10:24</t>
  </si>
  <si>
    <t xml:space="preserve">00000000321</t>
  </si>
  <si>
    <t xml:space="preserve">28.06.2025 22:33:04</t>
  </si>
  <si>
    <t xml:space="preserve">00000000324</t>
  </si>
  <si>
    <t xml:space="preserve">У184НО 19</t>
  </si>
  <si>
    <t xml:space="preserve">28.06.2025 22:35:02</t>
  </si>
  <si>
    <t xml:space="preserve">00000000325</t>
  </si>
  <si>
    <t xml:space="preserve">28.06.2025 22:38:39</t>
  </si>
  <si>
    <t xml:space="preserve">00000000326</t>
  </si>
  <si>
    <t xml:space="preserve">28.06.2025 22:41:27</t>
  </si>
  <si>
    <t xml:space="preserve">00000000323</t>
  </si>
  <si>
    <t xml:space="preserve">30.06.2025 15:37:54</t>
  </si>
  <si>
    <t xml:space="preserve">00000000333</t>
  </si>
  <si>
    <t xml:space="preserve">ПОДСОЛНЕЧНИК 2026 г.</t>
  </si>
  <si>
    <t xml:space="preserve">Показатели</t>
  </si>
  <si>
    <t xml:space="preserve">2020 г.</t>
  </si>
  <si>
    <t xml:space="preserve">2021 г.</t>
  </si>
  <si>
    <t xml:space="preserve">2022 г.</t>
  </si>
  <si>
    <t xml:space="preserve">2023 г.</t>
  </si>
  <si>
    <t xml:space="preserve">2024 г.</t>
  </si>
  <si>
    <t xml:space="preserve">2025 г.</t>
  </si>
  <si>
    <t xml:space="preserve">2026 г.</t>
  </si>
  <si>
    <t xml:space="preserve">Дата</t>
  </si>
  <si>
    <t xml:space="preserve">Кол-во рейсов</t>
  </si>
  <si>
    <t xml:space="preserve">Площадь уборки</t>
  </si>
  <si>
    <t xml:space="preserve">Валовый сбор</t>
  </si>
  <si>
    <t xml:space="preserve">Урожайность</t>
  </si>
  <si>
    <t xml:space="preserve">Масличность</t>
  </si>
  <si>
    <t xml:space="preserve"> Белок</t>
  </si>
  <si>
    <t xml:space="preserve">Влажность</t>
  </si>
  <si>
    <t xml:space="preserve">Сор</t>
  </si>
  <si>
    <t xml:space="preserve">Начало уборки</t>
  </si>
  <si>
    <t xml:space="preserve">Окончание уборки</t>
  </si>
  <si>
    <t xml:space="preserve">Кол-во календарных дней</t>
  </si>
  <si>
    <t xml:space="preserve">Кол-во фактических дней</t>
  </si>
  <si>
    <t xml:space="preserve">Кол-во техники</t>
  </si>
  <si>
    <t xml:space="preserve"> -</t>
  </si>
  <si>
    <t xml:space="preserve">4 ед.</t>
  </si>
  <si>
    <t xml:space="preserve">3 ед.</t>
  </si>
  <si>
    <t xml:space="preserve">2 ед.</t>
  </si>
  <si>
    <t xml:space="preserve">0 ед.</t>
  </si>
  <si>
    <t xml:space="preserve">Площадь сева</t>
  </si>
  <si>
    <t xml:space="preserve">Общий итог</t>
  </si>
  <si>
    <t xml:space="preserve">Урожайность, ц/га</t>
  </si>
  <si>
    <t xml:space="preserve">Средняя урожайность по району</t>
  </si>
  <si>
    <t xml:space="preserve">Место в районе</t>
  </si>
  <si>
    <t xml:space="preserve"> 1 / 8</t>
  </si>
  <si>
    <t xml:space="preserve"> 4 / 9</t>
  </si>
  <si>
    <t xml:space="preserve"> 7 / 10</t>
  </si>
  <si>
    <t xml:space="preserve"> 9 / 10</t>
  </si>
  <si>
    <t xml:space="preserve">  9 / 10</t>
  </si>
  <si>
    <t xml:space="preserve"> 0 / 10</t>
  </si>
  <si>
    <t xml:space="preserve">Показатели 2026 г.</t>
  </si>
  <si>
    <t xml:space="preserve">План</t>
  </si>
  <si>
    <t xml:space="preserve">Факт</t>
  </si>
  <si>
    <t xml:space="preserve">Выполнение по площади</t>
  </si>
  <si>
    <t xml:space="preserve">Выполнение по валу от плана</t>
  </si>
  <si>
    <t xml:space="preserve">ПОДСОЛНЕЧНИК КОНДИТЕРСКИЙ 2026 г.</t>
  </si>
  <si>
    <t xml:space="preserve">1 ед.</t>
  </si>
  <si>
    <t xml:space="preserve">Культура</t>
  </si>
  <si>
    <t xml:space="preserve">Поле</t>
  </si>
  <si>
    <t xml:space="preserve">Сорт семян</t>
  </si>
  <si>
    <t xml:space="preserve">Площадь поля, га</t>
  </si>
  <si>
    <t xml:space="preserve">Дата уборки</t>
  </si>
  <si>
    <t xml:space="preserve">Площадь уборки, га</t>
  </si>
  <si>
    <t xml:space="preserve">Валовый сбор, кг</t>
  </si>
  <si>
    <t xml:space="preserve">Подсолнечник</t>
  </si>
  <si>
    <t xml:space="preserve">А-1/1</t>
  </si>
  <si>
    <t xml:space="preserve">Экселент</t>
  </si>
  <si>
    <t xml:space="preserve">А-25</t>
  </si>
  <si>
    <t xml:space="preserve">Ираклион</t>
  </si>
  <si>
    <t xml:space="preserve">А-27</t>
  </si>
  <si>
    <t xml:space="preserve">А-14/1</t>
  </si>
  <si>
    <t xml:space="preserve">КУБА (партия Фортуна)</t>
  </si>
  <si>
    <t xml:space="preserve">А-13</t>
  </si>
  <si>
    <t xml:space="preserve">КУБА (партия Кекс ТМ)</t>
  </si>
  <si>
    <t xml:space="preserve">Подсолнечник кондитерский</t>
  </si>
  <si>
    <t xml:space="preserve">А-37/3</t>
  </si>
  <si>
    <t xml:space="preserve">СПК-плюс</t>
  </si>
  <si>
    <t xml:space="preserve">А-39/3</t>
  </si>
  <si>
    <t xml:space="preserve">А-6/1</t>
  </si>
  <si>
    <t xml:space="preserve">А-7</t>
  </si>
  <si>
    <t xml:space="preserve">А-104/1</t>
  </si>
  <si>
    <t xml:space="preserve">МАГ213Р, МАГ65А</t>
  </si>
  <si>
    <t xml:space="preserve">А-106/1</t>
  </si>
  <si>
    <t xml:space="preserve">А-87/4</t>
  </si>
  <si>
    <t xml:space="preserve">Показатели 2025 г.</t>
  </si>
  <si>
    <t xml:space="preserve">Выполнение по валу</t>
  </si>
  <si>
    <t xml:space="preserve">ОЗИМАЯ ПШЕНИЦА 2026 г.                                         </t>
  </si>
  <si>
    <t xml:space="preserve">Клейковина </t>
  </si>
  <si>
    <t xml:space="preserve">Натура </t>
  </si>
  <si>
    <t xml:space="preserve">Фузариоз</t>
  </si>
  <si>
    <t xml:space="preserve">мехток</t>
  </si>
  <si>
    <t xml:space="preserve">семток</t>
  </si>
  <si>
    <t xml:space="preserve">6-7</t>
  </si>
  <si>
    <t xml:space="preserve">6-9</t>
  </si>
  <si>
    <t xml:space="preserve"> 8-9</t>
  </si>
  <si>
    <t xml:space="preserve">7-9</t>
  </si>
  <si>
    <t xml:space="preserve">9-14</t>
  </si>
  <si>
    <t xml:space="preserve">11</t>
  </si>
  <si>
    <t xml:space="preserve"> 3 / 10</t>
  </si>
  <si>
    <t xml:space="preserve"> 8 / 10</t>
  </si>
  <si>
    <t xml:space="preserve"> 10 / 10</t>
  </si>
  <si>
    <t xml:space="preserve"> 5 / 10</t>
  </si>
  <si>
    <t xml:space="preserve"> 6 / 10</t>
  </si>
  <si>
    <t xml:space="preserve">ОЗИМЫЙ РАПС (ПОЛИВ) 2026 г.</t>
  </si>
  <si>
    <t xml:space="preserve">Глюкозинолаты</t>
  </si>
  <si>
    <t xml:space="preserve">Эруковая кислота</t>
  </si>
  <si>
    <t xml:space="preserve">в т.ч. 1080кг - перевод в отходы</t>
  </si>
  <si>
    <t xml:space="preserve">7ед.</t>
  </si>
  <si>
    <t xml:space="preserve"> 1  / 3</t>
  </si>
  <si>
    <t xml:space="preserve">КУКУРУЗА НА ЗЕРНО 2026 г.</t>
  </si>
  <si>
    <t xml:space="preserve">богара + полив</t>
  </si>
  <si>
    <t xml:space="preserve">2-3 ед.</t>
  </si>
  <si>
    <t xml:space="preserve">\</t>
  </si>
  <si>
    <t xml:space="preserve"> 11 / 11</t>
  </si>
  <si>
    <t xml:space="preserve"> 1 / 9</t>
  </si>
  <si>
    <t xml:space="preserve"> 8 / 9</t>
  </si>
  <si>
    <t xml:space="preserve"> 6 / 7</t>
  </si>
  <si>
    <t xml:space="preserve"> 4 / 7</t>
  </si>
  <si>
    <t xml:space="preserve">0 / 10</t>
  </si>
  <si>
    <t xml:space="preserve">Примечание</t>
  </si>
  <si>
    <t xml:space="preserve">Кукуруза на зерно</t>
  </si>
  <si>
    <t xml:space="preserve">А-2/1</t>
  </si>
  <si>
    <t xml:space="preserve">Краснодарская 291  (ФС 2823)</t>
  </si>
  <si>
    <t xml:space="preserve">задискован остаток</t>
  </si>
  <si>
    <t xml:space="preserve">СИ ПРЕМЕО</t>
  </si>
  <si>
    <t xml:space="preserve">задисковано</t>
  </si>
  <si>
    <t xml:space="preserve">А-65/1</t>
  </si>
  <si>
    <t xml:space="preserve">СИ Скорпиус</t>
  </si>
  <si>
    <t xml:space="preserve">А-66/2</t>
  </si>
  <si>
    <t xml:space="preserve">Краснодарская 291  (ФС 1670)</t>
  </si>
  <si>
    <t xml:space="preserve">СИ Энермакс</t>
  </si>
  <si>
    <t xml:space="preserve">А-75</t>
  </si>
  <si>
    <t xml:space="preserve">А-87/3</t>
  </si>
  <si>
    <t xml:space="preserve">Акустика</t>
  </si>
  <si>
    <t xml:space="preserve">Кашимир</t>
  </si>
  <si>
    <t xml:space="preserve">Рикардо</t>
  </si>
  <si>
    <t xml:space="preserve">Кукуруза на зерно (полив)</t>
  </si>
  <si>
    <t xml:space="preserve">А-111/2</t>
  </si>
  <si>
    <t xml:space="preserve">СИ КАРИОКА</t>
  </si>
  <si>
    <t xml:space="preserve">Задисковано 238 га</t>
  </si>
  <si>
    <t xml:space="preserve">А-54</t>
  </si>
  <si>
    <t xml:space="preserve">ГОРОХ НА ЗЕРНО 2026 г.</t>
  </si>
  <si>
    <t xml:space="preserve">на семена</t>
  </si>
  <si>
    <t xml:space="preserve">А-111</t>
  </si>
  <si>
    <t xml:space="preserve">А-23</t>
  </si>
  <si>
    <t xml:space="preserve">А-83</t>
  </si>
  <si>
    <t xml:space="preserve"> / 10</t>
  </si>
  <si>
    <t xml:space="preserve">СОЯ 2024 г.</t>
  </si>
  <si>
    <t xml:space="preserve">18 ц/га</t>
  </si>
  <si>
    <t xml:space="preserve">на 25.09.2025</t>
  </si>
  <si>
    <t xml:space="preserve"> 2 / 3</t>
  </si>
  <si>
    <t xml:space="preserve"> 4 / 4</t>
  </si>
  <si>
    <t xml:space="preserve"> 4 / 4 </t>
  </si>
  <si>
    <t xml:space="preserve">Показатели 2024 г.</t>
  </si>
  <si>
    <t xml:space="preserve">Прогноз от 19.07.2024</t>
  </si>
  <si>
    <t xml:space="preserve">Прогноз от 13.08.2024</t>
  </si>
  <si>
    <t xml:space="preserve">Выполнение по валу от прогноза</t>
  </si>
  <si>
    <t xml:space="preserve">корректировка площади +5 га</t>
  </si>
  <si>
    <t xml:space="preserve">https://rosstat.gov.ru/dbscripts/munst/munst03/DBInet.cgi</t>
  </si>
  <si>
    <t xml:space="preserve">Хозяйство</t>
  </si>
  <si>
    <t xml:space="preserve">Место</t>
  </si>
  <si>
    <t xml:space="preserve">АО "Путиловец Юг"</t>
  </si>
  <si>
    <t xml:space="preserve">КФХ Барсук Т.Л.</t>
  </si>
  <si>
    <t xml:space="preserve">ЗАО "Юбилейное"</t>
  </si>
  <si>
    <t xml:space="preserve">пр. "им.Гармаша И.И."</t>
  </si>
  <si>
    <t xml:space="preserve">ООО "АК Павловский"</t>
  </si>
  <si>
    <t xml:space="preserve">ООО "Агромаркет"</t>
  </si>
  <si>
    <t xml:space="preserve">АО "Н-пластуновское"</t>
  </si>
  <si>
    <t xml:space="preserve">ООО "Грин Рэй Кубань"</t>
  </si>
  <si>
    <t xml:space="preserve">НПХ Калинина</t>
  </si>
  <si>
    <t xml:space="preserve">АО "Рассвет"</t>
  </si>
  <si>
    <t xml:space="preserve">Столбец4</t>
  </si>
  <si>
    <t xml:space="preserve">Столбец5</t>
  </si>
  <si>
    <t xml:space="preserve">место</t>
  </si>
  <si>
    <t xml:space="preserve">КФХ "Барсук Т.Л."</t>
  </si>
  <si>
    <t xml:space="preserve">НПХ  Калинина</t>
  </si>
  <si>
    <t xml:space="preserve">Пред. "им.Гармаша И.И."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</si>
</sst>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_-* #\ ##0&quot; руб&quot;_-;\-* #\ ##0&quot; руб&quot;_-;_-* &quot;- руб&quot;_-;_-@_-"/>
    <numFmt numFmtId="166" formatCode="_-* #\ ##0_р_._-;\-* #\ ##0_р_._-;_-* \-_р_._-;_-@_-"/>
    <numFmt numFmtId="167" formatCode="_-* #\ ##0.00_р_._-;\-* #\ ##0.00_р_._-;_-* \-??_р_._-;_-@_-"/>
    <numFmt numFmtId="168" formatCode="_-* #\ ##0&quot;р.&quot;_-;\-* #\ ##0&quot;р.&quot;_-;_-* &quot;-р.&quot;_-;_-@_-"/>
    <numFmt numFmtId="169" formatCode="_-* #\ ##0.00&quot;р.&quot;_-;\-* #\ ##0.00&quot;р.&quot;_-;_-* \-??&quot;р.&quot;_-;_-@_-"/>
    <numFmt numFmtId="170" formatCode="dd\.mm\.yyyy"/>
    <numFmt numFmtId="171" formatCode="_-* #\ ##0.00[$€-1]_-;\-* #\ ##0.00[$€-1]_-;_-* \-??[$€-1]_-"/>
    <numFmt numFmtId="172" formatCode="_-* #\ ##0.00[$€-1]_-;\-* #\ ##0.00[$€-1]_-;_-* \-??[$€-1]_-"/>
    <numFmt numFmtId="173" formatCode="#\ ##0;\-#\ ##0"/>
    <numFmt numFmtId="174" formatCode="General_)"/>
    <numFmt numFmtId="175" formatCode="#\ ##0"/>
    <numFmt numFmtId="176" formatCode="_-* #\ ##0.00&quot;р.&quot;_-;\-* #\ ##0.00&quot;р.&quot;_-;_-* \-??&quot;р.&quot;_-;_-@_-"/>
    <numFmt numFmtId="177" formatCode="_-* #\ ##0.00&quot; ₽&quot;_-;\-* #\ ##0.00&quot; ₽&quot;_-;_-* \-??&quot; ₽&quot;_-;_-@_-"/>
    <numFmt numFmtId="178" formatCode="_-* #\.##0.00&quot; ₽&quot;_-;\-* #\.##0.00&quot; ₽&quot;_-;_-* \-??&quot; ₽&quot;_-;_-@_-"/>
    <numFmt numFmtId="179" formatCode="0%"/>
    <numFmt numFmtId="180" formatCode="_-* #\ ##0\ _р_._-;\-* #\ ##0\ _р_._-;_-* &quot;- &quot;_р_._-;_-@_-"/>
    <numFmt numFmtId="181" formatCode="_-* #\ ##0.00\ _р_._-;\-* #\ ##0.00\ _р_._-;_-* \-??\ _р_._-;_-@_-"/>
    <numFmt numFmtId="182" formatCode="_-* #\ ##0.00_-;\-* #\ ##0.00_-;_-* \-??_-;_-@_-"/>
    <numFmt numFmtId="183" formatCode="_-* #\ ##0.00_р_._-;\-* #\ ##0.00_р_._-;_-* \-??_р_._-;_-@_-"/>
    <numFmt numFmtId="184" formatCode="_-* #,##0.00_-;\-* #,##0.00_-;_-* \-??_-;_-@_-"/>
    <numFmt numFmtId="185" formatCode="_-* #,##0.00_р_._-;\-* #,##0.00_р_._-;_-* \-??_р_._-;_-@_-"/>
    <numFmt numFmtId="186" formatCode="_-* #,##0.00\ _₽_-;\-* #,##0.00\ _₽_-;_-* \-??\ _₽_-;_-@_-"/>
    <numFmt numFmtId="187" formatCode="_-* #\ ##0.00_-;\-* #\ ##0.00_-;_-* \-??_-;_-@_-"/>
    <numFmt numFmtId="188" formatCode="&quot;?.&quot;#\ ##0_);[RED]&quot;(?.&quot;#\ ##0\)"/>
    <numFmt numFmtId="189" formatCode="_(* #\ ##0.00_);_(* \(#\ ##0.00\);_(* \-??_);_(@_)"/>
    <numFmt numFmtId="190" formatCode="#\ ##0\в"/>
    <numFmt numFmtId="191" formatCode="#\ ##0_);\(#\ ##0\);#\ ###"/>
    <numFmt numFmtId="192" formatCode="#\ ##0\т"/>
    <numFmt numFmtId="193" formatCode="##\ ###&quot; т&quot;"/>
    <numFmt numFmtId="194" formatCode="00&quot; га&quot;"/>
    <numFmt numFmtId="195" formatCode="00.0&quot; ц/га&quot;"/>
    <numFmt numFmtId="196" formatCode="##\ ###&quot; тн.&quot;"/>
    <numFmt numFmtId="197" formatCode="00&quot; ц/га&quot;"/>
    <numFmt numFmtId="198" formatCode="0"/>
    <numFmt numFmtId="199" formatCode="#,##0"/>
    <numFmt numFmtId="200" formatCode="dd/mm/yyyy"/>
    <numFmt numFmtId="201" formatCode="#,##0.0"/>
    <numFmt numFmtId="202" formatCode="##.0&quot; га&quot;"/>
    <numFmt numFmtId="203" formatCode="##,###&quot; кг&quot;"/>
    <numFmt numFmtId="204" formatCode="0.0&quot; ц/га&quot;"/>
    <numFmt numFmtId="205" formatCode="0.0%"/>
    <numFmt numFmtId="206" formatCode="00&quot; дн.&quot;"/>
    <numFmt numFmtId="207" formatCode="@"/>
    <numFmt numFmtId="208" formatCode="##,###&quot; тн.&quot;"/>
    <numFmt numFmtId="209" formatCode="##,###&quot; т&quot;"/>
    <numFmt numFmtId="210" formatCode="dd/mmm"/>
    <numFmt numFmtId="211" formatCode="0.0"/>
    <numFmt numFmtId="212" formatCode="0.00"/>
    <numFmt numFmtId="213" formatCode="##,###&quot; га&quot;"/>
    <numFmt numFmtId="214" formatCode="dd/mm/yy;@"/>
    <numFmt numFmtId="215" formatCode="##&quot; га&quot;"/>
    <numFmt numFmtId="216" formatCode="0&quot; га&quot;"/>
    <numFmt numFmtId="217" formatCode="0&quot; ц/га&quot;"/>
    <numFmt numFmtId="218" formatCode="#,##0.00"/>
    <numFmt numFmtId="219" formatCode="##,###.0&quot; т&quot;"/>
  </numFmts>
  <fonts count="11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MS Sans Serif"/>
      <family val="2"/>
      <charset val="204"/>
    </font>
    <font>
      <sz val="11"/>
      <name val="Calibri"/>
      <family val="2"/>
      <charset val="204"/>
    </font>
    <font>
      <sz val="10"/>
      <name val="Arial"/>
      <family val="2"/>
      <charset val="204"/>
    </font>
    <font>
      <u val="single"/>
      <sz val="10"/>
      <name val="Arial Cyr"/>
      <family val="2"/>
      <charset val="204"/>
    </font>
    <font>
      <sz val="10"/>
      <name val="Courier New"/>
      <family val="1"/>
      <charset val="204"/>
    </font>
    <font>
      <sz val="10"/>
      <name val="Courier New"/>
      <family val="3"/>
      <charset val="204"/>
    </font>
    <font>
      <b val="true"/>
      <sz val="10"/>
      <name val="Arial"/>
      <family val="2"/>
      <charset val="204"/>
    </font>
    <font>
      <b val="true"/>
      <sz val="11"/>
      <name val="Calibri"/>
      <family val="2"/>
      <charset val="204"/>
    </font>
    <font>
      <sz val="12"/>
      <name val="Times New Roman"/>
      <family val="1"/>
      <charset val="204"/>
    </font>
    <font>
      <i val="true"/>
      <sz val="11"/>
      <name val="Calibri"/>
      <family val="2"/>
      <charset val="204"/>
    </font>
    <font>
      <u val="single"/>
      <sz val="7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5"/>
      <color rgb="FF003366"/>
      <name val="Calibri"/>
      <family val="2"/>
      <charset val="204"/>
    </font>
    <font>
      <b val="true"/>
      <sz val="13"/>
      <color rgb="FF003366"/>
      <name val="Calibri"/>
      <family val="2"/>
      <charset val="204"/>
    </font>
    <font>
      <b val="true"/>
      <sz val="11"/>
      <color rgb="FF003366"/>
      <name val="Calibri"/>
      <family val="2"/>
      <charset val="204"/>
    </font>
    <font>
      <u val="single"/>
      <sz val="9.6"/>
      <name val="Arial"/>
      <family val="2"/>
      <charset val="204"/>
    </font>
    <font>
      <sz val="11"/>
      <color rgb="FF333399"/>
      <name val="Calibri"/>
      <family val="2"/>
      <charset val="204"/>
    </font>
    <font>
      <b val="true"/>
      <u val="single"/>
      <sz val="16"/>
      <name val="Arial"/>
      <family val="2"/>
      <charset val="204"/>
    </font>
    <font>
      <sz val="11"/>
      <color rgb="FF993300"/>
      <name val="Calibri"/>
      <family val="2"/>
      <charset val="204"/>
    </font>
    <font>
      <sz val="8"/>
      <name val="Tahoma"/>
      <family val="2"/>
      <charset val="204"/>
    </font>
    <font>
      <sz val="8"/>
      <name val="Times New Roman"/>
      <family val="1"/>
      <charset val="204"/>
    </font>
    <font>
      <b val="true"/>
      <sz val="11"/>
      <color rgb="FF333333"/>
      <name val="Calibri"/>
      <family val="2"/>
      <charset val="204"/>
    </font>
    <font>
      <b val="true"/>
      <sz val="20"/>
      <name val="Times New Roman"/>
      <family val="1"/>
      <charset val="204"/>
    </font>
    <font>
      <b val="true"/>
      <sz val="18"/>
      <color rgb="FF003366"/>
      <name val="Cambria"/>
      <family val="1"/>
      <charset val="204"/>
    </font>
    <font>
      <b val="true"/>
      <sz val="14"/>
      <name val="Times New Roman"/>
      <family val="1"/>
      <charset val="204"/>
    </font>
    <font>
      <b val="true"/>
      <sz val="8"/>
      <name val="Arial Cyr"/>
      <family val="2"/>
      <charset val="204"/>
    </font>
    <font>
      <u val="single"/>
      <sz val="11"/>
      <name val="Calibri"/>
      <family val="2"/>
      <charset val="204"/>
    </font>
    <font>
      <sz val="12"/>
      <name val="Arial Narrow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5"/>
      <color theme="3"/>
      <name val="Arial"/>
      <family val="2"/>
      <charset val="204"/>
    </font>
    <font>
      <b val="true"/>
      <sz val="10"/>
      <name val="Arial Cyr"/>
      <family val="2"/>
      <charset val="204"/>
    </font>
    <font>
      <sz val="11"/>
      <color rgb="FF000000"/>
      <name val="Calibri"/>
      <family val="2"/>
      <charset val="204"/>
    </font>
    <font>
      <sz val="14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1"/>
    </font>
    <font>
      <sz val="10"/>
      <name val="Arial Cyr"/>
      <family val="0"/>
      <charset val="204"/>
    </font>
    <font>
      <sz val="10"/>
      <name val="Verdana"/>
      <family val="2"/>
      <charset val="204"/>
    </font>
    <font>
      <sz val="8"/>
      <name val="Arial"/>
      <family val="2"/>
      <charset val="1"/>
    </font>
    <font>
      <sz val="11"/>
      <color theme="1"/>
      <name val="Calibri"/>
      <family val="2"/>
      <charset val="204"/>
    </font>
    <font>
      <sz val="11"/>
      <name val="Century Gothic"/>
      <family val="2"/>
      <charset val="204"/>
    </font>
    <font>
      <sz val="12"/>
      <name val="Calibri"/>
      <family val="2"/>
      <charset val="204"/>
    </font>
    <font>
      <sz val="12"/>
      <color theme="1"/>
      <name val="Arial"/>
      <family val="2"/>
      <charset val="204"/>
    </font>
    <font>
      <sz val="11"/>
      <name val="Arial"/>
      <family val="2"/>
      <charset val="204"/>
    </font>
    <font>
      <sz val="10"/>
      <name val="Times New Roman"/>
      <family val="1"/>
      <charset val="204"/>
    </font>
    <font>
      <sz val="10"/>
      <name val="Tahoma"/>
      <family val="2"/>
      <charset val="204"/>
    </font>
    <font>
      <sz val="10"/>
      <name val="Arial Narrow"/>
      <family val="2"/>
      <charset val="204"/>
    </font>
    <font>
      <sz val="11"/>
      <color rgb="FF000000"/>
      <name val="Arial"/>
      <family val="2"/>
      <charset val="204"/>
    </font>
    <font>
      <sz val="36"/>
      <color theme="2" tint="-0.5"/>
      <name val="Arial Narrow"/>
      <family val="2"/>
      <charset val="204"/>
    </font>
    <font>
      <u val="single"/>
      <sz val="16"/>
      <color theme="1"/>
      <name val="Calibri"/>
      <family val="0"/>
      <charset val="204"/>
    </font>
    <font>
      <sz val="24"/>
      <color theme="2" tint="-0.5"/>
      <name val="Arial"/>
      <family val="2"/>
      <charset val="204"/>
    </font>
    <font>
      <sz val="20"/>
      <color rgb="FF000000"/>
      <name val="Arial"/>
      <family val="0"/>
      <charset val="204"/>
    </font>
    <font>
      <sz val="18"/>
      <color theme="0" tint="-0.5"/>
      <name val="Arial"/>
      <family val="2"/>
      <charset val="204"/>
    </font>
    <font>
      <sz val="20"/>
      <color rgb="FF757171"/>
      <name val="Arial"/>
      <family val="0"/>
      <charset val="204"/>
    </font>
    <font>
      <b val="true"/>
      <sz val="20"/>
      <color rgb="FFEE0000"/>
      <name val="Arial"/>
      <family val="0"/>
      <charset val="204"/>
    </font>
    <font>
      <sz val="18"/>
      <color theme="7" tint="-0.5"/>
      <name val="Arial"/>
      <family val="2"/>
      <charset val="204"/>
    </font>
    <font>
      <sz val="15"/>
      <color rgb="FF996600"/>
      <name val="Arial"/>
      <family val="0"/>
      <charset val="204"/>
    </font>
    <font>
      <sz val="14"/>
      <color rgb="FF404040"/>
      <name val="Arial"/>
      <family val="2"/>
    </font>
    <font>
      <b val="true"/>
      <sz val="14"/>
      <color rgb="FF767171"/>
      <name val="Arial"/>
      <family val="2"/>
    </font>
    <font>
      <sz val="1"/>
      <color rgb="FFFFFFFF"/>
      <name val="Arial"/>
      <family val="2"/>
    </font>
    <font>
      <b val="true"/>
      <sz val="14"/>
      <color rgb="FF8A0000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1"/>
      <color rgb="FFFFFFFF"/>
      <name val="Calibri"/>
      <family val="2"/>
    </font>
    <font>
      <b val="true"/>
      <sz val="14"/>
      <color rgb="FFC00000"/>
      <name val="Arial"/>
      <family val="2"/>
    </font>
    <font>
      <sz val="10"/>
      <color rgb="FF000000"/>
      <name val="Calibri"/>
      <family val="2"/>
    </font>
    <font>
      <sz val="9"/>
      <color rgb="FFFFFFFF"/>
      <name val="Calibri"/>
      <family val="2"/>
    </font>
    <font>
      <sz val="20"/>
      <color rgb="FF000000"/>
      <name val="Arial"/>
      <family val="2"/>
      <charset val="204"/>
    </font>
    <font>
      <sz val="20"/>
      <color theme="0" tint="-0.5"/>
      <name val="Arial"/>
      <family val="2"/>
      <charset val="204"/>
    </font>
    <font>
      <b val="true"/>
      <sz val="20"/>
      <color rgb="FFC00000"/>
      <name val="Arial"/>
      <family val="0"/>
      <charset val="204"/>
    </font>
    <font>
      <sz val="13"/>
      <color theme="1"/>
      <name val="Calibri"/>
      <family val="0"/>
      <charset val="204"/>
    </font>
    <font>
      <b val="true"/>
      <sz val="20"/>
      <color rgb="FFFF0000"/>
      <name val="Arial"/>
      <family val="0"/>
      <charset val="204"/>
    </font>
    <font>
      <b val="true"/>
      <sz val="8"/>
      <name val="Arial"/>
      <family val="2"/>
      <charset val="204"/>
    </font>
    <font>
      <sz val="11"/>
      <color theme="1"/>
      <name val="Arial"/>
      <family val="2"/>
      <charset val="204"/>
    </font>
    <font>
      <b val="true"/>
      <sz val="22"/>
      <color theme="7" tint="-0.25"/>
      <name val="Arial"/>
      <family val="2"/>
      <charset val="204"/>
    </font>
    <font>
      <b val="true"/>
      <sz val="14"/>
      <color theme="1"/>
      <name val="Arial"/>
      <family val="2"/>
      <charset val="204"/>
    </font>
    <font>
      <b val="true"/>
      <sz val="11"/>
      <color theme="2" tint="-0.5"/>
      <name val="Arial"/>
      <family val="2"/>
      <charset val="204"/>
    </font>
    <font>
      <b val="true"/>
      <sz val="11"/>
      <name val="Arial"/>
      <family val="2"/>
      <charset val="204"/>
    </font>
    <font>
      <sz val="11"/>
      <color theme="0"/>
      <name val="Arial"/>
      <family val="2"/>
      <charset val="204"/>
    </font>
    <font>
      <sz val="11"/>
      <color theme="2" tint="-0.5"/>
      <name val="Arial"/>
      <family val="2"/>
      <charset val="204"/>
    </font>
    <font>
      <i val="true"/>
      <sz val="8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b val="true"/>
      <sz val="11"/>
      <color rgb="FFFF0000"/>
      <name val="Arial"/>
      <family val="2"/>
      <charset val="204"/>
    </font>
    <font>
      <b val="true"/>
      <sz val="12"/>
      <color theme="2" tint="-0.5"/>
      <name val="Arial"/>
      <family val="2"/>
      <charset val="204"/>
    </font>
    <font>
      <b val="true"/>
      <sz val="14"/>
      <color theme="2" tint="-0.5"/>
      <name val="Arial"/>
      <family val="2"/>
      <charset val="204"/>
    </font>
    <font>
      <b val="true"/>
      <sz val="11"/>
      <color theme="1"/>
      <name val="Arial"/>
      <family val="2"/>
      <charset val="204"/>
    </font>
    <font>
      <sz val="11"/>
      <color theme="2" tint="-0.1"/>
      <name val="Arial"/>
      <family val="2"/>
      <charset val="204"/>
    </font>
    <font>
      <i val="true"/>
      <sz val="11"/>
      <color theme="0" tint="-0.5"/>
      <name val="Arial"/>
      <family val="2"/>
      <charset val="204"/>
    </font>
    <font>
      <i val="true"/>
      <sz val="11"/>
      <color theme="1"/>
      <name val="Arial"/>
      <family val="2"/>
      <charset val="204"/>
    </font>
    <font>
      <sz val="10"/>
      <color rgb="FF00000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0"/>
      <color theme="0"/>
      <name val="Calibri"/>
      <family val="2"/>
      <charset val="204"/>
    </font>
    <font>
      <b val="true"/>
      <sz val="10"/>
      <color theme="0" tint="-0.15"/>
      <name val="Calibri"/>
      <family val="2"/>
      <charset val="204"/>
    </font>
    <font>
      <b val="true"/>
      <sz val="10"/>
      <color rgb="FF000000"/>
      <name val="Calibri"/>
      <family val="2"/>
      <charset val="204"/>
    </font>
    <font>
      <b val="true"/>
      <sz val="22"/>
      <color theme="1"/>
      <name val="Arial"/>
      <family val="2"/>
      <charset val="204"/>
    </font>
    <font>
      <b val="true"/>
      <i val="true"/>
      <sz val="24"/>
      <color theme="0" tint="-0.5"/>
      <name val="Arial"/>
      <family val="2"/>
      <charset val="204"/>
    </font>
    <font>
      <i val="true"/>
      <sz val="11"/>
      <color theme="0" tint="-0.25"/>
      <name val="Arial"/>
      <family val="2"/>
      <charset val="204"/>
    </font>
    <font>
      <sz val="11"/>
      <color theme="2"/>
      <name val="Arial"/>
      <family val="2"/>
      <charset val="204"/>
    </font>
    <font>
      <sz val="9"/>
      <color rgb="FF000000"/>
      <name val="Tahoma"/>
      <family val="2"/>
      <charset val="204"/>
    </font>
    <font>
      <i val="true"/>
      <sz val="9"/>
      <color theme="2" tint="-0.5"/>
      <name val="Arial"/>
      <family val="2"/>
      <charset val="204"/>
    </font>
    <font>
      <sz val="11"/>
      <color theme="2" tint="-0.25"/>
      <name val="Arial"/>
      <family val="2"/>
      <charset val="204"/>
    </font>
    <font>
      <b val="true"/>
      <i val="true"/>
      <sz val="8"/>
      <color theme="1"/>
      <name val="Arial"/>
      <family val="2"/>
      <charset val="204"/>
    </font>
    <font>
      <i val="true"/>
      <sz val="8"/>
      <color theme="0" tint="-0.25"/>
      <name val="Arial"/>
      <family val="2"/>
      <charset val="204"/>
    </font>
    <font>
      <i val="true"/>
      <sz val="8"/>
      <color theme="2" tint="-0.5"/>
      <name val="Arial"/>
      <family val="2"/>
      <charset val="204"/>
    </font>
    <font>
      <b val="true"/>
      <u val="single"/>
      <sz val="14"/>
      <color theme="1"/>
      <name val="Arial"/>
      <family val="2"/>
      <charset val="204"/>
    </font>
    <font>
      <b val="true"/>
      <sz val="8"/>
      <color theme="1"/>
      <name val="Arial"/>
      <family val="2"/>
      <charset val="204"/>
    </font>
    <font>
      <sz val="8"/>
      <color rgb="FF000000"/>
      <name val="Calibri"/>
      <family val="2"/>
      <charset val="1"/>
    </font>
    <font>
      <b val="true"/>
      <sz val="22"/>
      <color theme="2" tint="-0.25"/>
      <name val="Arial"/>
      <family val="2"/>
      <charset val="204"/>
    </font>
    <font>
      <i val="true"/>
      <sz val="8"/>
      <color rgb="FFFF0000"/>
      <name val="Arial"/>
      <family val="2"/>
      <charset val="204"/>
    </font>
    <font>
      <i val="true"/>
      <sz val="11"/>
      <color theme="2" tint="-0.5"/>
      <name val="Arial"/>
      <family val="2"/>
      <charset val="204"/>
    </font>
    <font>
      <b val="true"/>
      <i val="true"/>
      <sz val="11"/>
      <color theme="2" tint="-0.5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CF2"/>
      </patternFill>
    </fill>
    <fill>
      <patternFill patternType="solid">
        <fgColor rgb="FFF9F9F9"/>
        <bgColor rgb="FFFAFAFA"/>
      </patternFill>
    </fill>
    <fill>
      <patternFill patternType="solid">
        <fgColor theme="0" tint="-0.35"/>
        <bgColor rgb="FFAFABAB"/>
      </patternFill>
    </fill>
    <fill>
      <patternFill patternType="solid">
        <fgColor rgb="FFFFFF00"/>
        <bgColor rgb="FFFFD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98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99" fontId="3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9" fontId="7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0" fontId="8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0" fontId="8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0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8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0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0" fontId="8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0" fontId="4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0" fontId="5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2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3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4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5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6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6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7" fontId="8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7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8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9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9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4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4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2" fontId="82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3" fontId="82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4" fontId="82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5" fontId="82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7" fontId="8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4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7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7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4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10" fontId="8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3" fontId="7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5" fontId="8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9" fontId="8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4" fontId="8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5" fontId="83" fillId="2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211" fontId="7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5" fontId="9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2" fontId="5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3" fontId="5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4" fontId="5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5" fontId="5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0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0" fontId="5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9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12" fontId="9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8" fontId="9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9" fontId="9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2" fontId="9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1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1" fontId="9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9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3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4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14" fontId="5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5" fontId="5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5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8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3" fontId="8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95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95" fontId="8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5" fontId="77" fillId="2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204" fontId="10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77" fillId="2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4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3" fontId="4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5" fontId="4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5" fontId="4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8" fontId="4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4" fontId="7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99" fontId="7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1" fontId="7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4" fontId="47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5" fontId="8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6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6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4" fontId="8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7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9" fontId="7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7" fontId="8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7" fontId="8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7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1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2" fontId="9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8" fontId="9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9" fontId="9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8" fontId="9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8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9" fontId="8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3" fontId="10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09" fontId="1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5" fontId="1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4" fontId="1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5" fontId="8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86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,00;0;" xfId="20"/>
    <cellStyle name="0,00;0; 1" xfId="21"/>
    <cellStyle name="0,00;0; 2" xfId="22"/>
    <cellStyle name="0,00;0; 3" xfId="23"/>
    <cellStyle name="0,00;0;_АГМ" xfId="24"/>
    <cellStyle name="1Normal" xfId="25"/>
    <cellStyle name="1Normal 1" xfId="26"/>
    <cellStyle name="1Normal 1 2" xfId="27"/>
    <cellStyle name="1Normal 2" xfId="28"/>
    <cellStyle name="1Normal 2 2" xfId="29"/>
    <cellStyle name="1Normal 3" xfId="30"/>
    <cellStyle name="1Normal 3 2" xfId="31"/>
    <cellStyle name="1Normal_АГМ" xfId="32"/>
    <cellStyle name="20% - Accent1" xfId="33"/>
    <cellStyle name="20% - Accent1 2" xfId="34"/>
    <cellStyle name="20% - Accent2" xfId="35"/>
    <cellStyle name="20% - Accent2 2" xfId="36"/>
    <cellStyle name="20% - Accent3" xfId="37"/>
    <cellStyle name="20% - Accent3 2" xfId="38"/>
    <cellStyle name="20% - Accent4" xfId="39"/>
    <cellStyle name="20% - Accent4 2" xfId="40"/>
    <cellStyle name="20% - Accent5" xfId="41"/>
    <cellStyle name="20% - Accent5 2" xfId="42"/>
    <cellStyle name="20% - Accent6" xfId="43"/>
    <cellStyle name="20% - Accent6 2" xfId="44"/>
    <cellStyle name="20% - Акцент1 1" xfId="45"/>
    <cellStyle name="20% - Акцент1 1 2" xfId="46"/>
    <cellStyle name="20% - Акцент1 2" xfId="47"/>
    <cellStyle name="20% - Акцент1 2 2" xfId="48"/>
    <cellStyle name="20% - Акцент1 3" xfId="49"/>
    <cellStyle name="20% - Акцент1 3 2" xfId="50"/>
    <cellStyle name="20% - Акцент1 4" xfId="51"/>
    <cellStyle name="20% - Акцент1 4 2" xfId="52"/>
    <cellStyle name="20% - Акцент2 1" xfId="53"/>
    <cellStyle name="20% - Акцент2 1 2" xfId="54"/>
    <cellStyle name="20% - Акцент2 2" xfId="55"/>
    <cellStyle name="20% - Акцент2 2 2" xfId="56"/>
    <cellStyle name="20% - Акцент2 3" xfId="57"/>
    <cellStyle name="20% - Акцент2 3 2" xfId="58"/>
    <cellStyle name="20% - Акцент2 4" xfId="59"/>
    <cellStyle name="20% - Акцент2 4 2" xfId="60"/>
    <cellStyle name="20% - Акцент3 1" xfId="61"/>
    <cellStyle name="20% - Акцент3 1 2" xfId="62"/>
    <cellStyle name="20% - Акцент3 2" xfId="63"/>
    <cellStyle name="20% - Акцент3 2 2" xfId="64"/>
    <cellStyle name="20% - Акцент3 3" xfId="65"/>
    <cellStyle name="20% - Акцент3 3 2" xfId="66"/>
    <cellStyle name="20% - Акцент3 4" xfId="67"/>
    <cellStyle name="20% - Акцент3 4 2" xfId="68"/>
    <cellStyle name="20% - Акцент4 1" xfId="69"/>
    <cellStyle name="20% - Акцент4 1 2" xfId="70"/>
    <cellStyle name="20% - Акцент4 2" xfId="71"/>
    <cellStyle name="20% - Акцент4 2 2" xfId="72"/>
    <cellStyle name="20% - Акцент4 3" xfId="73"/>
    <cellStyle name="20% - Акцент4 3 2" xfId="74"/>
    <cellStyle name="20% - Акцент4 4" xfId="75"/>
    <cellStyle name="20% - Акцент4 4 2" xfId="76"/>
    <cellStyle name="20% - Акцент5 1" xfId="77"/>
    <cellStyle name="20% - Акцент5 1 2" xfId="78"/>
    <cellStyle name="20% - Акцент5 2" xfId="79"/>
    <cellStyle name="20% - Акцент5 2 2" xfId="80"/>
    <cellStyle name="20% - Акцент5 3" xfId="81"/>
    <cellStyle name="20% - Акцент5 3 2" xfId="82"/>
    <cellStyle name="20% - Акцент5 4" xfId="83"/>
    <cellStyle name="20% - Акцент5 4 2" xfId="84"/>
    <cellStyle name="20% - Акцент6 1" xfId="85"/>
    <cellStyle name="20% - Акцент6 1 2" xfId="86"/>
    <cellStyle name="20% - Акцент6 2" xfId="87"/>
    <cellStyle name="20% - Акцент6 2 2" xfId="88"/>
    <cellStyle name="20% - Акцент6 3" xfId="89"/>
    <cellStyle name="20% - Акцент6 3 2" xfId="90"/>
    <cellStyle name="20% - Акцент6 4" xfId="91"/>
    <cellStyle name="20% - Акцент6 4 2" xfId="92"/>
    <cellStyle name="40% - Accent1" xfId="93"/>
    <cellStyle name="40% - Accent1 2" xfId="94"/>
    <cellStyle name="40% - Accent2" xfId="95"/>
    <cellStyle name="40% - Accent2 2" xfId="96"/>
    <cellStyle name="40% - Accent3" xfId="97"/>
    <cellStyle name="40% - Accent3 2" xfId="98"/>
    <cellStyle name="40% - Accent4" xfId="99"/>
    <cellStyle name="40% - Accent4 2" xfId="100"/>
    <cellStyle name="40% - Accent5" xfId="101"/>
    <cellStyle name="40% - Accent5 2" xfId="102"/>
    <cellStyle name="40% - Accent6" xfId="103"/>
    <cellStyle name="40% - Accent6 2" xfId="104"/>
    <cellStyle name="40% - Акцент1 1" xfId="105"/>
    <cellStyle name="40% - Акцент1 1 2" xfId="106"/>
    <cellStyle name="40% - Акцент1 2" xfId="107"/>
    <cellStyle name="40% - Акцент1 2 2" xfId="108"/>
    <cellStyle name="40% - Акцент1 3" xfId="109"/>
    <cellStyle name="40% - Акцент1 3 2" xfId="110"/>
    <cellStyle name="40% - Акцент1 4" xfId="111"/>
    <cellStyle name="40% - Акцент1 4 2" xfId="112"/>
    <cellStyle name="40% - Акцент2 1" xfId="113"/>
    <cellStyle name="40% - Акцент2 1 2" xfId="114"/>
    <cellStyle name="40% - Акцент2 2" xfId="115"/>
    <cellStyle name="40% - Акцент2 2 2" xfId="116"/>
    <cellStyle name="40% - Акцент2 3" xfId="117"/>
    <cellStyle name="40% - Акцент2 3 2" xfId="118"/>
    <cellStyle name="40% - Акцент2 4" xfId="119"/>
    <cellStyle name="40% - Акцент2 4 2" xfId="120"/>
    <cellStyle name="40% - Акцент3 1" xfId="121"/>
    <cellStyle name="40% - Акцент3 1 2" xfId="122"/>
    <cellStyle name="40% - Акцент3 2" xfId="123"/>
    <cellStyle name="40% - Акцент3 2 2" xfId="124"/>
    <cellStyle name="40% - Акцент3 3" xfId="125"/>
    <cellStyle name="40% - Акцент3 3 2" xfId="126"/>
    <cellStyle name="40% - Акцент3 4" xfId="127"/>
    <cellStyle name="40% - Акцент3 4 2" xfId="128"/>
    <cellStyle name="40% - Акцент4 1" xfId="129"/>
    <cellStyle name="40% - Акцент4 1 2" xfId="130"/>
    <cellStyle name="40% - Акцент4 2" xfId="131"/>
    <cellStyle name="40% - Акцент4 2 2" xfId="132"/>
    <cellStyle name="40% - Акцент4 3" xfId="133"/>
    <cellStyle name="40% - Акцент4 3 2" xfId="134"/>
    <cellStyle name="40% - Акцент4 4" xfId="135"/>
    <cellStyle name="40% - Акцент4 4 2" xfId="136"/>
    <cellStyle name="40% - Акцент5 1" xfId="137"/>
    <cellStyle name="40% - Акцент5 1 2" xfId="138"/>
    <cellStyle name="40% - Акцент5 2" xfId="139"/>
    <cellStyle name="40% - Акцент5 2 2" xfId="140"/>
    <cellStyle name="40% - Акцент5 3" xfId="141"/>
    <cellStyle name="40% - Акцент5 3 2" xfId="142"/>
    <cellStyle name="40% - Акцент5 4" xfId="143"/>
    <cellStyle name="40% - Акцент5 4 2" xfId="144"/>
    <cellStyle name="40% - Акцент6 1" xfId="145"/>
    <cellStyle name="40% - Акцент6 1 2" xfId="146"/>
    <cellStyle name="40% - Акцент6 2" xfId="147"/>
    <cellStyle name="40% - Акцент6 2 2" xfId="148"/>
    <cellStyle name="40% - Акцент6 3" xfId="149"/>
    <cellStyle name="40% - Акцент6 3 2" xfId="150"/>
    <cellStyle name="40% - Акцент6 4" xfId="151"/>
    <cellStyle name="40% - Акцент6 4 2" xfId="152"/>
    <cellStyle name="60% - Accent1" xfId="153"/>
    <cellStyle name="60% - Accent1 2" xfId="154"/>
    <cellStyle name="60% - Accent2" xfId="155"/>
    <cellStyle name="60% - Accent2 2" xfId="156"/>
    <cellStyle name="60% - Accent3" xfId="157"/>
    <cellStyle name="60% - Accent3 2" xfId="158"/>
    <cellStyle name="60% - Accent4" xfId="159"/>
    <cellStyle name="60% - Accent4 2" xfId="160"/>
    <cellStyle name="60% - Accent5" xfId="161"/>
    <cellStyle name="60% - Accent5 2" xfId="162"/>
    <cellStyle name="60% - Accent6" xfId="163"/>
    <cellStyle name="60% - Accent6 2" xfId="164"/>
    <cellStyle name="60% - Акцент1 1" xfId="165"/>
    <cellStyle name="60% - Акцент1 1 2" xfId="166"/>
    <cellStyle name="60% - Акцент1 2" xfId="167"/>
    <cellStyle name="60% - Акцент1 2 2" xfId="168"/>
    <cellStyle name="60% - Акцент1 3" xfId="169"/>
    <cellStyle name="60% - Акцент1 3 2" xfId="170"/>
    <cellStyle name="60% - Акцент1 4" xfId="171"/>
    <cellStyle name="60% - Акцент1 4 2" xfId="172"/>
    <cellStyle name="60% - Акцент2 1" xfId="173"/>
    <cellStyle name="60% - Акцент2 1 2" xfId="174"/>
    <cellStyle name="60% - Акцент2 2" xfId="175"/>
    <cellStyle name="60% - Акцент2 2 2" xfId="176"/>
    <cellStyle name="60% - Акцент2 3" xfId="177"/>
    <cellStyle name="60% - Акцент2 3 2" xfId="178"/>
    <cellStyle name="60% - Акцент2 4" xfId="179"/>
    <cellStyle name="60% - Акцент2 4 2" xfId="180"/>
    <cellStyle name="60% - Акцент3 1" xfId="181"/>
    <cellStyle name="60% - Акцент3 1 2" xfId="182"/>
    <cellStyle name="60% - Акцент3 2" xfId="183"/>
    <cellStyle name="60% - Акцент3 2 2" xfId="184"/>
    <cellStyle name="60% - Акцент3 3" xfId="185"/>
    <cellStyle name="60% - Акцент3 3 2" xfId="186"/>
    <cellStyle name="60% - Акцент3 4" xfId="187"/>
    <cellStyle name="60% - Акцент3 4 2" xfId="188"/>
    <cellStyle name="60% - Акцент4 1" xfId="189"/>
    <cellStyle name="60% - Акцент4 1 2" xfId="190"/>
    <cellStyle name="60% - Акцент4 2" xfId="191"/>
    <cellStyle name="60% - Акцент4 2 2" xfId="192"/>
    <cellStyle name="60% - Акцент4 3" xfId="193"/>
    <cellStyle name="60% - Акцент4 3 2" xfId="194"/>
    <cellStyle name="60% - Акцент4 4" xfId="195"/>
    <cellStyle name="60% - Акцент4 4 2" xfId="196"/>
    <cellStyle name="60% - Акцент5 1" xfId="197"/>
    <cellStyle name="60% - Акцент5 1 2" xfId="198"/>
    <cellStyle name="60% - Акцент5 2" xfId="199"/>
    <cellStyle name="60% - Акцент5 2 2" xfId="200"/>
    <cellStyle name="60% - Акцент5 3" xfId="201"/>
    <cellStyle name="60% - Акцент5 3 2" xfId="202"/>
    <cellStyle name="60% - Акцент5 4" xfId="203"/>
    <cellStyle name="60% - Акцент5 4 2" xfId="204"/>
    <cellStyle name="60% - Акцент6 1" xfId="205"/>
    <cellStyle name="60% - Акцент6 1 2" xfId="206"/>
    <cellStyle name="60% - Акцент6 2" xfId="207"/>
    <cellStyle name="60% - Акцент6 2 2" xfId="208"/>
    <cellStyle name="60% - Акцент6 3" xfId="209"/>
    <cellStyle name="60% - Акцент6 3 2" xfId="210"/>
    <cellStyle name="60% - Акцент6 4" xfId="211"/>
    <cellStyle name="60% - Акцент6 4 2" xfId="212"/>
    <cellStyle name="_FFF" xfId="213"/>
    <cellStyle name="_FFF 1" xfId="214"/>
    <cellStyle name="_FFF 1_Копия Растениеводство форма(Акционеры)" xfId="215"/>
    <cellStyle name="_FFF 1_М( ЗАР)" xfId="216"/>
    <cellStyle name="_FFF 1_Модель АгроГард на 5 лет" xfId="217"/>
    <cellStyle name="_FFF 1_Растениеводство форма( АГМ)" xfId="218"/>
    <cellStyle name="_FFF 1_Свод по Агрохоолдингу  (в т.ч КБН  )" xfId="219"/>
    <cellStyle name="_FFF 1_Форма по растениеводству (Акционеры) ИЛЧ" xfId="220"/>
    <cellStyle name="_FFF 1_раст.-факт" xfId="221"/>
    <cellStyle name="_FFF 2" xfId="222"/>
    <cellStyle name="_FFF 2_Копия Растениеводство форма(Акционеры)" xfId="223"/>
    <cellStyle name="_FFF 2_М( ЗАР)" xfId="224"/>
    <cellStyle name="_FFF 2_Модель АгроГард на 5 лет" xfId="225"/>
    <cellStyle name="_FFF 2_Растениеводство форма( АГМ)" xfId="226"/>
    <cellStyle name="_FFF 2_Свод по Агрохоолдингу  (в т.ч КБН  )" xfId="227"/>
    <cellStyle name="_FFF 2_Форма по растениеводству (Акционеры) ИЛЧ" xfId="228"/>
    <cellStyle name="_FFF 2_раст.-факт" xfId="229"/>
    <cellStyle name="_FFF 3" xfId="230"/>
    <cellStyle name="_FFF 3_Копия Растениеводство форма(Акционеры)" xfId="231"/>
    <cellStyle name="_FFF 3_М( ЗАР)" xfId="232"/>
    <cellStyle name="_FFF 3_Модель АгроГард на 5 лет" xfId="233"/>
    <cellStyle name="_FFF 3_Растениеводство форма( АГМ)" xfId="234"/>
    <cellStyle name="_FFF 3_Свод по Агрохоолдингу  (в т.ч КБН  )" xfId="235"/>
    <cellStyle name="_FFF 3_Форма по растениеводству (Акционеры) ИЛЧ" xfId="236"/>
    <cellStyle name="_FFF 3_раст.-факт" xfId="237"/>
    <cellStyle name="_FFF_New Form10_2" xfId="238"/>
    <cellStyle name="_FFF_New Form10_2 1" xfId="239"/>
    <cellStyle name="_FFF_New Form10_2 1_Копия Растениеводство форма(Акционеры)" xfId="240"/>
    <cellStyle name="_FFF_New Form10_2 1_М( ЗАР)" xfId="241"/>
    <cellStyle name="_FFF_New Form10_2 1_Модель АгроГард на 5 лет" xfId="242"/>
    <cellStyle name="_FFF_New Form10_2 1_Растениеводство форма( АГМ)" xfId="243"/>
    <cellStyle name="_FFF_New Form10_2 1_Свод по Агрохоолдингу  (в т.ч КБН  )" xfId="244"/>
    <cellStyle name="_FFF_New Form10_2 1_Форма по растениеводству (Акционеры) ИЛЧ" xfId="245"/>
    <cellStyle name="_FFF_New Form10_2 1_раст.-факт" xfId="246"/>
    <cellStyle name="_FFF_New Form10_2 2" xfId="247"/>
    <cellStyle name="_FFF_New Form10_2 2_Копия Растениеводство форма(Акционеры)" xfId="248"/>
    <cellStyle name="_FFF_New Form10_2 2_М( ЗАР)" xfId="249"/>
    <cellStyle name="_FFF_New Form10_2 2_Модель АгроГард на 5 лет" xfId="250"/>
    <cellStyle name="_FFF_New Form10_2 2_Растениеводство форма( АГМ)" xfId="251"/>
    <cellStyle name="_FFF_New Form10_2 2_Свод по Агрохоолдингу  (в т.ч КБН  )" xfId="252"/>
    <cellStyle name="_FFF_New Form10_2 2_Форма по растениеводству (Акционеры) ИЛЧ" xfId="253"/>
    <cellStyle name="_FFF_New Form10_2 2_раст.-факт" xfId="254"/>
    <cellStyle name="_FFF_New Form10_2 3" xfId="255"/>
    <cellStyle name="_FFF_New Form10_2 3_Копия Растениеводство форма(Акционеры)" xfId="256"/>
    <cellStyle name="_FFF_New Form10_2 3_М( ЗАР)" xfId="257"/>
    <cellStyle name="_FFF_New Form10_2 3_Модель АгроГард на 5 лет" xfId="258"/>
    <cellStyle name="_FFF_New Form10_2 3_Растениеводство форма( АГМ)" xfId="259"/>
    <cellStyle name="_FFF_New Form10_2 3_Свод по Агрохоолдингу  (в т.ч КБН  )" xfId="260"/>
    <cellStyle name="_FFF_New Form10_2 3_Форма по растениеводству (Акционеры) ИЛЧ" xfId="261"/>
    <cellStyle name="_FFF_New Form10_2 3_раст.-факт" xfId="262"/>
    <cellStyle name="_FFF_New Form10_2_АГМ" xfId="263"/>
    <cellStyle name="_FFF_New Form10_2_Копия Растениеводство форма(Акционеры)" xfId="264"/>
    <cellStyle name="_FFF_New Form10_2_М( ЗАР)" xfId="265"/>
    <cellStyle name="_FFF_New Form10_2_Модель АгроГард на 5 лет" xfId="266"/>
    <cellStyle name="_FFF_New Form10_2_НИК-09" xfId="267"/>
    <cellStyle name="_FFF_New Form10_2_Растениеводство форма( АГМ)" xfId="268"/>
    <cellStyle name="_FFF_New Form10_2_Свод по Агрохоолдингу  (в т.ч КБН  )" xfId="269"/>
    <cellStyle name="_FFF_New Form10_2_ТК-2011 АГМ+транспорт" xfId="270"/>
    <cellStyle name="_FFF_New Form10_2_Форма по растениеводству (Акционеры) ИЛЧ" xfId="271"/>
    <cellStyle name="_FFF_New Form10_2_раст.-факт" xfId="272"/>
    <cellStyle name="_FFF_Nsi" xfId="273"/>
    <cellStyle name="_FFF_Nsi 1" xfId="274"/>
    <cellStyle name="_FFF_Nsi 1_Копия Растениеводство форма(Акционеры)" xfId="275"/>
    <cellStyle name="_FFF_Nsi 1_М( ЗАР)" xfId="276"/>
    <cellStyle name="_FFF_Nsi 1_Модель АгроГард на 5 лет" xfId="277"/>
    <cellStyle name="_FFF_Nsi 1_Растениеводство форма( АГМ)" xfId="278"/>
    <cellStyle name="_FFF_Nsi 1_Свод по Агрохоолдингу  (в т.ч КБН  )" xfId="279"/>
    <cellStyle name="_FFF_Nsi 1_Форма по растениеводству (Акционеры) ИЛЧ" xfId="280"/>
    <cellStyle name="_FFF_Nsi 1_раст.-факт" xfId="281"/>
    <cellStyle name="_FFF_Nsi 2" xfId="282"/>
    <cellStyle name="_FFF_Nsi 2_Копия Растениеводство форма(Акционеры)" xfId="283"/>
    <cellStyle name="_FFF_Nsi 2_М( ЗАР)" xfId="284"/>
    <cellStyle name="_FFF_Nsi 2_Модель АгроГард на 5 лет" xfId="285"/>
    <cellStyle name="_FFF_Nsi 2_Растениеводство форма( АГМ)" xfId="286"/>
    <cellStyle name="_FFF_Nsi 2_Свод по Агрохоолдингу  (в т.ч КБН  )" xfId="287"/>
    <cellStyle name="_FFF_Nsi 2_Форма по растениеводству (Акционеры) ИЛЧ" xfId="288"/>
    <cellStyle name="_FFF_Nsi 2_раст.-факт" xfId="289"/>
    <cellStyle name="_FFF_Nsi 3" xfId="290"/>
    <cellStyle name="_FFF_Nsi 3_Копия Растениеводство форма(Акционеры)" xfId="291"/>
    <cellStyle name="_FFF_Nsi 3_М( ЗАР)" xfId="292"/>
    <cellStyle name="_FFF_Nsi 3_Модель АгроГард на 5 лет" xfId="293"/>
    <cellStyle name="_FFF_Nsi 3_Растениеводство форма( АГМ)" xfId="294"/>
    <cellStyle name="_FFF_Nsi 3_Свод по Агрохоолдингу  (в т.ч КБН  )" xfId="295"/>
    <cellStyle name="_FFF_Nsi 3_Форма по растениеводству (Акционеры) ИЛЧ" xfId="296"/>
    <cellStyle name="_FFF_Nsi 3_раст.-факт" xfId="297"/>
    <cellStyle name="_FFF_Nsi_1" xfId="298"/>
    <cellStyle name="_FFF_Nsi_1 1" xfId="299"/>
    <cellStyle name="_FFF_Nsi_1 1_Копия Растениеводство форма(Акционеры)" xfId="300"/>
    <cellStyle name="_FFF_Nsi_1 1_М( ЗАР)" xfId="301"/>
    <cellStyle name="_FFF_Nsi_1 1_Модель АгроГард на 5 лет" xfId="302"/>
    <cellStyle name="_FFF_Nsi_1 1_Растениеводство форма( АГМ)" xfId="303"/>
    <cellStyle name="_FFF_Nsi_1 1_Свод по Агрохоолдингу  (в т.ч КБН  )" xfId="304"/>
    <cellStyle name="_FFF_Nsi_1 1_Форма по растениеводству (Акционеры) ИЛЧ" xfId="305"/>
    <cellStyle name="_FFF_Nsi_1 1_раст.-факт" xfId="306"/>
    <cellStyle name="_FFF_Nsi_1 2" xfId="307"/>
    <cellStyle name="_FFF_Nsi_1 2_Копия Растениеводство форма(Акционеры)" xfId="308"/>
    <cellStyle name="_FFF_Nsi_1 2_М( ЗАР)" xfId="309"/>
    <cellStyle name="_FFF_Nsi_1 2_Модель АгроГард на 5 лет" xfId="310"/>
    <cellStyle name="_FFF_Nsi_1 2_Растениеводство форма( АГМ)" xfId="311"/>
    <cellStyle name="_FFF_Nsi_1 2_Свод по Агрохоолдингу  (в т.ч КБН  )" xfId="312"/>
    <cellStyle name="_FFF_Nsi_1 2_Форма по растениеводству (Акционеры) ИЛЧ" xfId="313"/>
    <cellStyle name="_FFF_Nsi_1 2_раст.-факт" xfId="314"/>
    <cellStyle name="_FFF_Nsi_1 3" xfId="315"/>
    <cellStyle name="_FFF_Nsi_1 3_Копия Растениеводство форма(Акционеры)" xfId="316"/>
    <cellStyle name="_FFF_Nsi_1 3_М( ЗАР)" xfId="317"/>
    <cellStyle name="_FFF_Nsi_1 3_Модель АгроГард на 5 лет" xfId="318"/>
    <cellStyle name="_FFF_Nsi_1 3_Растениеводство форма( АГМ)" xfId="319"/>
    <cellStyle name="_FFF_Nsi_1 3_Свод по Агрохоолдингу  (в т.ч КБН  )" xfId="320"/>
    <cellStyle name="_FFF_Nsi_1 3_Форма по растениеводству (Акционеры) ИЛЧ" xfId="321"/>
    <cellStyle name="_FFF_Nsi_1 3_раст.-факт" xfId="322"/>
    <cellStyle name="_FFF_Nsi_139" xfId="323"/>
    <cellStyle name="_FFF_Nsi_139 1" xfId="324"/>
    <cellStyle name="_FFF_Nsi_139 1_Копия Растениеводство форма(Акционеры)" xfId="325"/>
    <cellStyle name="_FFF_Nsi_139 1_М( ЗАР)" xfId="326"/>
    <cellStyle name="_FFF_Nsi_139 1_Модель АгроГард на 5 лет" xfId="327"/>
    <cellStyle name="_FFF_Nsi_139 1_Растениеводство форма( АГМ)" xfId="328"/>
    <cellStyle name="_FFF_Nsi_139 1_Свод по Агрохоолдингу  (в т.ч КБН  )" xfId="329"/>
    <cellStyle name="_FFF_Nsi_139 1_Форма по растениеводству (Акционеры) ИЛЧ" xfId="330"/>
    <cellStyle name="_FFF_Nsi_139 1_раст.-факт" xfId="331"/>
    <cellStyle name="_FFF_Nsi_139 2" xfId="332"/>
    <cellStyle name="_FFF_Nsi_139 2_Копия Растениеводство форма(Акционеры)" xfId="333"/>
    <cellStyle name="_FFF_Nsi_139 2_М( ЗАР)" xfId="334"/>
    <cellStyle name="_FFF_Nsi_139 2_Модель АгроГард на 5 лет" xfId="335"/>
    <cellStyle name="_FFF_Nsi_139 2_Растениеводство форма( АГМ)" xfId="336"/>
    <cellStyle name="_FFF_Nsi_139 2_Свод по Агрохоолдингу  (в т.ч КБН  )" xfId="337"/>
    <cellStyle name="_FFF_Nsi_139 2_Форма по растениеводству (Акционеры) ИЛЧ" xfId="338"/>
    <cellStyle name="_FFF_Nsi_139 2_раст.-факт" xfId="339"/>
    <cellStyle name="_FFF_Nsi_139 3" xfId="340"/>
    <cellStyle name="_FFF_Nsi_139 3_Копия Растениеводство форма(Акционеры)" xfId="341"/>
    <cellStyle name="_FFF_Nsi_139 3_М( ЗАР)" xfId="342"/>
    <cellStyle name="_FFF_Nsi_139 3_Модель АгроГард на 5 лет" xfId="343"/>
    <cellStyle name="_FFF_Nsi_139 3_Растениеводство форма( АГМ)" xfId="344"/>
    <cellStyle name="_FFF_Nsi_139 3_Свод по Агрохоолдингу  (в т.ч КБН  )" xfId="345"/>
    <cellStyle name="_FFF_Nsi_139 3_Форма по растениеводству (Акционеры) ИЛЧ" xfId="346"/>
    <cellStyle name="_FFF_Nsi_139 3_раст.-факт" xfId="347"/>
    <cellStyle name="_FFF_Nsi_139_АГМ" xfId="348"/>
    <cellStyle name="_FFF_Nsi_139_Копия Растениеводство форма(Акционеры)" xfId="349"/>
    <cellStyle name="_FFF_Nsi_139_М( ЗАР)" xfId="350"/>
    <cellStyle name="_FFF_Nsi_139_Модель АгроГард на 5 лет" xfId="351"/>
    <cellStyle name="_FFF_Nsi_139_НИК-09" xfId="352"/>
    <cellStyle name="_FFF_Nsi_139_Растениеводство форма( АГМ)" xfId="353"/>
    <cellStyle name="_FFF_Nsi_139_Свод по Агрохоолдингу  (в т.ч КБН  )" xfId="354"/>
    <cellStyle name="_FFF_Nsi_139_ТК-2011 АГМ+транспорт" xfId="355"/>
    <cellStyle name="_FFF_Nsi_139_Форма по растениеводству (Акционеры) ИЛЧ" xfId="356"/>
    <cellStyle name="_FFF_Nsi_139_раст.-факт" xfId="357"/>
    <cellStyle name="_FFF_Nsi_140" xfId="358"/>
    <cellStyle name="_FFF_Nsi_140 1" xfId="359"/>
    <cellStyle name="_FFF_Nsi_140 1_Копия Растениеводство форма(Акционеры)" xfId="360"/>
    <cellStyle name="_FFF_Nsi_140 1_М( ЗАР)" xfId="361"/>
    <cellStyle name="_FFF_Nsi_140 1_Модель АгроГард на 5 лет" xfId="362"/>
    <cellStyle name="_FFF_Nsi_140 1_Растениеводство форма( АГМ)" xfId="363"/>
    <cellStyle name="_FFF_Nsi_140 1_Свод по Агрохоолдингу  (в т.ч КБН  )" xfId="364"/>
    <cellStyle name="_FFF_Nsi_140 1_Форма по растениеводству (Акционеры) ИЛЧ" xfId="365"/>
    <cellStyle name="_FFF_Nsi_140 1_раст.-факт" xfId="366"/>
    <cellStyle name="_FFF_Nsi_140 2" xfId="367"/>
    <cellStyle name="_FFF_Nsi_140 2_Копия Растениеводство форма(Акционеры)" xfId="368"/>
    <cellStyle name="_FFF_Nsi_140 2_М( ЗАР)" xfId="369"/>
    <cellStyle name="_FFF_Nsi_140 2_Модель АгроГард на 5 лет" xfId="370"/>
    <cellStyle name="_FFF_Nsi_140 2_Растениеводство форма( АГМ)" xfId="371"/>
    <cellStyle name="_FFF_Nsi_140 2_Свод по Агрохоолдингу  (в т.ч КБН  )" xfId="372"/>
    <cellStyle name="_FFF_Nsi_140 2_Форма по растениеводству (Акционеры) ИЛЧ" xfId="373"/>
    <cellStyle name="_FFF_Nsi_140 2_раст.-факт" xfId="374"/>
    <cellStyle name="_FFF_Nsi_140 3" xfId="375"/>
    <cellStyle name="_FFF_Nsi_140 3_Копия Растениеводство форма(Акционеры)" xfId="376"/>
    <cellStyle name="_FFF_Nsi_140 3_М( ЗАР)" xfId="377"/>
    <cellStyle name="_FFF_Nsi_140 3_Модель АгроГард на 5 лет" xfId="378"/>
    <cellStyle name="_FFF_Nsi_140 3_Растениеводство форма( АГМ)" xfId="379"/>
    <cellStyle name="_FFF_Nsi_140 3_Свод по Агрохоолдингу  (в т.ч КБН  )" xfId="380"/>
    <cellStyle name="_FFF_Nsi_140 3_Форма по растениеводству (Акционеры) ИЛЧ" xfId="381"/>
    <cellStyle name="_FFF_Nsi_140 3_раст.-факт" xfId="382"/>
    <cellStyle name="_FFF_Nsi_140(Зах)" xfId="383"/>
    <cellStyle name="_FFF_Nsi_140(Зах) 1" xfId="384"/>
    <cellStyle name="_FFF_Nsi_140(Зах) 1_Копия Растениеводство форма(Акционеры)" xfId="385"/>
    <cellStyle name="_FFF_Nsi_140(Зах) 1_М( ЗАР)" xfId="386"/>
    <cellStyle name="_FFF_Nsi_140(Зах) 1_Модель АгроГард на 5 лет" xfId="387"/>
    <cellStyle name="_FFF_Nsi_140(Зах) 1_Растениеводство форма( АГМ)" xfId="388"/>
    <cellStyle name="_FFF_Nsi_140(Зах) 1_Свод по Агрохоолдингу  (в т.ч КБН  )" xfId="389"/>
    <cellStyle name="_FFF_Nsi_140(Зах) 1_Форма по растениеводству (Акционеры) ИЛЧ" xfId="390"/>
    <cellStyle name="_FFF_Nsi_140(Зах) 1_раст.-факт" xfId="391"/>
    <cellStyle name="_FFF_Nsi_140(Зах) 2" xfId="392"/>
    <cellStyle name="_FFF_Nsi_140(Зах) 2_Копия Растениеводство форма(Акционеры)" xfId="393"/>
    <cellStyle name="_FFF_Nsi_140(Зах) 2_М( ЗАР)" xfId="394"/>
    <cellStyle name="_FFF_Nsi_140(Зах) 2_Модель АгроГард на 5 лет" xfId="395"/>
    <cellStyle name="_FFF_Nsi_140(Зах) 2_Растениеводство форма( АГМ)" xfId="396"/>
    <cellStyle name="_FFF_Nsi_140(Зах) 2_Свод по Агрохоолдингу  (в т.ч КБН  )" xfId="397"/>
    <cellStyle name="_FFF_Nsi_140(Зах) 2_Форма по растениеводству (Акционеры) ИЛЧ" xfId="398"/>
    <cellStyle name="_FFF_Nsi_140(Зах) 2_раст.-факт" xfId="399"/>
    <cellStyle name="_FFF_Nsi_140(Зах) 3" xfId="400"/>
    <cellStyle name="_FFF_Nsi_140(Зах) 3_Копия Растениеводство форма(Акционеры)" xfId="401"/>
    <cellStyle name="_FFF_Nsi_140(Зах) 3_М( ЗАР)" xfId="402"/>
    <cellStyle name="_FFF_Nsi_140(Зах) 3_Модель АгроГард на 5 лет" xfId="403"/>
    <cellStyle name="_FFF_Nsi_140(Зах) 3_Растениеводство форма( АГМ)" xfId="404"/>
    <cellStyle name="_FFF_Nsi_140(Зах) 3_Свод по Агрохоолдингу  (в т.ч КБН  )" xfId="405"/>
    <cellStyle name="_FFF_Nsi_140(Зах) 3_Форма по растениеводству (Акционеры) ИЛЧ" xfId="406"/>
    <cellStyle name="_FFF_Nsi_140(Зах) 3_раст.-факт" xfId="407"/>
    <cellStyle name="_FFF_Nsi_140(Зах)_АГМ" xfId="408"/>
    <cellStyle name="_FFF_Nsi_140(Зах)_Копия Растениеводство форма(Акционеры)" xfId="409"/>
    <cellStyle name="_FFF_Nsi_140(Зах)_М( ЗАР)" xfId="410"/>
    <cellStyle name="_FFF_Nsi_140(Зах)_Модель АгроГард на 5 лет" xfId="411"/>
    <cellStyle name="_FFF_Nsi_140(Зах)_НИК-09" xfId="412"/>
    <cellStyle name="_FFF_Nsi_140(Зах)_Растениеводство форма( АГМ)" xfId="413"/>
    <cellStyle name="_FFF_Nsi_140(Зах)_Свод по Агрохоолдингу  (в т.ч КБН  )" xfId="414"/>
    <cellStyle name="_FFF_Nsi_140(Зах)_ТК-2011 АГМ+транспорт" xfId="415"/>
    <cellStyle name="_FFF_Nsi_140(Зах)_Форма по растениеводству (Акционеры) ИЛЧ" xfId="416"/>
    <cellStyle name="_FFF_Nsi_140(Зах)_раст.-факт" xfId="417"/>
    <cellStyle name="_FFF_Nsi_140_mod" xfId="418"/>
    <cellStyle name="_FFF_Nsi_140_mod 1" xfId="419"/>
    <cellStyle name="_FFF_Nsi_140_mod 1_Копия Растениеводство форма(Акционеры)" xfId="420"/>
    <cellStyle name="_FFF_Nsi_140_mod 1_М( ЗАР)" xfId="421"/>
    <cellStyle name="_FFF_Nsi_140_mod 1_Модель АгроГард на 5 лет" xfId="422"/>
    <cellStyle name="_FFF_Nsi_140_mod 1_Растениеводство форма( АГМ)" xfId="423"/>
    <cellStyle name="_FFF_Nsi_140_mod 1_Свод по Агрохоолдингу  (в т.ч КБН  )" xfId="424"/>
    <cellStyle name="_FFF_Nsi_140_mod 1_Форма по растениеводству (Акционеры) ИЛЧ" xfId="425"/>
    <cellStyle name="_FFF_Nsi_140_mod 1_раст.-факт" xfId="426"/>
    <cellStyle name="_FFF_Nsi_140_mod 2" xfId="427"/>
    <cellStyle name="_FFF_Nsi_140_mod 2_Копия Растениеводство форма(Акционеры)" xfId="428"/>
    <cellStyle name="_FFF_Nsi_140_mod 2_М( ЗАР)" xfId="429"/>
    <cellStyle name="_FFF_Nsi_140_mod 2_Модель АгроГард на 5 лет" xfId="430"/>
    <cellStyle name="_FFF_Nsi_140_mod 2_Растениеводство форма( АГМ)" xfId="431"/>
    <cellStyle name="_FFF_Nsi_140_mod 2_Свод по Агрохоолдингу  (в т.ч КБН  )" xfId="432"/>
    <cellStyle name="_FFF_Nsi_140_mod 2_Форма по растениеводству (Акционеры) ИЛЧ" xfId="433"/>
    <cellStyle name="_FFF_Nsi_140_mod 2_раст.-факт" xfId="434"/>
    <cellStyle name="_FFF_Nsi_140_mod 3" xfId="435"/>
    <cellStyle name="_FFF_Nsi_140_mod 3_Копия Растениеводство форма(Акционеры)" xfId="436"/>
    <cellStyle name="_FFF_Nsi_140_mod 3_М( ЗАР)" xfId="437"/>
    <cellStyle name="_FFF_Nsi_140_mod 3_Модель АгроГард на 5 лет" xfId="438"/>
    <cellStyle name="_FFF_Nsi_140_mod 3_Растениеводство форма( АГМ)" xfId="439"/>
    <cellStyle name="_FFF_Nsi_140_mod 3_Свод по Агрохоолдингу  (в т.ч КБН  )" xfId="440"/>
    <cellStyle name="_FFF_Nsi_140_mod 3_Форма по растениеводству (Акционеры) ИЛЧ" xfId="441"/>
    <cellStyle name="_FFF_Nsi_140_mod 3_раст.-факт" xfId="442"/>
    <cellStyle name="_FFF_Nsi_140_mod_АГМ" xfId="443"/>
    <cellStyle name="_FFF_Nsi_140_mod_Копия Растениеводство форма(Акционеры)" xfId="444"/>
    <cellStyle name="_FFF_Nsi_140_mod_М( ЗАР)" xfId="445"/>
    <cellStyle name="_FFF_Nsi_140_mod_Модель АгроГард на 5 лет" xfId="446"/>
    <cellStyle name="_FFF_Nsi_140_mod_НИК-09" xfId="447"/>
    <cellStyle name="_FFF_Nsi_140_mod_Растениеводство форма( АГМ)" xfId="448"/>
    <cellStyle name="_FFF_Nsi_140_mod_Свод по Агрохоолдингу  (в т.ч КБН  )" xfId="449"/>
    <cellStyle name="_FFF_Nsi_140_mod_ТК-2011 АГМ+транспорт" xfId="450"/>
    <cellStyle name="_FFF_Nsi_140_mod_Форма по растениеводству (Акционеры) ИЛЧ" xfId="451"/>
    <cellStyle name="_FFF_Nsi_140_mod_раст.-факт" xfId="452"/>
    <cellStyle name="_FFF_Nsi_140_АГМ" xfId="453"/>
    <cellStyle name="_FFF_Nsi_140_Копия Растениеводство форма(Акционеры)" xfId="454"/>
    <cellStyle name="_FFF_Nsi_140_М( ЗАР)" xfId="455"/>
    <cellStyle name="_FFF_Nsi_140_Модель АгроГард на 5 лет" xfId="456"/>
    <cellStyle name="_FFF_Nsi_140_НИК-09" xfId="457"/>
    <cellStyle name="_FFF_Nsi_140_Растениеводство форма( АГМ)" xfId="458"/>
    <cellStyle name="_FFF_Nsi_140_Свод по Агрохоолдингу  (в т.ч КБН  )" xfId="459"/>
    <cellStyle name="_FFF_Nsi_140_ТК-2011 АГМ+транспорт" xfId="460"/>
    <cellStyle name="_FFF_Nsi_140_Форма по растениеводству (Акционеры) ИЛЧ" xfId="461"/>
    <cellStyle name="_FFF_Nsi_140_раст.-факт" xfId="462"/>
    <cellStyle name="_FFF_Nsi_1_АГМ" xfId="463"/>
    <cellStyle name="_FFF_Nsi_1_Копия Растениеводство форма(Акционеры)" xfId="464"/>
    <cellStyle name="_FFF_Nsi_1_М( ЗАР)" xfId="465"/>
    <cellStyle name="_FFF_Nsi_1_Модель АгроГард на 5 лет" xfId="466"/>
    <cellStyle name="_FFF_Nsi_1_НИК-09" xfId="467"/>
    <cellStyle name="_FFF_Nsi_1_Растениеводство форма( АГМ)" xfId="468"/>
    <cellStyle name="_FFF_Nsi_1_Свод по Агрохоолдингу  (в т.ч КБН  )" xfId="469"/>
    <cellStyle name="_FFF_Nsi_1_ТК-2011 АГМ+транспорт" xfId="470"/>
    <cellStyle name="_FFF_Nsi_1_Форма по растениеводству (Акционеры) ИЛЧ" xfId="471"/>
    <cellStyle name="_FFF_Nsi_1_раст.-факт" xfId="472"/>
    <cellStyle name="_FFF_Nsi_АГМ" xfId="473"/>
    <cellStyle name="_FFF_Nsi_Копия Растениеводство форма(Акционеры)" xfId="474"/>
    <cellStyle name="_FFF_Nsi_М( ЗАР)" xfId="475"/>
    <cellStyle name="_FFF_Nsi_Модель АгроГард на 5 лет" xfId="476"/>
    <cellStyle name="_FFF_Nsi_НИК-09" xfId="477"/>
    <cellStyle name="_FFF_Nsi_Растениеводство форма( АГМ)" xfId="478"/>
    <cellStyle name="_FFF_Nsi_Свод по Агрохоолдингу  (в т.ч КБН  )" xfId="479"/>
    <cellStyle name="_FFF_Nsi_ТК-2011 АГМ+транспорт" xfId="480"/>
    <cellStyle name="_FFF_Nsi_Форма по растениеводству (Акционеры) ИЛЧ" xfId="481"/>
    <cellStyle name="_FFF_Nsi_раст.-факт" xfId="482"/>
    <cellStyle name="_FFF_Summary" xfId="483"/>
    <cellStyle name="_FFF_Summary 1" xfId="484"/>
    <cellStyle name="_FFF_Summary 1_Копия Растениеводство форма(Акционеры)" xfId="485"/>
    <cellStyle name="_FFF_Summary 1_М( ЗАР)" xfId="486"/>
    <cellStyle name="_FFF_Summary 1_Модель АгроГард на 5 лет" xfId="487"/>
    <cellStyle name="_FFF_Summary 1_Растениеводство форма( АГМ)" xfId="488"/>
    <cellStyle name="_FFF_Summary 1_Свод по Агрохоолдингу  (в т.ч КБН  )" xfId="489"/>
    <cellStyle name="_FFF_Summary 1_Форма по растениеводству (Акционеры) ИЛЧ" xfId="490"/>
    <cellStyle name="_FFF_Summary 1_раст.-факт" xfId="491"/>
    <cellStyle name="_FFF_Summary 2" xfId="492"/>
    <cellStyle name="_FFF_Summary 2_Копия Растениеводство форма(Акционеры)" xfId="493"/>
    <cellStyle name="_FFF_Summary 2_М( ЗАР)" xfId="494"/>
    <cellStyle name="_FFF_Summary 2_Модель АгроГард на 5 лет" xfId="495"/>
    <cellStyle name="_FFF_Summary 2_Растениеводство форма( АГМ)" xfId="496"/>
    <cellStyle name="_FFF_Summary 2_Свод по Агрохоолдингу  (в т.ч КБН  )" xfId="497"/>
    <cellStyle name="_FFF_Summary 2_Форма по растениеводству (Акционеры) ИЛЧ" xfId="498"/>
    <cellStyle name="_FFF_Summary 2_раст.-факт" xfId="499"/>
    <cellStyle name="_FFF_Summary 3" xfId="500"/>
    <cellStyle name="_FFF_Summary 3_Копия Растениеводство форма(Акционеры)" xfId="501"/>
    <cellStyle name="_FFF_Summary 3_М( ЗАР)" xfId="502"/>
    <cellStyle name="_FFF_Summary 3_Модель АгроГард на 5 лет" xfId="503"/>
    <cellStyle name="_FFF_Summary 3_Растениеводство форма( АГМ)" xfId="504"/>
    <cellStyle name="_FFF_Summary 3_Свод по Агрохоолдингу  (в т.ч КБН  )" xfId="505"/>
    <cellStyle name="_FFF_Summary 3_Форма по растениеводству (Акционеры) ИЛЧ" xfId="506"/>
    <cellStyle name="_FFF_Summary 3_раст.-факт" xfId="507"/>
    <cellStyle name="_FFF_Summary_АГМ" xfId="508"/>
    <cellStyle name="_FFF_Summary_Копия Растениеводство форма(Акционеры)" xfId="509"/>
    <cellStyle name="_FFF_Summary_М( ЗАР)" xfId="510"/>
    <cellStyle name="_FFF_Summary_Модель АгроГард на 5 лет" xfId="511"/>
    <cellStyle name="_FFF_Summary_НИК-09" xfId="512"/>
    <cellStyle name="_FFF_Summary_Растениеводство форма( АГМ)" xfId="513"/>
    <cellStyle name="_FFF_Summary_Свод по Агрохоолдингу  (в т.ч КБН  )" xfId="514"/>
    <cellStyle name="_FFF_Summary_ТК-2011 АГМ+транспорт" xfId="515"/>
    <cellStyle name="_FFF_Summary_Форма по растениеводству (Акционеры) ИЛЧ" xfId="516"/>
    <cellStyle name="_FFF_Summary_раст.-факт" xfId="517"/>
    <cellStyle name="_FFF_Tax_form_1кв_3" xfId="518"/>
    <cellStyle name="_FFF_Tax_form_1кв_3 1" xfId="519"/>
    <cellStyle name="_FFF_Tax_form_1кв_3 1_Копия Растениеводство форма(Акционеры)" xfId="520"/>
    <cellStyle name="_FFF_Tax_form_1кв_3 1_М( ЗАР)" xfId="521"/>
    <cellStyle name="_FFF_Tax_form_1кв_3 1_Модель АгроГард на 5 лет" xfId="522"/>
    <cellStyle name="_FFF_Tax_form_1кв_3 1_Растениеводство форма( АГМ)" xfId="523"/>
    <cellStyle name="_FFF_Tax_form_1кв_3 1_Свод по Агрохоолдингу  (в т.ч КБН  )" xfId="524"/>
    <cellStyle name="_FFF_Tax_form_1кв_3 1_Форма по растениеводству (Акционеры) ИЛЧ" xfId="525"/>
    <cellStyle name="_FFF_Tax_form_1кв_3 1_раст.-факт" xfId="526"/>
    <cellStyle name="_FFF_Tax_form_1кв_3 2" xfId="527"/>
    <cellStyle name="_FFF_Tax_form_1кв_3 2_Копия Растениеводство форма(Акционеры)" xfId="528"/>
    <cellStyle name="_FFF_Tax_form_1кв_3 2_М( ЗАР)" xfId="529"/>
    <cellStyle name="_FFF_Tax_form_1кв_3 2_Модель АгроГард на 5 лет" xfId="530"/>
    <cellStyle name="_FFF_Tax_form_1кв_3 2_Растениеводство форма( АГМ)" xfId="531"/>
    <cellStyle name="_FFF_Tax_form_1кв_3 2_Свод по Агрохоолдингу  (в т.ч КБН  )" xfId="532"/>
    <cellStyle name="_FFF_Tax_form_1кв_3 2_Форма по растениеводству (Акционеры) ИЛЧ" xfId="533"/>
    <cellStyle name="_FFF_Tax_form_1кв_3 2_раст.-факт" xfId="534"/>
    <cellStyle name="_FFF_Tax_form_1кв_3 3" xfId="535"/>
    <cellStyle name="_FFF_Tax_form_1кв_3 3_Копия Растениеводство форма(Акционеры)" xfId="536"/>
    <cellStyle name="_FFF_Tax_form_1кв_3 3_М( ЗАР)" xfId="537"/>
    <cellStyle name="_FFF_Tax_form_1кв_3 3_Модель АгроГард на 5 лет" xfId="538"/>
    <cellStyle name="_FFF_Tax_form_1кв_3 3_Растениеводство форма( АГМ)" xfId="539"/>
    <cellStyle name="_FFF_Tax_form_1кв_3 3_Свод по Агрохоолдингу  (в т.ч КБН  )" xfId="540"/>
    <cellStyle name="_FFF_Tax_form_1кв_3 3_Форма по растениеводству (Акционеры) ИЛЧ" xfId="541"/>
    <cellStyle name="_FFF_Tax_form_1кв_3 3_раст.-факт" xfId="542"/>
    <cellStyle name="_FFF_Tax_form_1кв_3_АГМ" xfId="543"/>
    <cellStyle name="_FFF_Tax_form_1кв_3_Копия Растениеводство форма(Акционеры)" xfId="544"/>
    <cellStyle name="_FFF_Tax_form_1кв_3_М( ЗАР)" xfId="545"/>
    <cellStyle name="_FFF_Tax_form_1кв_3_Модель АгроГард на 5 лет" xfId="546"/>
    <cellStyle name="_FFF_Tax_form_1кв_3_НИК-09" xfId="547"/>
    <cellStyle name="_FFF_Tax_form_1кв_3_Растениеводство форма( АГМ)" xfId="548"/>
    <cellStyle name="_FFF_Tax_form_1кв_3_Свод по Агрохоолдингу  (в т.ч КБН  )" xfId="549"/>
    <cellStyle name="_FFF_Tax_form_1кв_3_ТК-2011 АГМ+транспорт" xfId="550"/>
    <cellStyle name="_FFF_Tax_form_1кв_3_Форма по растениеводству (Акционеры) ИЛЧ" xfId="551"/>
    <cellStyle name="_FFF_Tax_form_1кв_3_раст.-факт" xfId="552"/>
    <cellStyle name="_FFF_АГМ" xfId="553"/>
    <cellStyle name="_FFF_БКЭ" xfId="554"/>
    <cellStyle name="_FFF_БКЭ 1" xfId="555"/>
    <cellStyle name="_FFF_БКЭ 1_Копия Растениеводство форма(Акционеры)" xfId="556"/>
    <cellStyle name="_FFF_БКЭ 1_М( ЗАР)" xfId="557"/>
    <cellStyle name="_FFF_БКЭ 1_Модель АгроГард на 5 лет" xfId="558"/>
    <cellStyle name="_FFF_БКЭ 1_Растениеводство форма( АГМ)" xfId="559"/>
    <cellStyle name="_FFF_БКЭ 1_Свод по Агрохоолдингу  (в т.ч КБН  )" xfId="560"/>
    <cellStyle name="_FFF_БКЭ 1_Форма по растениеводству (Акционеры) ИЛЧ" xfId="561"/>
    <cellStyle name="_FFF_БКЭ 1_раст.-факт" xfId="562"/>
    <cellStyle name="_FFF_БКЭ 2" xfId="563"/>
    <cellStyle name="_FFF_БКЭ 2_Копия Растениеводство форма(Акционеры)" xfId="564"/>
    <cellStyle name="_FFF_БКЭ 2_М( ЗАР)" xfId="565"/>
    <cellStyle name="_FFF_БКЭ 2_Модель АгроГард на 5 лет" xfId="566"/>
    <cellStyle name="_FFF_БКЭ 2_Растениеводство форма( АГМ)" xfId="567"/>
    <cellStyle name="_FFF_БКЭ 2_Свод по Агрохоолдингу  (в т.ч КБН  )" xfId="568"/>
    <cellStyle name="_FFF_БКЭ 2_Форма по растениеводству (Акционеры) ИЛЧ" xfId="569"/>
    <cellStyle name="_FFF_БКЭ 2_раст.-факт" xfId="570"/>
    <cellStyle name="_FFF_БКЭ 3" xfId="571"/>
    <cellStyle name="_FFF_БКЭ 3_Копия Растениеводство форма(Акционеры)" xfId="572"/>
    <cellStyle name="_FFF_БКЭ 3_М( ЗАР)" xfId="573"/>
    <cellStyle name="_FFF_БКЭ 3_Модель АгроГард на 5 лет" xfId="574"/>
    <cellStyle name="_FFF_БКЭ 3_Растениеводство форма( АГМ)" xfId="575"/>
    <cellStyle name="_FFF_БКЭ 3_Свод по Агрохоолдингу  (в т.ч КБН  )" xfId="576"/>
    <cellStyle name="_FFF_БКЭ 3_Форма по растениеводству (Акционеры) ИЛЧ" xfId="577"/>
    <cellStyle name="_FFF_БКЭ 3_раст.-факт" xfId="578"/>
    <cellStyle name="_FFF_БКЭ_АГМ" xfId="579"/>
    <cellStyle name="_FFF_БКЭ_Копия Растениеводство форма(Акционеры)" xfId="580"/>
    <cellStyle name="_FFF_БКЭ_М( ЗАР)" xfId="581"/>
    <cellStyle name="_FFF_БКЭ_Модель АгроГард на 5 лет" xfId="582"/>
    <cellStyle name="_FFF_БКЭ_НИК-09" xfId="583"/>
    <cellStyle name="_FFF_БКЭ_Растениеводство форма( АГМ)" xfId="584"/>
    <cellStyle name="_FFF_БКЭ_Свод по Агрохоолдингу  (в т.ч КБН  )" xfId="585"/>
    <cellStyle name="_FFF_БКЭ_ТК-2011 АГМ+транспорт" xfId="586"/>
    <cellStyle name="_FFF_БКЭ_Форма по растениеводству (Акционеры) ИЛЧ" xfId="587"/>
    <cellStyle name="_FFF_БКЭ_раст.-факт" xfId="588"/>
    <cellStyle name="_FFF_Копия Растениеводство форма(Акционеры)" xfId="589"/>
    <cellStyle name="_FFF_М( ЗАР)" xfId="590"/>
    <cellStyle name="_FFF_Модель АгроГард на 5 лет" xfId="591"/>
    <cellStyle name="_FFF_НИК-09" xfId="592"/>
    <cellStyle name="_FFF_Растениеводство форма( АГМ)" xfId="593"/>
    <cellStyle name="_FFF_Свод по Агрохоолдингу  (в т.ч КБН  )" xfId="594"/>
    <cellStyle name="_FFF_ТК-2011 АГМ+транспорт" xfId="595"/>
    <cellStyle name="_FFF_Форма по растениеводству (Акционеры) ИЛЧ" xfId="596"/>
    <cellStyle name="_FFF_раст.-факт" xfId="597"/>
    <cellStyle name="_Final_Book_010301" xfId="598"/>
    <cellStyle name="_Final_Book_010301 1" xfId="599"/>
    <cellStyle name="_Final_Book_010301 1_Копия Растениеводство форма(Акционеры)" xfId="600"/>
    <cellStyle name="_Final_Book_010301 1_М( ЗАР)" xfId="601"/>
    <cellStyle name="_Final_Book_010301 1_Модель АгроГард на 5 лет" xfId="602"/>
    <cellStyle name="_Final_Book_010301 1_Растениеводство форма( АГМ)" xfId="603"/>
    <cellStyle name="_Final_Book_010301 1_Свод по Агрохоолдингу  (в т.ч КБН  )" xfId="604"/>
    <cellStyle name="_Final_Book_010301 1_Форма по растениеводству (Акционеры) ИЛЧ" xfId="605"/>
    <cellStyle name="_Final_Book_010301 1_раст.-факт" xfId="606"/>
    <cellStyle name="_Final_Book_010301 2" xfId="607"/>
    <cellStyle name="_Final_Book_010301 2_Копия Растениеводство форма(Акционеры)" xfId="608"/>
    <cellStyle name="_Final_Book_010301 2_М( ЗАР)" xfId="609"/>
    <cellStyle name="_Final_Book_010301 2_Модель АгроГард на 5 лет" xfId="610"/>
    <cellStyle name="_Final_Book_010301 2_Растениеводство форма( АГМ)" xfId="611"/>
    <cellStyle name="_Final_Book_010301 2_Свод по Агрохоолдингу  (в т.ч КБН  )" xfId="612"/>
    <cellStyle name="_Final_Book_010301 2_Форма по растениеводству (Акционеры) ИЛЧ" xfId="613"/>
    <cellStyle name="_Final_Book_010301 2_раст.-факт" xfId="614"/>
    <cellStyle name="_Final_Book_010301 3" xfId="615"/>
    <cellStyle name="_Final_Book_010301 3_Копия Растениеводство форма(Акционеры)" xfId="616"/>
    <cellStyle name="_Final_Book_010301 3_М( ЗАР)" xfId="617"/>
    <cellStyle name="_Final_Book_010301 3_Модель АгроГард на 5 лет" xfId="618"/>
    <cellStyle name="_Final_Book_010301 3_Растениеводство форма( АГМ)" xfId="619"/>
    <cellStyle name="_Final_Book_010301 3_Свод по Агрохоолдингу  (в т.ч КБН  )" xfId="620"/>
    <cellStyle name="_Final_Book_010301 3_Форма по растениеводству (Акционеры) ИЛЧ" xfId="621"/>
    <cellStyle name="_Final_Book_010301 3_раст.-факт" xfId="622"/>
    <cellStyle name="_Final_Book_010301_New Form10_2" xfId="623"/>
    <cellStyle name="_Final_Book_010301_New Form10_2 1" xfId="624"/>
    <cellStyle name="_Final_Book_010301_New Form10_2 1_Копия Растениеводство форма(Акционеры)" xfId="625"/>
    <cellStyle name="_Final_Book_010301_New Form10_2 1_М( ЗАР)" xfId="626"/>
    <cellStyle name="_Final_Book_010301_New Form10_2 1_Модель АгроГард на 5 лет" xfId="627"/>
    <cellStyle name="_Final_Book_010301_New Form10_2 1_Растениеводство форма( АГМ)" xfId="628"/>
    <cellStyle name="_Final_Book_010301_New Form10_2 1_Свод по Агрохоолдингу  (в т.ч КБН  )" xfId="629"/>
    <cellStyle name="_Final_Book_010301_New Form10_2 1_Форма по растениеводству (Акционеры) ИЛЧ" xfId="630"/>
    <cellStyle name="_Final_Book_010301_New Form10_2 1_раст.-факт" xfId="631"/>
    <cellStyle name="_Final_Book_010301_New Form10_2 2" xfId="632"/>
    <cellStyle name="_Final_Book_010301_New Form10_2 2_Копия Растениеводство форма(Акционеры)" xfId="633"/>
    <cellStyle name="_Final_Book_010301_New Form10_2 2_М( ЗАР)" xfId="634"/>
    <cellStyle name="_Final_Book_010301_New Form10_2 2_Модель АгроГард на 5 лет" xfId="635"/>
    <cellStyle name="_Final_Book_010301_New Form10_2 2_Растениеводство форма( АГМ)" xfId="636"/>
    <cellStyle name="_Final_Book_010301_New Form10_2 2_Свод по Агрохоолдингу  (в т.ч КБН  )" xfId="637"/>
    <cellStyle name="_Final_Book_010301_New Form10_2 2_Форма по растениеводству (Акционеры) ИЛЧ" xfId="638"/>
    <cellStyle name="_Final_Book_010301_New Form10_2 2_раст.-факт" xfId="639"/>
    <cellStyle name="_Final_Book_010301_New Form10_2 3" xfId="640"/>
    <cellStyle name="_Final_Book_010301_New Form10_2 3_Копия Растениеводство форма(Акционеры)" xfId="641"/>
    <cellStyle name="_Final_Book_010301_New Form10_2 3_М( ЗАР)" xfId="642"/>
    <cellStyle name="_Final_Book_010301_New Form10_2 3_Модель АгроГард на 5 лет" xfId="643"/>
    <cellStyle name="_Final_Book_010301_New Form10_2 3_Растениеводство форма( АГМ)" xfId="644"/>
    <cellStyle name="_Final_Book_010301_New Form10_2 3_Свод по Агрохоолдингу  (в т.ч КБН  )" xfId="645"/>
    <cellStyle name="_Final_Book_010301_New Form10_2 3_Форма по растениеводству (Акционеры) ИЛЧ" xfId="646"/>
    <cellStyle name="_Final_Book_010301_New Form10_2 3_раст.-факт" xfId="647"/>
    <cellStyle name="_Final_Book_010301_New Form10_2_АГМ" xfId="648"/>
    <cellStyle name="_Final_Book_010301_New Form10_2_Копия Растениеводство форма(Акционеры)" xfId="649"/>
    <cellStyle name="_Final_Book_010301_New Form10_2_М( ЗАР)" xfId="650"/>
    <cellStyle name="_Final_Book_010301_New Form10_2_Модель АгроГард на 5 лет" xfId="651"/>
    <cellStyle name="_Final_Book_010301_New Form10_2_НИК-09" xfId="652"/>
    <cellStyle name="_Final_Book_010301_New Form10_2_Растениеводство форма( АГМ)" xfId="653"/>
    <cellStyle name="_Final_Book_010301_New Form10_2_Свод по Агрохоолдингу  (в т.ч КБН  )" xfId="654"/>
    <cellStyle name="_Final_Book_010301_New Form10_2_ТК-2011 АГМ+транспорт" xfId="655"/>
    <cellStyle name="_Final_Book_010301_New Form10_2_Форма по растениеводству (Акционеры) ИЛЧ" xfId="656"/>
    <cellStyle name="_Final_Book_010301_New Form10_2_раст.-факт" xfId="657"/>
    <cellStyle name="_Final_Book_010301_Nsi" xfId="658"/>
    <cellStyle name="_Final_Book_010301_Nsi 1" xfId="659"/>
    <cellStyle name="_Final_Book_010301_Nsi 1_Копия Растениеводство форма(Акционеры)" xfId="660"/>
    <cellStyle name="_Final_Book_010301_Nsi 1_М( ЗАР)" xfId="661"/>
    <cellStyle name="_Final_Book_010301_Nsi 1_Модель АгроГард на 5 лет" xfId="662"/>
    <cellStyle name="_Final_Book_010301_Nsi 1_Растениеводство форма( АГМ)" xfId="663"/>
    <cellStyle name="_Final_Book_010301_Nsi 1_Свод по Агрохоолдингу  (в т.ч КБН  )" xfId="664"/>
    <cellStyle name="_Final_Book_010301_Nsi 1_Форма по растениеводству (Акционеры) ИЛЧ" xfId="665"/>
    <cellStyle name="_Final_Book_010301_Nsi 1_раст.-факт" xfId="666"/>
    <cellStyle name="_Final_Book_010301_Nsi 2" xfId="667"/>
    <cellStyle name="_Final_Book_010301_Nsi 2_Копия Растениеводство форма(Акционеры)" xfId="668"/>
    <cellStyle name="_Final_Book_010301_Nsi 2_М( ЗАР)" xfId="669"/>
    <cellStyle name="_Final_Book_010301_Nsi 2_Модель АгроГард на 5 лет" xfId="670"/>
    <cellStyle name="_Final_Book_010301_Nsi 2_Растениеводство форма( АГМ)" xfId="671"/>
    <cellStyle name="_Final_Book_010301_Nsi 2_Свод по Агрохоолдингу  (в т.ч КБН  )" xfId="672"/>
    <cellStyle name="_Final_Book_010301_Nsi 2_Форма по растениеводству (Акционеры) ИЛЧ" xfId="673"/>
    <cellStyle name="_Final_Book_010301_Nsi 2_раст.-факт" xfId="674"/>
    <cellStyle name="_Final_Book_010301_Nsi 3" xfId="675"/>
    <cellStyle name="_Final_Book_010301_Nsi 3_Копия Растениеводство форма(Акционеры)" xfId="676"/>
    <cellStyle name="_Final_Book_010301_Nsi 3_М( ЗАР)" xfId="677"/>
    <cellStyle name="_Final_Book_010301_Nsi 3_Модель АгроГард на 5 лет" xfId="678"/>
    <cellStyle name="_Final_Book_010301_Nsi 3_Растениеводство форма( АГМ)" xfId="679"/>
    <cellStyle name="_Final_Book_010301_Nsi 3_Свод по Агрохоолдингу  (в т.ч КБН  )" xfId="680"/>
    <cellStyle name="_Final_Book_010301_Nsi 3_Форма по растениеводству (Акционеры) ИЛЧ" xfId="681"/>
    <cellStyle name="_Final_Book_010301_Nsi 3_раст.-факт" xfId="682"/>
    <cellStyle name="_Final_Book_010301_Nsi_1" xfId="683"/>
    <cellStyle name="_Final_Book_010301_Nsi_1 1" xfId="684"/>
    <cellStyle name="_Final_Book_010301_Nsi_1 1_Копия Растениеводство форма(Акционеры)" xfId="685"/>
    <cellStyle name="_Final_Book_010301_Nsi_1 1_М( ЗАР)" xfId="686"/>
    <cellStyle name="_Final_Book_010301_Nsi_1 1_Модель АгроГард на 5 лет" xfId="687"/>
    <cellStyle name="_Final_Book_010301_Nsi_1 1_Растениеводство форма( АГМ)" xfId="688"/>
    <cellStyle name="_Final_Book_010301_Nsi_1 1_Свод по Агрохоолдингу  (в т.ч КБН  )" xfId="689"/>
    <cellStyle name="_Final_Book_010301_Nsi_1 1_Форма по растениеводству (Акционеры) ИЛЧ" xfId="690"/>
    <cellStyle name="_Final_Book_010301_Nsi_1 1_раст.-факт" xfId="691"/>
    <cellStyle name="_Final_Book_010301_Nsi_1 2" xfId="692"/>
    <cellStyle name="_Final_Book_010301_Nsi_1 2_Копия Растениеводство форма(Акционеры)" xfId="693"/>
    <cellStyle name="_Final_Book_010301_Nsi_1 2_М( ЗАР)" xfId="694"/>
    <cellStyle name="_Final_Book_010301_Nsi_1 2_Модель АгроГард на 5 лет" xfId="695"/>
    <cellStyle name="_Final_Book_010301_Nsi_1 2_Растениеводство форма( АГМ)" xfId="696"/>
    <cellStyle name="_Final_Book_010301_Nsi_1 2_Свод по Агрохоолдингу  (в т.ч КБН  )" xfId="697"/>
    <cellStyle name="_Final_Book_010301_Nsi_1 2_Форма по растениеводству (Акционеры) ИЛЧ" xfId="698"/>
    <cellStyle name="_Final_Book_010301_Nsi_1 2_раст.-факт" xfId="699"/>
    <cellStyle name="_Final_Book_010301_Nsi_1 3" xfId="700"/>
    <cellStyle name="_Final_Book_010301_Nsi_1 3_Копия Растениеводство форма(Акционеры)" xfId="701"/>
    <cellStyle name="_Final_Book_010301_Nsi_1 3_М( ЗАР)" xfId="702"/>
    <cellStyle name="_Final_Book_010301_Nsi_1 3_Модель АгроГард на 5 лет" xfId="703"/>
    <cellStyle name="_Final_Book_010301_Nsi_1 3_Растениеводство форма( АГМ)" xfId="704"/>
    <cellStyle name="_Final_Book_010301_Nsi_1 3_Свод по Агрохоолдингу  (в т.ч КБН  )" xfId="705"/>
    <cellStyle name="_Final_Book_010301_Nsi_1 3_Форма по растениеводству (Акционеры) ИЛЧ" xfId="706"/>
    <cellStyle name="_Final_Book_010301_Nsi_1 3_раст.-факт" xfId="707"/>
    <cellStyle name="_Final_Book_010301_Nsi_139" xfId="708"/>
    <cellStyle name="_Final_Book_010301_Nsi_139 1" xfId="709"/>
    <cellStyle name="_Final_Book_010301_Nsi_139 1_Копия Растениеводство форма(Акционеры)" xfId="710"/>
    <cellStyle name="_Final_Book_010301_Nsi_139 1_М( ЗАР)" xfId="711"/>
    <cellStyle name="_Final_Book_010301_Nsi_139 1_Модель АгроГард на 5 лет" xfId="712"/>
    <cellStyle name="_Final_Book_010301_Nsi_139 1_Растениеводство форма( АГМ)" xfId="713"/>
    <cellStyle name="_Final_Book_010301_Nsi_139 1_Свод по Агрохоолдингу  (в т.ч КБН  )" xfId="714"/>
    <cellStyle name="_Final_Book_010301_Nsi_139 1_Форма по растениеводству (Акционеры) ИЛЧ" xfId="715"/>
    <cellStyle name="_Final_Book_010301_Nsi_139 1_раст.-факт" xfId="716"/>
    <cellStyle name="_Final_Book_010301_Nsi_139 2" xfId="717"/>
    <cellStyle name="_Final_Book_010301_Nsi_139 2_Копия Растениеводство форма(Акционеры)" xfId="718"/>
    <cellStyle name="_Final_Book_010301_Nsi_139 2_М( ЗАР)" xfId="719"/>
    <cellStyle name="_Final_Book_010301_Nsi_139 2_Модель АгроГард на 5 лет" xfId="720"/>
    <cellStyle name="_Final_Book_010301_Nsi_139 2_Растениеводство форма( АГМ)" xfId="721"/>
    <cellStyle name="_Final_Book_010301_Nsi_139 2_Свод по Агрохоолдингу  (в т.ч КБН  )" xfId="722"/>
    <cellStyle name="_Final_Book_010301_Nsi_139 2_Форма по растениеводству (Акционеры) ИЛЧ" xfId="723"/>
    <cellStyle name="_Final_Book_010301_Nsi_139 2_раст.-факт" xfId="724"/>
    <cellStyle name="_Final_Book_010301_Nsi_139 3" xfId="725"/>
    <cellStyle name="_Final_Book_010301_Nsi_139 3_Копия Растениеводство форма(Акционеры)" xfId="726"/>
    <cellStyle name="_Final_Book_010301_Nsi_139 3_М( ЗАР)" xfId="727"/>
    <cellStyle name="_Final_Book_010301_Nsi_139 3_Модель АгроГард на 5 лет" xfId="728"/>
    <cellStyle name="_Final_Book_010301_Nsi_139 3_Растениеводство форма( АГМ)" xfId="729"/>
    <cellStyle name="_Final_Book_010301_Nsi_139 3_Свод по Агрохоолдингу  (в т.ч КБН  )" xfId="730"/>
    <cellStyle name="_Final_Book_010301_Nsi_139 3_Форма по растениеводству (Акционеры) ИЛЧ" xfId="731"/>
    <cellStyle name="_Final_Book_010301_Nsi_139 3_раст.-факт" xfId="732"/>
    <cellStyle name="_Final_Book_010301_Nsi_139_АГМ" xfId="733"/>
    <cellStyle name="_Final_Book_010301_Nsi_139_Копия Растениеводство форма(Акционеры)" xfId="734"/>
    <cellStyle name="_Final_Book_010301_Nsi_139_М( ЗАР)" xfId="735"/>
    <cellStyle name="_Final_Book_010301_Nsi_139_Модель АгроГард на 5 лет" xfId="736"/>
    <cellStyle name="_Final_Book_010301_Nsi_139_НИК-09" xfId="737"/>
    <cellStyle name="_Final_Book_010301_Nsi_139_Растениеводство форма( АГМ)" xfId="738"/>
    <cellStyle name="_Final_Book_010301_Nsi_139_Свод по Агрохоолдингу  (в т.ч КБН  )" xfId="739"/>
    <cellStyle name="_Final_Book_010301_Nsi_139_ТК-2011 АГМ+транспорт" xfId="740"/>
    <cellStyle name="_Final_Book_010301_Nsi_139_Форма по растениеводству (Акционеры) ИЛЧ" xfId="741"/>
    <cellStyle name="_Final_Book_010301_Nsi_139_раст.-факт" xfId="742"/>
    <cellStyle name="_Final_Book_010301_Nsi_140" xfId="743"/>
    <cellStyle name="_Final_Book_010301_Nsi_140 1" xfId="744"/>
    <cellStyle name="_Final_Book_010301_Nsi_140 1_Копия Растениеводство форма(Акционеры)" xfId="745"/>
    <cellStyle name="_Final_Book_010301_Nsi_140 1_М( ЗАР)" xfId="746"/>
    <cellStyle name="_Final_Book_010301_Nsi_140 1_Модель АгроГард на 5 лет" xfId="747"/>
    <cellStyle name="_Final_Book_010301_Nsi_140 1_Растениеводство форма( АГМ)" xfId="748"/>
    <cellStyle name="_Final_Book_010301_Nsi_140 1_Свод по Агрохоолдингу  (в т.ч КБН  )" xfId="749"/>
    <cellStyle name="_Final_Book_010301_Nsi_140 1_Форма по растениеводству (Акционеры) ИЛЧ" xfId="750"/>
    <cellStyle name="_Final_Book_010301_Nsi_140 1_раст.-факт" xfId="751"/>
    <cellStyle name="_Final_Book_010301_Nsi_140 2" xfId="752"/>
    <cellStyle name="_Final_Book_010301_Nsi_140 2_Копия Растениеводство форма(Акционеры)" xfId="753"/>
    <cellStyle name="_Final_Book_010301_Nsi_140 2_М( ЗАР)" xfId="754"/>
    <cellStyle name="_Final_Book_010301_Nsi_140 2_Модель АгроГард на 5 лет" xfId="755"/>
    <cellStyle name="_Final_Book_010301_Nsi_140 2_Растениеводство форма( АГМ)" xfId="756"/>
    <cellStyle name="_Final_Book_010301_Nsi_140 2_Свод по Агрохоолдингу  (в т.ч КБН  )" xfId="757"/>
    <cellStyle name="_Final_Book_010301_Nsi_140 2_Форма по растениеводству (Акционеры) ИЛЧ" xfId="758"/>
    <cellStyle name="_Final_Book_010301_Nsi_140 2_раст.-факт" xfId="759"/>
    <cellStyle name="_Final_Book_010301_Nsi_140 3" xfId="760"/>
    <cellStyle name="_Final_Book_010301_Nsi_140 3_Копия Растениеводство форма(Акционеры)" xfId="761"/>
    <cellStyle name="_Final_Book_010301_Nsi_140 3_М( ЗАР)" xfId="762"/>
    <cellStyle name="_Final_Book_010301_Nsi_140 3_Модель АгроГард на 5 лет" xfId="763"/>
    <cellStyle name="_Final_Book_010301_Nsi_140 3_Растениеводство форма( АГМ)" xfId="764"/>
    <cellStyle name="_Final_Book_010301_Nsi_140 3_Свод по Агрохоолдингу  (в т.ч КБН  )" xfId="765"/>
    <cellStyle name="_Final_Book_010301_Nsi_140 3_Форма по растениеводству (Акционеры) ИЛЧ" xfId="766"/>
    <cellStyle name="_Final_Book_010301_Nsi_140 3_раст.-факт" xfId="767"/>
    <cellStyle name="_Final_Book_010301_Nsi_140(Зах)" xfId="768"/>
    <cellStyle name="_Final_Book_010301_Nsi_140(Зах) 1" xfId="769"/>
    <cellStyle name="_Final_Book_010301_Nsi_140(Зах) 1_Копия Растениеводство форма(Акционеры)" xfId="770"/>
    <cellStyle name="_Final_Book_010301_Nsi_140(Зах) 1_М( ЗАР)" xfId="771"/>
    <cellStyle name="_Final_Book_010301_Nsi_140(Зах) 1_Модель АгроГард на 5 лет" xfId="772"/>
    <cellStyle name="_Final_Book_010301_Nsi_140(Зах) 1_Растениеводство форма( АГМ)" xfId="773"/>
    <cellStyle name="_Final_Book_010301_Nsi_140(Зах) 1_Свод по Агрохоолдингу  (в т.ч КБН  )" xfId="774"/>
    <cellStyle name="_Final_Book_010301_Nsi_140(Зах) 1_Форма по растениеводству (Акционеры) ИЛЧ" xfId="775"/>
    <cellStyle name="_Final_Book_010301_Nsi_140(Зах) 1_раст.-факт" xfId="776"/>
    <cellStyle name="_Final_Book_010301_Nsi_140(Зах) 2" xfId="777"/>
    <cellStyle name="_Final_Book_010301_Nsi_140(Зах) 2_Копия Растениеводство форма(Акционеры)" xfId="778"/>
    <cellStyle name="_Final_Book_010301_Nsi_140(Зах) 2_М( ЗАР)" xfId="779"/>
    <cellStyle name="_Final_Book_010301_Nsi_140(Зах) 2_Модель АгроГард на 5 лет" xfId="780"/>
    <cellStyle name="_Final_Book_010301_Nsi_140(Зах) 2_Растениеводство форма( АГМ)" xfId="781"/>
    <cellStyle name="_Final_Book_010301_Nsi_140(Зах) 2_Свод по Агрохоолдингу  (в т.ч КБН  )" xfId="782"/>
    <cellStyle name="_Final_Book_010301_Nsi_140(Зах) 2_Форма по растениеводству (Акционеры) ИЛЧ" xfId="783"/>
    <cellStyle name="_Final_Book_010301_Nsi_140(Зах) 2_раст.-факт" xfId="784"/>
    <cellStyle name="_Final_Book_010301_Nsi_140(Зах) 3" xfId="785"/>
    <cellStyle name="_Final_Book_010301_Nsi_140(Зах) 3_Копия Растениеводство форма(Акционеры)" xfId="786"/>
    <cellStyle name="_Final_Book_010301_Nsi_140(Зах) 3_М( ЗАР)" xfId="787"/>
    <cellStyle name="_Final_Book_010301_Nsi_140(Зах) 3_Модель АгроГард на 5 лет" xfId="788"/>
    <cellStyle name="_Final_Book_010301_Nsi_140(Зах) 3_Растениеводство форма( АГМ)" xfId="789"/>
    <cellStyle name="_Final_Book_010301_Nsi_140(Зах) 3_Свод по Агрохоолдингу  (в т.ч КБН  )" xfId="790"/>
    <cellStyle name="_Final_Book_010301_Nsi_140(Зах) 3_Форма по растениеводству (Акционеры) ИЛЧ" xfId="791"/>
    <cellStyle name="_Final_Book_010301_Nsi_140(Зах) 3_раст.-факт" xfId="792"/>
    <cellStyle name="_Final_Book_010301_Nsi_140(Зах)_АГМ" xfId="793"/>
    <cellStyle name="_Final_Book_010301_Nsi_140(Зах)_Копия Растениеводство форма(Акционеры)" xfId="794"/>
    <cellStyle name="_Final_Book_010301_Nsi_140(Зах)_М( ЗАР)" xfId="795"/>
    <cellStyle name="_Final_Book_010301_Nsi_140(Зах)_Модель АгроГард на 5 лет" xfId="796"/>
    <cellStyle name="_Final_Book_010301_Nsi_140(Зах)_НИК-09" xfId="797"/>
    <cellStyle name="_Final_Book_010301_Nsi_140(Зах)_Растениеводство форма( АГМ)" xfId="798"/>
    <cellStyle name="_Final_Book_010301_Nsi_140(Зах)_Свод по Агрохоолдингу  (в т.ч КБН  )" xfId="799"/>
    <cellStyle name="_Final_Book_010301_Nsi_140(Зах)_ТК-2011 АГМ+транспорт" xfId="800"/>
    <cellStyle name="_Final_Book_010301_Nsi_140(Зах)_Форма по растениеводству (Акционеры) ИЛЧ" xfId="801"/>
    <cellStyle name="_Final_Book_010301_Nsi_140(Зах)_раст.-факт" xfId="802"/>
    <cellStyle name="_Final_Book_010301_Nsi_140_mod" xfId="803"/>
    <cellStyle name="_Final_Book_010301_Nsi_140_mod 1" xfId="804"/>
    <cellStyle name="_Final_Book_010301_Nsi_140_mod 1_Копия Растениеводство форма(Акционеры)" xfId="805"/>
    <cellStyle name="_Final_Book_010301_Nsi_140_mod 1_М( ЗАР)" xfId="806"/>
    <cellStyle name="_Final_Book_010301_Nsi_140_mod 1_Модель АгроГард на 5 лет" xfId="807"/>
    <cellStyle name="_Final_Book_010301_Nsi_140_mod 1_Растениеводство форма( АГМ)" xfId="808"/>
    <cellStyle name="_Final_Book_010301_Nsi_140_mod 1_Свод по Агрохоолдингу  (в т.ч КБН  )" xfId="809"/>
    <cellStyle name="_Final_Book_010301_Nsi_140_mod 1_Форма по растениеводству (Акционеры) ИЛЧ" xfId="810"/>
    <cellStyle name="_Final_Book_010301_Nsi_140_mod 1_раст.-факт" xfId="811"/>
    <cellStyle name="_Final_Book_010301_Nsi_140_mod 2" xfId="812"/>
    <cellStyle name="_Final_Book_010301_Nsi_140_mod 2_Копия Растениеводство форма(Акционеры)" xfId="813"/>
    <cellStyle name="_Final_Book_010301_Nsi_140_mod 2_М( ЗАР)" xfId="814"/>
    <cellStyle name="_Final_Book_010301_Nsi_140_mod 2_Модель АгроГард на 5 лет" xfId="815"/>
    <cellStyle name="_Final_Book_010301_Nsi_140_mod 2_Растениеводство форма( АГМ)" xfId="816"/>
    <cellStyle name="_Final_Book_010301_Nsi_140_mod 2_Свод по Агрохоолдингу  (в т.ч КБН  )" xfId="817"/>
    <cellStyle name="_Final_Book_010301_Nsi_140_mod 2_Форма по растениеводству (Акционеры) ИЛЧ" xfId="818"/>
    <cellStyle name="_Final_Book_010301_Nsi_140_mod 2_раст.-факт" xfId="819"/>
    <cellStyle name="_Final_Book_010301_Nsi_140_mod 3" xfId="820"/>
    <cellStyle name="_Final_Book_010301_Nsi_140_mod 3_Копия Растениеводство форма(Акционеры)" xfId="821"/>
    <cellStyle name="_Final_Book_010301_Nsi_140_mod 3_М( ЗАР)" xfId="822"/>
    <cellStyle name="_Final_Book_010301_Nsi_140_mod 3_Модель АгроГард на 5 лет" xfId="823"/>
    <cellStyle name="_Final_Book_010301_Nsi_140_mod 3_Растениеводство форма( АГМ)" xfId="824"/>
    <cellStyle name="_Final_Book_010301_Nsi_140_mod 3_Свод по Агрохоолдингу  (в т.ч КБН  )" xfId="825"/>
    <cellStyle name="_Final_Book_010301_Nsi_140_mod 3_Форма по растениеводству (Акционеры) ИЛЧ" xfId="826"/>
    <cellStyle name="_Final_Book_010301_Nsi_140_mod 3_раст.-факт" xfId="827"/>
    <cellStyle name="_Final_Book_010301_Nsi_140_mod_АГМ" xfId="828"/>
    <cellStyle name="_Final_Book_010301_Nsi_140_mod_Копия Растениеводство форма(Акционеры)" xfId="829"/>
    <cellStyle name="_Final_Book_010301_Nsi_140_mod_М( ЗАР)" xfId="830"/>
    <cellStyle name="_Final_Book_010301_Nsi_140_mod_Модель АгроГард на 5 лет" xfId="831"/>
    <cellStyle name="_Final_Book_010301_Nsi_140_mod_НИК-09" xfId="832"/>
    <cellStyle name="_Final_Book_010301_Nsi_140_mod_Растениеводство форма( АГМ)" xfId="833"/>
    <cellStyle name="_Final_Book_010301_Nsi_140_mod_Свод по Агрохоолдингу  (в т.ч КБН  )" xfId="834"/>
    <cellStyle name="_Final_Book_010301_Nsi_140_mod_ТК-2011 АГМ+транспорт" xfId="835"/>
    <cellStyle name="_Final_Book_010301_Nsi_140_mod_Форма по растениеводству (Акционеры) ИЛЧ" xfId="836"/>
    <cellStyle name="_Final_Book_010301_Nsi_140_mod_раст.-факт" xfId="837"/>
    <cellStyle name="_Final_Book_010301_Nsi_140_АГМ" xfId="838"/>
    <cellStyle name="_Final_Book_010301_Nsi_140_Копия Растениеводство форма(Акционеры)" xfId="839"/>
    <cellStyle name="_Final_Book_010301_Nsi_140_М( ЗАР)" xfId="840"/>
    <cellStyle name="_Final_Book_010301_Nsi_140_Модель АгроГард на 5 лет" xfId="841"/>
    <cellStyle name="_Final_Book_010301_Nsi_140_НИК-09" xfId="842"/>
    <cellStyle name="_Final_Book_010301_Nsi_140_Растениеводство форма( АГМ)" xfId="843"/>
    <cellStyle name="_Final_Book_010301_Nsi_140_Свод по Агрохоолдингу  (в т.ч КБН  )" xfId="844"/>
    <cellStyle name="_Final_Book_010301_Nsi_140_ТК-2011 АГМ+транспорт" xfId="845"/>
    <cellStyle name="_Final_Book_010301_Nsi_140_Форма по растениеводству (Акционеры) ИЛЧ" xfId="846"/>
    <cellStyle name="_Final_Book_010301_Nsi_140_раст.-факт" xfId="847"/>
    <cellStyle name="_Final_Book_010301_Nsi_1_АГМ" xfId="848"/>
    <cellStyle name="_Final_Book_010301_Nsi_1_Копия Растениеводство форма(Акционеры)" xfId="849"/>
    <cellStyle name="_Final_Book_010301_Nsi_1_М( ЗАР)" xfId="850"/>
    <cellStyle name="_Final_Book_010301_Nsi_1_Модель АгроГард на 5 лет" xfId="851"/>
    <cellStyle name="_Final_Book_010301_Nsi_1_НИК-09" xfId="852"/>
    <cellStyle name="_Final_Book_010301_Nsi_1_Растениеводство форма( АГМ)" xfId="853"/>
    <cellStyle name="_Final_Book_010301_Nsi_1_Свод по Агрохоолдингу  (в т.ч КБН  )" xfId="854"/>
    <cellStyle name="_Final_Book_010301_Nsi_1_ТК-2011 АГМ+транспорт" xfId="855"/>
    <cellStyle name="_Final_Book_010301_Nsi_1_Форма по растениеводству (Акционеры) ИЛЧ" xfId="856"/>
    <cellStyle name="_Final_Book_010301_Nsi_1_раст.-факт" xfId="857"/>
    <cellStyle name="_Final_Book_010301_Nsi_АГМ" xfId="858"/>
    <cellStyle name="_Final_Book_010301_Nsi_Копия Растениеводство форма(Акционеры)" xfId="859"/>
    <cellStyle name="_Final_Book_010301_Nsi_М( ЗАР)" xfId="860"/>
    <cellStyle name="_Final_Book_010301_Nsi_Модель АгроГард на 5 лет" xfId="861"/>
    <cellStyle name="_Final_Book_010301_Nsi_НИК-09" xfId="862"/>
    <cellStyle name="_Final_Book_010301_Nsi_Растениеводство форма( АГМ)" xfId="863"/>
    <cellStyle name="_Final_Book_010301_Nsi_Свод по Агрохоолдингу  (в т.ч КБН  )" xfId="864"/>
    <cellStyle name="_Final_Book_010301_Nsi_ТК-2011 АГМ+транспорт" xfId="865"/>
    <cellStyle name="_Final_Book_010301_Nsi_Форма по растениеводству (Акционеры) ИЛЧ" xfId="866"/>
    <cellStyle name="_Final_Book_010301_Nsi_раст.-факт" xfId="867"/>
    <cellStyle name="_Final_Book_010301_Summary" xfId="868"/>
    <cellStyle name="_Final_Book_010301_Summary 1" xfId="869"/>
    <cellStyle name="_Final_Book_010301_Summary 1_Копия Растениеводство форма(Акционеры)" xfId="870"/>
    <cellStyle name="_Final_Book_010301_Summary 1_М( ЗАР)" xfId="871"/>
    <cellStyle name="_Final_Book_010301_Summary 1_Модель АгроГард на 5 лет" xfId="872"/>
    <cellStyle name="_Final_Book_010301_Summary 1_Растениеводство форма( АГМ)" xfId="873"/>
    <cellStyle name="_Final_Book_010301_Summary 1_Свод по Агрохоолдингу  (в т.ч КБН  )" xfId="874"/>
    <cellStyle name="_Final_Book_010301_Summary 1_Форма по растениеводству (Акционеры) ИЛЧ" xfId="875"/>
    <cellStyle name="_Final_Book_010301_Summary 1_раст.-факт" xfId="876"/>
    <cellStyle name="_Final_Book_010301_Summary 2" xfId="877"/>
    <cellStyle name="_Final_Book_010301_Summary 2_Копия Растениеводство форма(Акционеры)" xfId="878"/>
    <cellStyle name="_Final_Book_010301_Summary 2_М( ЗАР)" xfId="879"/>
    <cellStyle name="_Final_Book_010301_Summary 2_Модель АгроГард на 5 лет" xfId="880"/>
    <cellStyle name="_Final_Book_010301_Summary 2_Растениеводство форма( АГМ)" xfId="881"/>
    <cellStyle name="_Final_Book_010301_Summary 2_Свод по Агрохоолдингу  (в т.ч КБН  )" xfId="882"/>
    <cellStyle name="_Final_Book_010301_Summary 2_Форма по растениеводству (Акционеры) ИЛЧ" xfId="883"/>
    <cellStyle name="_Final_Book_010301_Summary 2_раст.-факт" xfId="884"/>
    <cellStyle name="_Final_Book_010301_Summary 3" xfId="885"/>
    <cellStyle name="_Final_Book_010301_Summary 3_Копия Растениеводство форма(Акционеры)" xfId="886"/>
    <cellStyle name="_Final_Book_010301_Summary 3_М( ЗАР)" xfId="887"/>
    <cellStyle name="_Final_Book_010301_Summary 3_Модель АгроГард на 5 лет" xfId="888"/>
    <cellStyle name="_Final_Book_010301_Summary 3_Растениеводство форма( АГМ)" xfId="889"/>
    <cellStyle name="_Final_Book_010301_Summary 3_Свод по Агрохоолдингу  (в т.ч КБН  )" xfId="890"/>
    <cellStyle name="_Final_Book_010301_Summary 3_Форма по растениеводству (Акционеры) ИЛЧ" xfId="891"/>
    <cellStyle name="_Final_Book_010301_Summary 3_раст.-факт" xfId="892"/>
    <cellStyle name="_Final_Book_010301_Summary_АГМ" xfId="893"/>
    <cellStyle name="_Final_Book_010301_Summary_Копия Растениеводство форма(Акционеры)" xfId="894"/>
    <cellStyle name="_Final_Book_010301_Summary_М( ЗАР)" xfId="895"/>
    <cellStyle name="_Final_Book_010301_Summary_Модель АгроГард на 5 лет" xfId="896"/>
    <cellStyle name="_Final_Book_010301_Summary_НИК-09" xfId="897"/>
    <cellStyle name="_Final_Book_010301_Summary_Растениеводство форма( АГМ)" xfId="898"/>
    <cellStyle name="_Final_Book_010301_Summary_Свод по Агрохоолдингу  (в т.ч КБН  )" xfId="899"/>
    <cellStyle name="_Final_Book_010301_Summary_ТК-2011 АГМ+транспорт" xfId="900"/>
    <cellStyle name="_Final_Book_010301_Summary_Форма по растениеводству (Акционеры) ИЛЧ" xfId="901"/>
    <cellStyle name="_Final_Book_010301_Summary_раст.-факт" xfId="902"/>
    <cellStyle name="_Final_Book_010301_Tax_form_1кв_3" xfId="903"/>
    <cellStyle name="_Final_Book_010301_Tax_form_1кв_3 1" xfId="904"/>
    <cellStyle name="_Final_Book_010301_Tax_form_1кв_3 1_Копия Растениеводство форма(Акционеры)" xfId="905"/>
    <cellStyle name="_Final_Book_010301_Tax_form_1кв_3 1_М( ЗАР)" xfId="906"/>
    <cellStyle name="_Final_Book_010301_Tax_form_1кв_3 1_Модель АгроГард на 5 лет" xfId="907"/>
    <cellStyle name="_Final_Book_010301_Tax_form_1кв_3 1_Растениеводство форма( АГМ)" xfId="908"/>
    <cellStyle name="_Final_Book_010301_Tax_form_1кв_3 1_Свод по Агрохоолдингу  (в т.ч КБН  )" xfId="909"/>
    <cellStyle name="_Final_Book_010301_Tax_form_1кв_3 1_Форма по растениеводству (Акционеры) ИЛЧ" xfId="910"/>
    <cellStyle name="_Final_Book_010301_Tax_form_1кв_3 1_раст.-факт" xfId="911"/>
    <cellStyle name="_Final_Book_010301_Tax_form_1кв_3 2" xfId="912"/>
    <cellStyle name="_Final_Book_010301_Tax_form_1кв_3 2_Копия Растениеводство форма(Акционеры)" xfId="913"/>
    <cellStyle name="_Final_Book_010301_Tax_form_1кв_3 2_М( ЗАР)" xfId="914"/>
    <cellStyle name="_Final_Book_010301_Tax_form_1кв_3 2_Модель АгроГард на 5 лет" xfId="915"/>
    <cellStyle name="_Final_Book_010301_Tax_form_1кв_3 2_Растениеводство форма( АГМ)" xfId="916"/>
    <cellStyle name="_Final_Book_010301_Tax_form_1кв_3 2_Свод по Агрохоолдингу  (в т.ч КБН  )" xfId="917"/>
    <cellStyle name="_Final_Book_010301_Tax_form_1кв_3 2_Форма по растениеводству (Акционеры) ИЛЧ" xfId="918"/>
    <cellStyle name="_Final_Book_010301_Tax_form_1кв_3 2_раст.-факт" xfId="919"/>
    <cellStyle name="_Final_Book_010301_Tax_form_1кв_3 3" xfId="920"/>
    <cellStyle name="_Final_Book_010301_Tax_form_1кв_3 3_Копия Растениеводство форма(Акционеры)" xfId="921"/>
    <cellStyle name="_Final_Book_010301_Tax_form_1кв_3 3_М( ЗАР)" xfId="922"/>
    <cellStyle name="_Final_Book_010301_Tax_form_1кв_3 3_Модель АгроГард на 5 лет" xfId="923"/>
    <cellStyle name="_Final_Book_010301_Tax_form_1кв_3 3_Растениеводство форма( АГМ)" xfId="924"/>
    <cellStyle name="_Final_Book_010301_Tax_form_1кв_3 3_Свод по Агрохоолдингу  (в т.ч КБН  )" xfId="925"/>
    <cellStyle name="_Final_Book_010301_Tax_form_1кв_3 3_Форма по растениеводству (Акционеры) ИЛЧ" xfId="926"/>
    <cellStyle name="_Final_Book_010301_Tax_form_1кв_3 3_раст.-факт" xfId="927"/>
    <cellStyle name="_Final_Book_010301_Tax_form_1кв_3_АГМ" xfId="928"/>
    <cellStyle name="_Final_Book_010301_Tax_form_1кв_3_Копия Растениеводство форма(Акционеры)" xfId="929"/>
    <cellStyle name="_Final_Book_010301_Tax_form_1кв_3_М( ЗАР)" xfId="930"/>
    <cellStyle name="_Final_Book_010301_Tax_form_1кв_3_Модель АгроГард на 5 лет" xfId="931"/>
    <cellStyle name="_Final_Book_010301_Tax_form_1кв_3_НИК-09" xfId="932"/>
    <cellStyle name="_Final_Book_010301_Tax_form_1кв_3_Растениеводство форма( АГМ)" xfId="933"/>
    <cellStyle name="_Final_Book_010301_Tax_form_1кв_3_Свод по Агрохоолдингу  (в т.ч КБН  )" xfId="934"/>
    <cellStyle name="_Final_Book_010301_Tax_form_1кв_3_ТК-2011 АГМ+транспорт" xfId="935"/>
    <cellStyle name="_Final_Book_010301_Tax_form_1кв_3_Форма по растениеводству (Акционеры) ИЛЧ" xfId="936"/>
    <cellStyle name="_Final_Book_010301_Tax_form_1кв_3_раст.-факт" xfId="937"/>
    <cellStyle name="_Final_Book_010301_АГМ" xfId="938"/>
    <cellStyle name="_Final_Book_010301_БКЭ" xfId="939"/>
    <cellStyle name="_Final_Book_010301_БКЭ 1" xfId="940"/>
    <cellStyle name="_Final_Book_010301_БКЭ 1_Копия Растениеводство форма(Акционеры)" xfId="941"/>
    <cellStyle name="_Final_Book_010301_БКЭ 1_М( ЗАР)" xfId="942"/>
    <cellStyle name="_Final_Book_010301_БКЭ 1_Модель АгроГард на 5 лет" xfId="943"/>
    <cellStyle name="_Final_Book_010301_БКЭ 1_Растениеводство форма( АГМ)" xfId="944"/>
    <cellStyle name="_Final_Book_010301_БКЭ 1_Свод по Агрохоолдингу  (в т.ч КБН  )" xfId="945"/>
    <cellStyle name="_Final_Book_010301_БКЭ 1_Форма по растениеводству (Акционеры) ИЛЧ" xfId="946"/>
    <cellStyle name="_Final_Book_010301_БКЭ 1_раст.-факт" xfId="947"/>
    <cellStyle name="_Final_Book_010301_БКЭ 2" xfId="948"/>
    <cellStyle name="_Final_Book_010301_БКЭ 2_Копия Растениеводство форма(Акционеры)" xfId="949"/>
    <cellStyle name="_Final_Book_010301_БКЭ 2_М( ЗАР)" xfId="950"/>
    <cellStyle name="_Final_Book_010301_БКЭ 2_Модель АгроГард на 5 лет" xfId="951"/>
    <cellStyle name="_Final_Book_010301_БКЭ 2_Растениеводство форма( АГМ)" xfId="952"/>
    <cellStyle name="_Final_Book_010301_БКЭ 2_Свод по Агрохоолдингу  (в т.ч КБН  )" xfId="953"/>
    <cellStyle name="_Final_Book_010301_БКЭ 2_Форма по растениеводству (Акционеры) ИЛЧ" xfId="954"/>
    <cellStyle name="_Final_Book_010301_БКЭ 2_раст.-факт" xfId="955"/>
    <cellStyle name="_Final_Book_010301_БКЭ 3" xfId="956"/>
    <cellStyle name="_Final_Book_010301_БКЭ 3_Копия Растениеводство форма(Акционеры)" xfId="957"/>
    <cellStyle name="_Final_Book_010301_БКЭ 3_М( ЗАР)" xfId="958"/>
    <cellStyle name="_Final_Book_010301_БКЭ 3_Модель АгроГард на 5 лет" xfId="959"/>
    <cellStyle name="_Final_Book_010301_БКЭ 3_Растениеводство форма( АГМ)" xfId="960"/>
    <cellStyle name="_Final_Book_010301_БКЭ 3_Свод по Агрохоолдингу  (в т.ч КБН  )" xfId="961"/>
    <cellStyle name="_Final_Book_010301_БКЭ 3_Форма по растениеводству (Акционеры) ИЛЧ" xfId="962"/>
    <cellStyle name="_Final_Book_010301_БКЭ 3_раст.-факт" xfId="963"/>
    <cellStyle name="_Final_Book_010301_БКЭ_АГМ" xfId="964"/>
    <cellStyle name="_Final_Book_010301_БКЭ_Копия Растениеводство форма(Акционеры)" xfId="965"/>
    <cellStyle name="_Final_Book_010301_БКЭ_М( ЗАР)" xfId="966"/>
    <cellStyle name="_Final_Book_010301_БКЭ_Модель АгроГард на 5 лет" xfId="967"/>
    <cellStyle name="_Final_Book_010301_БКЭ_НИК-09" xfId="968"/>
    <cellStyle name="_Final_Book_010301_БКЭ_Растениеводство форма( АГМ)" xfId="969"/>
    <cellStyle name="_Final_Book_010301_БКЭ_Свод по Агрохоолдингу  (в т.ч КБН  )" xfId="970"/>
    <cellStyle name="_Final_Book_010301_БКЭ_ТК-2011 АГМ+транспорт" xfId="971"/>
    <cellStyle name="_Final_Book_010301_БКЭ_Форма по растениеводству (Акционеры) ИЛЧ" xfId="972"/>
    <cellStyle name="_Final_Book_010301_БКЭ_раст.-факт" xfId="973"/>
    <cellStyle name="_Final_Book_010301_Копия Растениеводство форма(Акционеры)" xfId="974"/>
    <cellStyle name="_Final_Book_010301_М( ЗАР)" xfId="975"/>
    <cellStyle name="_Final_Book_010301_Модель АгроГард на 5 лет" xfId="976"/>
    <cellStyle name="_Final_Book_010301_НИК-09" xfId="977"/>
    <cellStyle name="_Final_Book_010301_Растениеводство форма( АГМ)" xfId="978"/>
    <cellStyle name="_Final_Book_010301_Свод по Агрохоолдингу  (в т.ч КБН  )" xfId="979"/>
    <cellStyle name="_Final_Book_010301_ТК-2011 АГМ+транспорт" xfId="980"/>
    <cellStyle name="_Final_Book_010301_Форма по растениеводству (Акционеры) ИЛЧ" xfId="981"/>
    <cellStyle name="_Final_Book_010301_раст.-факт" xfId="982"/>
    <cellStyle name="_New_Sofi" xfId="983"/>
    <cellStyle name="_New_Sofi 1" xfId="984"/>
    <cellStyle name="_New_Sofi 1_Копия Растениеводство форма(Акционеры)" xfId="985"/>
    <cellStyle name="_New_Sofi 1_М( ЗАР)" xfId="986"/>
    <cellStyle name="_New_Sofi 1_Модель АгроГард на 5 лет" xfId="987"/>
    <cellStyle name="_New_Sofi 1_Растениеводство форма( АГМ)" xfId="988"/>
    <cellStyle name="_New_Sofi 1_Свод по Агрохоолдингу  (в т.ч КБН  )" xfId="989"/>
    <cellStyle name="_New_Sofi 1_Форма по растениеводству (Акционеры) ИЛЧ" xfId="990"/>
    <cellStyle name="_New_Sofi 1_раст.-факт" xfId="991"/>
    <cellStyle name="_New_Sofi 2" xfId="992"/>
    <cellStyle name="_New_Sofi 2_Копия Растениеводство форма(Акционеры)" xfId="993"/>
    <cellStyle name="_New_Sofi 2_М( ЗАР)" xfId="994"/>
    <cellStyle name="_New_Sofi 2_Модель АгроГард на 5 лет" xfId="995"/>
    <cellStyle name="_New_Sofi 2_Растениеводство форма( АГМ)" xfId="996"/>
    <cellStyle name="_New_Sofi 2_Свод по Агрохоолдингу  (в т.ч КБН  )" xfId="997"/>
    <cellStyle name="_New_Sofi 2_Форма по растениеводству (Акционеры) ИЛЧ" xfId="998"/>
    <cellStyle name="_New_Sofi 2_раст.-факт" xfId="999"/>
    <cellStyle name="_New_Sofi 3" xfId="1000"/>
    <cellStyle name="_New_Sofi 3_Копия Растениеводство форма(Акционеры)" xfId="1001"/>
    <cellStyle name="_New_Sofi 3_М( ЗАР)" xfId="1002"/>
    <cellStyle name="_New_Sofi 3_Модель АгроГард на 5 лет" xfId="1003"/>
    <cellStyle name="_New_Sofi 3_Растениеводство форма( АГМ)" xfId="1004"/>
    <cellStyle name="_New_Sofi 3_Свод по Агрохоолдингу  (в т.ч КБН  )" xfId="1005"/>
    <cellStyle name="_New_Sofi 3_Форма по растениеводству (Акционеры) ИЛЧ" xfId="1006"/>
    <cellStyle name="_New_Sofi 3_раст.-факт" xfId="1007"/>
    <cellStyle name="_New_Sofi_FFF" xfId="1008"/>
    <cellStyle name="_New_Sofi_FFF 1" xfId="1009"/>
    <cellStyle name="_New_Sofi_FFF 1_Копия Растениеводство форма(Акционеры)" xfId="1010"/>
    <cellStyle name="_New_Sofi_FFF 1_М( ЗАР)" xfId="1011"/>
    <cellStyle name="_New_Sofi_FFF 1_Модель АгроГард на 5 лет" xfId="1012"/>
    <cellStyle name="_New_Sofi_FFF 1_Растениеводство форма( АГМ)" xfId="1013"/>
    <cellStyle name="_New_Sofi_FFF 1_Свод по Агрохоолдингу  (в т.ч КБН  )" xfId="1014"/>
    <cellStyle name="_New_Sofi_FFF 1_Форма по растениеводству (Акционеры) ИЛЧ" xfId="1015"/>
    <cellStyle name="_New_Sofi_FFF 1_раст.-факт" xfId="1016"/>
    <cellStyle name="_New_Sofi_FFF 2" xfId="1017"/>
    <cellStyle name="_New_Sofi_FFF 2_Копия Растениеводство форма(Акционеры)" xfId="1018"/>
    <cellStyle name="_New_Sofi_FFF 2_М( ЗАР)" xfId="1019"/>
    <cellStyle name="_New_Sofi_FFF 2_Модель АгроГард на 5 лет" xfId="1020"/>
    <cellStyle name="_New_Sofi_FFF 2_Растениеводство форма( АГМ)" xfId="1021"/>
    <cellStyle name="_New_Sofi_FFF 2_Свод по Агрохоолдингу  (в т.ч КБН  )" xfId="1022"/>
    <cellStyle name="_New_Sofi_FFF 2_Форма по растениеводству (Акционеры) ИЛЧ" xfId="1023"/>
    <cellStyle name="_New_Sofi_FFF 2_раст.-факт" xfId="1024"/>
    <cellStyle name="_New_Sofi_FFF 3" xfId="1025"/>
    <cellStyle name="_New_Sofi_FFF 3_Копия Растениеводство форма(Акционеры)" xfId="1026"/>
    <cellStyle name="_New_Sofi_FFF 3_М( ЗАР)" xfId="1027"/>
    <cellStyle name="_New_Sofi_FFF 3_Модель АгроГард на 5 лет" xfId="1028"/>
    <cellStyle name="_New_Sofi_FFF 3_Растениеводство форма( АГМ)" xfId="1029"/>
    <cellStyle name="_New_Sofi_FFF 3_Свод по Агрохоолдингу  (в т.ч КБН  )" xfId="1030"/>
    <cellStyle name="_New_Sofi_FFF 3_Форма по растениеводству (Акционеры) ИЛЧ" xfId="1031"/>
    <cellStyle name="_New_Sofi_FFF 3_раст.-факт" xfId="1032"/>
    <cellStyle name="_New_Sofi_FFF_АГМ" xfId="1033"/>
    <cellStyle name="_New_Sofi_FFF_Копия Растениеводство форма(Акционеры)" xfId="1034"/>
    <cellStyle name="_New_Sofi_FFF_М( ЗАР)" xfId="1035"/>
    <cellStyle name="_New_Sofi_FFF_Модель АгроГард на 5 лет" xfId="1036"/>
    <cellStyle name="_New_Sofi_FFF_НИК-09" xfId="1037"/>
    <cellStyle name="_New_Sofi_FFF_Растениеводство форма( АГМ)" xfId="1038"/>
    <cellStyle name="_New_Sofi_FFF_Свод по Агрохоолдингу  (в т.ч КБН  )" xfId="1039"/>
    <cellStyle name="_New_Sofi_FFF_ТК-2011 АГМ+транспорт" xfId="1040"/>
    <cellStyle name="_New_Sofi_FFF_Форма по растениеводству (Акционеры) ИЛЧ" xfId="1041"/>
    <cellStyle name="_New_Sofi_FFF_раст.-факт" xfId="1042"/>
    <cellStyle name="_New_Sofi_New Form10_2" xfId="1043"/>
    <cellStyle name="_New_Sofi_New Form10_2 1" xfId="1044"/>
    <cellStyle name="_New_Sofi_New Form10_2 1_Копия Растениеводство форма(Акционеры)" xfId="1045"/>
    <cellStyle name="_New_Sofi_New Form10_2 1_М( ЗАР)" xfId="1046"/>
    <cellStyle name="_New_Sofi_New Form10_2 1_Модель АгроГард на 5 лет" xfId="1047"/>
    <cellStyle name="_New_Sofi_New Form10_2 1_Растениеводство форма( АГМ)" xfId="1048"/>
    <cellStyle name="_New_Sofi_New Form10_2 1_Свод по Агрохоолдингу  (в т.ч КБН  )" xfId="1049"/>
    <cellStyle name="_New_Sofi_New Form10_2 1_Форма по растениеводству (Акционеры) ИЛЧ" xfId="1050"/>
    <cellStyle name="_New_Sofi_New Form10_2 1_раст.-факт" xfId="1051"/>
    <cellStyle name="_New_Sofi_New Form10_2 2" xfId="1052"/>
    <cellStyle name="_New_Sofi_New Form10_2 2_Копия Растениеводство форма(Акционеры)" xfId="1053"/>
    <cellStyle name="_New_Sofi_New Form10_2 2_М( ЗАР)" xfId="1054"/>
    <cellStyle name="_New_Sofi_New Form10_2 2_Модель АгроГард на 5 лет" xfId="1055"/>
    <cellStyle name="_New_Sofi_New Form10_2 2_Растениеводство форма( АГМ)" xfId="1056"/>
    <cellStyle name="_New_Sofi_New Form10_2 2_Свод по Агрохоолдингу  (в т.ч КБН  )" xfId="1057"/>
    <cellStyle name="_New_Sofi_New Form10_2 2_Форма по растениеводству (Акционеры) ИЛЧ" xfId="1058"/>
    <cellStyle name="_New_Sofi_New Form10_2 2_раст.-факт" xfId="1059"/>
    <cellStyle name="_New_Sofi_New Form10_2 3" xfId="1060"/>
    <cellStyle name="_New_Sofi_New Form10_2 3_Копия Растениеводство форма(Акционеры)" xfId="1061"/>
    <cellStyle name="_New_Sofi_New Form10_2 3_М( ЗАР)" xfId="1062"/>
    <cellStyle name="_New_Sofi_New Form10_2 3_Модель АгроГард на 5 лет" xfId="1063"/>
    <cellStyle name="_New_Sofi_New Form10_2 3_Растениеводство форма( АГМ)" xfId="1064"/>
    <cellStyle name="_New_Sofi_New Form10_2 3_Свод по Агрохоолдингу  (в т.ч КБН  )" xfId="1065"/>
    <cellStyle name="_New_Sofi_New Form10_2 3_Форма по растениеводству (Акционеры) ИЛЧ" xfId="1066"/>
    <cellStyle name="_New_Sofi_New Form10_2 3_раст.-факт" xfId="1067"/>
    <cellStyle name="_New_Sofi_New Form10_2_АГМ" xfId="1068"/>
    <cellStyle name="_New_Sofi_New Form10_2_Копия Растениеводство форма(Акционеры)" xfId="1069"/>
    <cellStyle name="_New_Sofi_New Form10_2_М( ЗАР)" xfId="1070"/>
    <cellStyle name="_New_Sofi_New Form10_2_Модель АгроГард на 5 лет" xfId="1071"/>
    <cellStyle name="_New_Sofi_New Form10_2_НИК-09" xfId="1072"/>
    <cellStyle name="_New_Sofi_New Form10_2_Растениеводство форма( АГМ)" xfId="1073"/>
    <cellStyle name="_New_Sofi_New Form10_2_Свод по Агрохоолдингу  (в т.ч КБН  )" xfId="1074"/>
    <cellStyle name="_New_Sofi_New Form10_2_ТК-2011 АГМ+транспорт" xfId="1075"/>
    <cellStyle name="_New_Sofi_New Form10_2_Форма по растениеводству (Акционеры) ИЛЧ" xfId="1076"/>
    <cellStyle name="_New_Sofi_New Form10_2_раст.-факт" xfId="1077"/>
    <cellStyle name="_New_Sofi_Nsi" xfId="1078"/>
    <cellStyle name="_New_Sofi_Nsi 1" xfId="1079"/>
    <cellStyle name="_New_Sofi_Nsi 1_Копия Растениеводство форма(Акционеры)" xfId="1080"/>
    <cellStyle name="_New_Sofi_Nsi 1_М( ЗАР)" xfId="1081"/>
    <cellStyle name="_New_Sofi_Nsi 1_Модель АгроГард на 5 лет" xfId="1082"/>
    <cellStyle name="_New_Sofi_Nsi 1_Растениеводство форма( АГМ)" xfId="1083"/>
    <cellStyle name="_New_Sofi_Nsi 1_Свод по Агрохоолдингу  (в т.ч КБН  )" xfId="1084"/>
    <cellStyle name="_New_Sofi_Nsi 1_Форма по растениеводству (Акционеры) ИЛЧ" xfId="1085"/>
    <cellStyle name="_New_Sofi_Nsi 1_раст.-факт" xfId="1086"/>
    <cellStyle name="_New_Sofi_Nsi 2" xfId="1087"/>
    <cellStyle name="_New_Sofi_Nsi 2_Копия Растениеводство форма(Акционеры)" xfId="1088"/>
    <cellStyle name="_New_Sofi_Nsi 2_М( ЗАР)" xfId="1089"/>
    <cellStyle name="_New_Sofi_Nsi 2_Модель АгроГард на 5 лет" xfId="1090"/>
    <cellStyle name="_New_Sofi_Nsi 2_Растениеводство форма( АГМ)" xfId="1091"/>
    <cellStyle name="_New_Sofi_Nsi 2_Свод по Агрохоолдингу  (в т.ч КБН  )" xfId="1092"/>
    <cellStyle name="_New_Sofi_Nsi 2_Форма по растениеводству (Акционеры) ИЛЧ" xfId="1093"/>
    <cellStyle name="_New_Sofi_Nsi 2_раст.-факт" xfId="1094"/>
    <cellStyle name="_New_Sofi_Nsi 3" xfId="1095"/>
    <cellStyle name="_New_Sofi_Nsi 3_Копия Растениеводство форма(Акционеры)" xfId="1096"/>
    <cellStyle name="_New_Sofi_Nsi 3_М( ЗАР)" xfId="1097"/>
    <cellStyle name="_New_Sofi_Nsi 3_Модель АгроГард на 5 лет" xfId="1098"/>
    <cellStyle name="_New_Sofi_Nsi 3_Растениеводство форма( АГМ)" xfId="1099"/>
    <cellStyle name="_New_Sofi_Nsi 3_Свод по Агрохоолдингу  (в т.ч КБН  )" xfId="1100"/>
    <cellStyle name="_New_Sofi_Nsi 3_Форма по растениеводству (Акционеры) ИЛЧ" xfId="1101"/>
    <cellStyle name="_New_Sofi_Nsi 3_раст.-факт" xfId="1102"/>
    <cellStyle name="_New_Sofi_Nsi_1" xfId="1103"/>
    <cellStyle name="_New_Sofi_Nsi_1 1" xfId="1104"/>
    <cellStyle name="_New_Sofi_Nsi_1 1_Копия Растениеводство форма(Акционеры)" xfId="1105"/>
    <cellStyle name="_New_Sofi_Nsi_1 1_М( ЗАР)" xfId="1106"/>
    <cellStyle name="_New_Sofi_Nsi_1 1_Модель АгроГард на 5 лет" xfId="1107"/>
    <cellStyle name="_New_Sofi_Nsi_1 1_Растениеводство форма( АГМ)" xfId="1108"/>
    <cellStyle name="_New_Sofi_Nsi_1 1_Свод по Агрохоолдингу  (в т.ч КБН  )" xfId="1109"/>
    <cellStyle name="_New_Sofi_Nsi_1 1_Форма по растениеводству (Акционеры) ИЛЧ" xfId="1110"/>
    <cellStyle name="_New_Sofi_Nsi_1 1_раст.-факт" xfId="1111"/>
    <cellStyle name="_New_Sofi_Nsi_1 2" xfId="1112"/>
    <cellStyle name="_New_Sofi_Nsi_1 2_Копия Растениеводство форма(Акционеры)" xfId="1113"/>
    <cellStyle name="_New_Sofi_Nsi_1 2_М( ЗАР)" xfId="1114"/>
    <cellStyle name="_New_Sofi_Nsi_1 2_Модель АгроГард на 5 лет" xfId="1115"/>
    <cellStyle name="_New_Sofi_Nsi_1 2_Растениеводство форма( АГМ)" xfId="1116"/>
    <cellStyle name="_New_Sofi_Nsi_1 2_Свод по Агрохоолдингу  (в т.ч КБН  )" xfId="1117"/>
    <cellStyle name="_New_Sofi_Nsi_1 2_Форма по растениеводству (Акционеры) ИЛЧ" xfId="1118"/>
    <cellStyle name="_New_Sofi_Nsi_1 2_раст.-факт" xfId="1119"/>
    <cellStyle name="_New_Sofi_Nsi_1 3" xfId="1120"/>
    <cellStyle name="_New_Sofi_Nsi_1 3_Копия Растениеводство форма(Акционеры)" xfId="1121"/>
    <cellStyle name="_New_Sofi_Nsi_1 3_М( ЗАР)" xfId="1122"/>
    <cellStyle name="_New_Sofi_Nsi_1 3_Модель АгроГард на 5 лет" xfId="1123"/>
    <cellStyle name="_New_Sofi_Nsi_1 3_Растениеводство форма( АГМ)" xfId="1124"/>
    <cellStyle name="_New_Sofi_Nsi_1 3_Свод по Агрохоолдингу  (в т.ч КБН  )" xfId="1125"/>
    <cellStyle name="_New_Sofi_Nsi_1 3_Форма по растениеводству (Акционеры) ИЛЧ" xfId="1126"/>
    <cellStyle name="_New_Sofi_Nsi_1 3_раст.-факт" xfId="1127"/>
    <cellStyle name="_New_Sofi_Nsi_139" xfId="1128"/>
    <cellStyle name="_New_Sofi_Nsi_139 1" xfId="1129"/>
    <cellStyle name="_New_Sofi_Nsi_139 1_Копия Растениеводство форма(Акционеры)" xfId="1130"/>
    <cellStyle name="_New_Sofi_Nsi_139 1_М( ЗАР)" xfId="1131"/>
    <cellStyle name="_New_Sofi_Nsi_139 1_Модель АгроГард на 5 лет" xfId="1132"/>
    <cellStyle name="_New_Sofi_Nsi_139 1_Растениеводство форма( АГМ)" xfId="1133"/>
    <cellStyle name="_New_Sofi_Nsi_139 1_Свод по Агрохоолдингу  (в т.ч КБН  )" xfId="1134"/>
    <cellStyle name="_New_Sofi_Nsi_139 1_Форма по растениеводству (Акционеры) ИЛЧ" xfId="1135"/>
    <cellStyle name="_New_Sofi_Nsi_139 1_раст.-факт" xfId="1136"/>
    <cellStyle name="_New_Sofi_Nsi_139 2" xfId="1137"/>
    <cellStyle name="_New_Sofi_Nsi_139 2_Копия Растениеводство форма(Акционеры)" xfId="1138"/>
    <cellStyle name="_New_Sofi_Nsi_139 2_М( ЗАР)" xfId="1139"/>
    <cellStyle name="_New_Sofi_Nsi_139 2_Модель АгроГард на 5 лет" xfId="1140"/>
    <cellStyle name="_New_Sofi_Nsi_139 2_Растениеводство форма( АГМ)" xfId="1141"/>
    <cellStyle name="_New_Sofi_Nsi_139 2_Свод по Агрохоолдингу  (в т.ч КБН  )" xfId="1142"/>
    <cellStyle name="_New_Sofi_Nsi_139 2_Форма по растениеводству (Акционеры) ИЛЧ" xfId="1143"/>
    <cellStyle name="_New_Sofi_Nsi_139 2_раст.-факт" xfId="1144"/>
    <cellStyle name="_New_Sofi_Nsi_139 3" xfId="1145"/>
    <cellStyle name="_New_Sofi_Nsi_139 3_Копия Растениеводство форма(Акционеры)" xfId="1146"/>
    <cellStyle name="_New_Sofi_Nsi_139 3_М( ЗАР)" xfId="1147"/>
    <cellStyle name="_New_Sofi_Nsi_139 3_Модель АгроГард на 5 лет" xfId="1148"/>
    <cellStyle name="_New_Sofi_Nsi_139 3_Растениеводство форма( АГМ)" xfId="1149"/>
    <cellStyle name="_New_Sofi_Nsi_139 3_Свод по Агрохоолдингу  (в т.ч КБН  )" xfId="1150"/>
    <cellStyle name="_New_Sofi_Nsi_139 3_Форма по растениеводству (Акционеры) ИЛЧ" xfId="1151"/>
    <cellStyle name="_New_Sofi_Nsi_139 3_раст.-факт" xfId="1152"/>
    <cellStyle name="_New_Sofi_Nsi_139_АГМ" xfId="1153"/>
    <cellStyle name="_New_Sofi_Nsi_139_Копия Растениеводство форма(Акционеры)" xfId="1154"/>
    <cellStyle name="_New_Sofi_Nsi_139_М( ЗАР)" xfId="1155"/>
    <cellStyle name="_New_Sofi_Nsi_139_Модель АгроГард на 5 лет" xfId="1156"/>
    <cellStyle name="_New_Sofi_Nsi_139_НИК-09" xfId="1157"/>
    <cellStyle name="_New_Sofi_Nsi_139_Растениеводство форма( АГМ)" xfId="1158"/>
    <cellStyle name="_New_Sofi_Nsi_139_Свод по Агрохоолдингу  (в т.ч КБН  )" xfId="1159"/>
    <cellStyle name="_New_Sofi_Nsi_139_ТК-2011 АГМ+транспорт" xfId="1160"/>
    <cellStyle name="_New_Sofi_Nsi_139_Форма по растениеводству (Акционеры) ИЛЧ" xfId="1161"/>
    <cellStyle name="_New_Sofi_Nsi_139_раст.-факт" xfId="1162"/>
    <cellStyle name="_New_Sofi_Nsi_140" xfId="1163"/>
    <cellStyle name="_New_Sofi_Nsi_140 1" xfId="1164"/>
    <cellStyle name="_New_Sofi_Nsi_140 1_Копия Растениеводство форма(Акционеры)" xfId="1165"/>
    <cellStyle name="_New_Sofi_Nsi_140 1_М( ЗАР)" xfId="1166"/>
    <cellStyle name="_New_Sofi_Nsi_140 1_Модель АгроГард на 5 лет" xfId="1167"/>
    <cellStyle name="_New_Sofi_Nsi_140 1_Растениеводство форма( АГМ)" xfId="1168"/>
    <cellStyle name="_New_Sofi_Nsi_140 1_Свод по Агрохоолдингу  (в т.ч КБН  )" xfId="1169"/>
    <cellStyle name="_New_Sofi_Nsi_140 1_Форма по растениеводству (Акционеры) ИЛЧ" xfId="1170"/>
    <cellStyle name="_New_Sofi_Nsi_140 1_раст.-факт" xfId="1171"/>
    <cellStyle name="_New_Sofi_Nsi_140 2" xfId="1172"/>
    <cellStyle name="_New_Sofi_Nsi_140 2_Копия Растениеводство форма(Акционеры)" xfId="1173"/>
    <cellStyle name="_New_Sofi_Nsi_140 2_М( ЗАР)" xfId="1174"/>
    <cellStyle name="_New_Sofi_Nsi_140 2_Модель АгроГард на 5 лет" xfId="1175"/>
    <cellStyle name="_New_Sofi_Nsi_140 2_Растениеводство форма( АГМ)" xfId="1176"/>
    <cellStyle name="_New_Sofi_Nsi_140 2_Свод по Агрохоолдингу  (в т.ч КБН  )" xfId="1177"/>
    <cellStyle name="_New_Sofi_Nsi_140 2_Форма по растениеводству (Акционеры) ИЛЧ" xfId="1178"/>
    <cellStyle name="_New_Sofi_Nsi_140 2_раст.-факт" xfId="1179"/>
    <cellStyle name="_New_Sofi_Nsi_140 3" xfId="1180"/>
    <cellStyle name="_New_Sofi_Nsi_140 3_Копия Растениеводство форма(Акционеры)" xfId="1181"/>
    <cellStyle name="_New_Sofi_Nsi_140 3_М( ЗАР)" xfId="1182"/>
    <cellStyle name="_New_Sofi_Nsi_140 3_Модель АгроГард на 5 лет" xfId="1183"/>
    <cellStyle name="_New_Sofi_Nsi_140 3_Растениеводство форма( АГМ)" xfId="1184"/>
    <cellStyle name="_New_Sofi_Nsi_140 3_Свод по Агрохоолдингу  (в т.ч КБН  )" xfId="1185"/>
    <cellStyle name="_New_Sofi_Nsi_140 3_Форма по растениеводству (Акционеры) ИЛЧ" xfId="1186"/>
    <cellStyle name="_New_Sofi_Nsi_140 3_раст.-факт" xfId="1187"/>
    <cellStyle name="_New_Sofi_Nsi_140(Зах)" xfId="1188"/>
    <cellStyle name="_New_Sofi_Nsi_140(Зах) 1" xfId="1189"/>
    <cellStyle name="_New_Sofi_Nsi_140(Зах) 1_Копия Растениеводство форма(Акционеры)" xfId="1190"/>
    <cellStyle name="_New_Sofi_Nsi_140(Зах) 1_М( ЗАР)" xfId="1191"/>
    <cellStyle name="_New_Sofi_Nsi_140(Зах) 1_Модель АгроГард на 5 лет" xfId="1192"/>
    <cellStyle name="_New_Sofi_Nsi_140(Зах) 1_Растениеводство форма( АГМ)" xfId="1193"/>
    <cellStyle name="_New_Sofi_Nsi_140(Зах) 1_Свод по Агрохоолдингу  (в т.ч КБН  )" xfId="1194"/>
    <cellStyle name="_New_Sofi_Nsi_140(Зах) 1_Форма по растениеводству (Акционеры) ИЛЧ" xfId="1195"/>
    <cellStyle name="_New_Sofi_Nsi_140(Зах) 1_раст.-факт" xfId="1196"/>
    <cellStyle name="_New_Sofi_Nsi_140(Зах) 2" xfId="1197"/>
    <cellStyle name="_New_Sofi_Nsi_140(Зах) 2_Копия Растениеводство форма(Акционеры)" xfId="1198"/>
    <cellStyle name="_New_Sofi_Nsi_140(Зах) 2_М( ЗАР)" xfId="1199"/>
    <cellStyle name="_New_Sofi_Nsi_140(Зах) 2_Модель АгроГард на 5 лет" xfId="1200"/>
    <cellStyle name="_New_Sofi_Nsi_140(Зах) 2_Растениеводство форма( АГМ)" xfId="1201"/>
    <cellStyle name="_New_Sofi_Nsi_140(Зах) 2_Свод по Агрохоолдингу  (в т.ч КБН  )" xfId="1202"/>
    <cellStyle name="_New_Sofi_Nsi_140(Зах) 2_Форма по растениеводству (Акционеры) ИЛЧ" xfId="1203"/>
    <cellStyle name="_New_Sofi_Nsi_140(Зах) 2_раст.-факт" xfId="1204"/>
    <cellStyle name="_New_Sofi_Nsi_140(Зах) 3" xfId="1205"/>
    <cellStyle name="_New_Sofi_Nsi_140(Зах) 3_Копия Растениеводство форма(Акционеры)" xfId="1206"/>
    <cellStyle name="_New_Sofi_Nsi_140(Зах) 3_М( ЗАР)" xfId="1207"/>
    <cellStyle name="_New_Sofi_Nsi_140(Зах) 3_Модель АгроГард на 5 лет" xfId="1208"/>
    <cellStyle name="_New_Sofi_Nsi_140(Зах) 3_Растениеводство форма( АГМ)" xfId="1209"/>
    <cellStyle name="_New_Sofi_Nsi_140(Зах) 3_Свод по Агрохоолдингу  (в т.ч КБН  )" xfId="1210"/>
    <cellStyle name="_New_Sofi_Nsi_140(Зах) 3_Форма по растениеводству (Акционеры) ИЛЧ" xfId="1211"/>
    <cellStyle name="_New_Sofi_Nsi_140(Зах) 3_раст.-факт" xfId="1212"/>
    <cellStyle name="_New_Sofi_Nsi_140(Зах)_АГМ" xfId="1213"/>
    <cellStyle name="_New_Sofi_Nsi_140(Зах)_Копия Растениеводство форма(Акционеры)" xfId="1214"/>
    <cellStyle name="_New_Sofi_Nsi_140(Зах)_М( ЗАР)" xfId="1215"/>
    <cellStyle name="_New_Sofi_Nsi_140(Зах)_Модель АгроГард на 5 лет" xfId="1216"/>
    <cellStyle name="_New_Sofi_Nsi_140(Зах)_НИК-09" xfId="1217"/>
    <cellStyle name="_New_Sofi_Nsi_140(Зах)_Растениеводство форма( АГМ)" xfId="1218"/>
    <cellStyle name="_New_Sofi_Nsi_140(Зах)_Свод по Агрохоолдингу  (в т.ч КБН  )" xfId="1219"/>
    <cellStyle name="_New_Sofi_Nsi_140(Зах)_ТК-2011 АГМ+транспорт" xfId="1220"/>
    <cellStyle name="_New_Sofi_Nsi_140(Зах)_Форма по растениеводству (Акционеры) ИЛЧ" xfId="1221"/>
    <cellStyle name="_New_Sofi_Nsi_140(Зах)_раст.-факт" xfId="1222"/>
    <cellStyle name="_New_Sofi_Nsi_140_mod" xfId="1223"/>
    <cellStyle name="_New_Sofi_Nsi_140_mod 1" xfId="1224"/>
    <cellStyle name="_New_Sofi_Nsi_140_mod 1_Копия Растениеводство форма(Акционеры)" xfId="1225"/>
    <cellStyle name="_New_Sofi_Nsi_140_mod 1_М( ЗАР)" xfId="1226"/>
    <cellStyle name="_New_Sofi_Nsi_140_mod 1_Модель АгроГард на 5 лет" xfId="1227"/>
    <cellStyle name="_New_Sofi_Nsi_140_mod 1_Растениеводство форма( АГМ)" xfId="1228"/>
    <cellStyle name="_New_Sofi_Nsi_140_mod 1_Свод по Агрохоолдингу  (в т.ч КБН  )" xfId="1229"/>
    <cellStyle name="_New_Sofi_Nsi_140_mod 1_Форма по растениеводству (Акционеры) ИЛЧ" xfId="1230"/>
    <cellStyle name="_New_Sofi_Nsi_140_mod 1_раст.-факт" xfId="1231"/>
    <cellStyle name="_New_Sofi_Nsi_140_mod 2" xfId="1232"/>
    <cellStyle name="_New_Sofi_Nsi_140_mod 2_Копия Растениеводство форма(Акционеры)" xfId="1233"/>
    <cellStyle name="_New_Sofi_Nsi_140_mod 2_М( ЗАР)" xfId="1234"/>
    <cellStyle name="_New_Sofi_Nsi_140_mod 2_Модель АгроГард на 5 лет" xfId="1235"/>
    <cellStyle name="_New_Sofi_Nsi_140_mod 2_Растениеводство форма( АГМ)" xfId="1236"/>
    <cellStyle name="_New_Sofi_Nsi_140_mod 2_Свод по Агрохоолдингу  (в т.ч КБН  )" xfId="1237"/>
    <cellStyle name="_New_Sofi_Nsi_140_mod 2_Форма по растениеводству (Акционеры) ИЛЧ" xfId="1238"/>
    <cellStyle name="_New_Sofi_Nsi_140_mod 2_раст.-факт" xfId="1239"/>
    <cellStyle name="_New_Sofi_Nsi_140_mod 3" xfId="1240"/>
    <cellStyle name="_New_Sofi_Nsi_140_mod 3_Копия Растениеводство форма(Акционеры)" xfId="1241"/>
    <cellStyle name="_New_Sofi_Nsi_140_mod 3_М( ЗАР)" xfId="1242"/>
    <cellStyle name="_New_Sofi_Nsi_140_mod 3_Модель АгроГард на 5 лет" xfId="1243"/>
    <cellStyle name="_New_Sofi_Nsi_140_mod 3_Растениеводство форма( АГМ)" xfId="1244"/>
    <cellStyle name="_New_Sofi_Nsi_140_mod 3_Свод по Агрохоолдингу  (в т.ч КБН  )" xfId="1245"/>
    <cellStyle name="_New_Sofi_Nsi_140_mod 3_Форма по растениеводству (Акционеры) ИЛЧ" xfId="1246"/>
    <cellStyle name="_New_Sofi_Nsi_140_mod 3_раст.-факт" xfId="1247"/>
    <cellStyle name="_New_Sofi_Nsi_140_mod_АГМ" xfId="1248"/>
    <cellStyle name="_New_Sofi_Nsi_140_mod_Копия Растениеводство форма(Акционеры)" xfId="1249"/>
    <cellStyle name="_New_Sofi_Nsi_140_mod_М( ЗАР)" xfId="1250"/>
    <cellStyle name="_New_Sofi_Nsi_140_mod_Модель АгроГард на 5 лет" xfId="1251"/>
    <cellStyle name="_New_Sofi_Nsi_140_mod_НИК-09" xfId="1252"/>
    <cellStyle name="_New_Sofi_Nsi_140_mod_Растениеводство форма( АГМ)" xfId="1253"/>
    <cellStyle name="_New_Sofi_Nsi_140_mod_Свод по Агрохоолдингу  (в т.ч КБН  )" xfId="1254"/>
    <cellStyle name="_New_Sofi_Nsi_140_mod_ТК-2011 АГМ+транспорт" xfId="1255"/>
    <cellStyle name="_New_Sofi_Nsi_140_mod_Форма по растениеводству (Акционеры) ИЛЧ" xfId="1256"/>
    <cellStyle name="_New_Sofi_Nsi_140_mod_раст.-факт" xfId="1257"/>
    <cellStyle name="_New_Sofi_Nsi_140_АГМ" xfId="1258"/>
    <cellStyle name="_New_Sofi_Nsi_140_Копия Растениеводство форма(Акционеры)" xfId="1259"/>
    <cellStyle name="_New_Sofi_Nsi_140_М( ЗАР)" xfId="1260"/>
    <cellStyle name="_New_Sofi_Nsi_140_Модель АгроГард на 5 лет" xfId="1261"/>
    <cellStyle name="_New_Sofi_Nsi_140_НИК-09" xfId="1262"/>
    <cellStyle name="_New_Sofi_Nsi_140_Растениеводство форма( АГМ)" xfId="1263"/>
    <cellStyle name="_New_Sofi_Nsi_140_Свод по Агрохоолдингу  (в т.ч КБН  )" xfId="1264"/>
    <cellStyle name="_New_Sofi_Nsi_140_ТК-2011 АГМ+транспорт" xfId="1265"/>
    <cellStyle name="_New_Sofi_Nsi_140_Форма по растениеводству (Акционеры) ИЛЧ" xfId="1266"/>
    <cellStyle name="_New_Sofi_Nsi_140_раст.-факт" xfId="1267"/>
    <cellStyle name="_New_Sofi_Nsi_1_АГМ" xfId="1268"/>
    <cellStyle name="_New_Sofi_Nsi_1_Копия Растениеводство форма(Акционеры)" xfId="1269"/>
    <cellStyle name="_New_Sofi_Nsi_1_М( ЗАР)" xfId="1270"/>
    <cellStyle name="_New_Sofi_Nsi_1_Модель АгроГард на 5 лет" xfId="1271"/>
    <cellStyle name="_New_Sofi_Nsi_1_НИК-09" xfId="1272"/>
    <cellStyle name="_New_Sofi_Nsi_1_Растениеводство форма( АГМ)" xfId="1273"/>
    <cellStyle name="_New_Sofi_Nsi_1_Свод по Агрохоолдингу  (в т.ч КБН  )" xfId="1274"/>
    <cellStyle name="_New_Sofi_Nsi_1_ТК-2011 АГМ+транспорт" xfId="1275"/>
    <cellStyle name="_New_Sofi_Nsi_1_Форма по растениеводству (Акционеры) ИЛЧ" xfId="1276"/>
    <cellStyle name="_New_Sofi_Nsi_1_раст.-факт" xfId="1277"/>
    <cellStyle name="_New_Sofi_Nsi_АГМ" xfId="1278"/>
    <cellStyle name="_New_Sofi_Nsi_Копия Растениеводство форма(Акционеры)" xfId="1279"/>
    <cellStyle name="_New_Sofi_Nsi_М( ЗАР)" xfId="1280"/>
    <cellStyle name="_New_Sofi_Nsi_Модель АгроГард на 5 лет" xfId="1281"/>
    <cellStyle name="_New_Sofi_Nsi_НИК-09" xfId="1282"/>
    <cellStyle name="_New_Sofi_Nsi_Растениеводство форма( АГМ)" xfId="1283"/>
    <cellStyle name="_New_Sofi_Nsi_Свод по Агрохоолдингу  (в т.ч КБН  )" xfId="1284"/>
    <cellStyle name="_New_Sofi_Nsi_ТК-2011 АГМ+транспорт" xfId="1285"/>
    <cellStyle name="_New_Sofi_Nsi_Форма по растениеводству (Акционеры) ИЛЧ" xfId="1286"/>
    <cellStyle name="_New_Sofi_Nsi_раст.-факт" xfId="1287"/>
    <cellStyle name="_New_Sofi_Summary" xfId="1288"/>
    <cellStyle name="_New_Sofi_Summary 1" xfId="1289"/>
    <cellStyle name="_New_Sofi_Summary 1_Копия Растениеводство форма(Акционеры)" xfId="1290"/>
    <cellStyle name="_New_Sofi_Summary 1_М( ЗАР)" xfId="1291"/>
    <cellStyle name="_New_Sofi_Summary 1_Модель АгроГард на 5 лет" xfId="1292"/>
    <cellStyle name="_New_Sofi_Summary 1_Растениеводство форма( АГМ)" xfId="1293"/>
    <cellStyle name="_New_Sofi_Summary 1_Свод по Агрохоолдингу  (в т.ч КБН  )" xfId="1294"/>
    <cellStyle name="_New_Sofi_Summary 1_Форма по растениеводству (Акционеры) ИЛЧ" xfId="1295"/>
    <cellStyle name="_New_Sofi_Summary 1_раст.-факт" xfId="1296"/>
    <cellStyle name="_New_Sofi_Summary 2" xfId="1297"/>
    <cellStyle name="_New_Sofi_Summary 2_Копия Растениеводство форма(Акционеры)" xfId="1298"/>
    <cellStyle name="_New_Sofi_Summary 2_М( ЗАР)" xfId="1299"/>
    <cellStyle name="_New_Sofi_Summary 2_Модель АгроГард на 5 лет" xfId="1300"/>
    <cellStyle name="_New_Sofi_Summary 2_Растениеводство форма( АГМ)" xfId="1301"/>
    <cellStyle name="_New_Sofi_Summary 2_Свод по Агрохоолдингу  (в т.ч КБН  )" xfId="1302"/>
    <cellStyle name="_New_Sofi_Summary 2_Форма по растениеводству (Акционеры) ИЛЧ" xfId="1303"/>
    <cellStyle name="_New_Sofi_Summary 2_раст.-факт" xfId="1304"/>
    <cellStyle name="_New_Sofi_Summary 3" xfId="1305"/>
    <cellStyle name="_New_Sofi_Summary 3_Копия Растениеводство форма(Акционеры)" xfId="1306"/>
    <cellStyle name="_New_Sofi_Summary 3_М( ЗАР)" xfId="1307"/>
    <cellStyle name="_New_Sofi_Summary 3_Модель АгроГард на 5 лет" xfId="1308"/>
    <cellStyle name="_New_Sofi_Summary 3_Растениеводство форма( АГМ)" xfId="1309"/>
    <cellStyle name="_New_Sofi_Summary 3_Свод по Агрохоолдингу  (в т.ч КБН  )" xfId="1310"/>
    <cellStyle name="_New_Sofi_Summary 3_Форма по растениеводству (Акционеры) ИЛЧ" xfId="1311"/>
    <cellStyle name="_New_Sofi_Summary 3_раст.-факт" xfId="1312"/>
    <cellStyle name="_New_Sofi_Summary_АГМ" xfId="1313"/>
    <cellStyle name="_New_Sofi_Summary_Копия Растениеводство форма(Акционеры)" xfId="1314"/>
    <cellStyle name="_New_Sofi_Summary_М( ЗАР)" xfId="1315"/>
    <cellStyle name="_New_Sofi_Summary_Модель АгроГард на 5 лет" xfId="1316"/>
    <cellStyle name="_New_Sofi_Summary_НИК-09" xfId="1317"/>
    <cellStyle name="_New_Sofi_Summary_Растениеводство форма( АГМ)" xfId="1318"/>
    <cellStyle name="_New_Sofi_Summary_Свод по Агрохоолдингу  (в т.ч КБН  )" xfId="1319"/>
    <cellStyle name="_New_Sofi_Summary_ТК-2011 АГМ+транспорт" xfId="1320"/>
    <cellStyle name="_New_Sofi_Summary_Форма по растениеводству (Акционеры) ИЛЧ" xfId="1321"/>
    <cellStyle name="_New_Sofi_Summary_раст.-факт" xfId="1322"/>
    <cellStyle name="_New_Sofi_Tax_form_1кв_3" xfId="1323"/>
    <cellStyle name="_New_Sofi_Tax_form_1кв_3 1" xfId="1324"/>
    <cellStyle name="_New_Sofi_Tax_form_1кв_3 1_Копия Растениеводство форма(Акционеры)" xfId="1325"/>
    <cellStyle name="_New_Sofi_Tax_form_1кв_3 1_М( ЗАР)" xfId="1326"/>
    <cellStyle name="_New_Sofi_Tax_form_1кв_3 1_Модель АгроГард на 5 лет" xfId="1327"/>
    <cellStyle name="_New_Sofi_Tax_form_1кв_3 1_Растениеводство форма( АГМ)" xfId="1328"/>
    <cellStyle name="_New_Sofi_Tax_form_1кв_3 1_Свод по Агрохоолдингу  (в т.ч КБН  )" xfId="1329"/>
    <cellStyle name="_New_Sofi_Tax_form_1кв_3 1_Форма по растениеводству (Акционеры) ИЛЧ" xfId="1330"/>
    <cellStyle name="_New_Sofi_Tax_form_1кв_3 1_раст.-факт" xfId="1331"/>
    <cellStyle name="_New_Sofi_Tax_form_1кв_3 2" xfId="1332"/>
    <cellStyle name="_New_Sofi_Tax_form_1кв_3 2_Копия Растениеводство форма(Акционеры)" xfId="1333"/>
    <cellStyle name="_New_Sofi_Tax_form_1кв_3 2_М( ЗАР)" xfId="1334"/>
    <cellStyle name="_New_Sofi_Tax_form_1кв_3 2_Модель АгроГард на 5 лет" xfId="1335"/>
    <cellStyle name="_New_Sofi_Tax_form_1кв_3 2_Растениеводство форма( АГМ)" xfId="1336"/>
    <cellStyle name="_New_Sofi_Tax_form_1кв_3 2_Свод по Агрохоолдингу  (в т.ч КБН  )" xfId="1337"/>
    <cellStyle name="_New_Sofi_Tax_form_1кв_3 2_Форма по растениеводству (Акционеры) ИЛЧ" xfId="1338"/>
    <cellStyle name="_New_Sofi_Tax_form_1кв_3 2_раст.-факт" xfId="1339"/>
    <cellStyle name="_New_Sofi_Tax_form_1кв_3 3" xfId="1340"/>
    <cellStyle name="_New_Sofi_Tax_form_1кв_3 3_Копия Растениеводство форма(Акционеры)" xfId="1341"/>
    <cellStyle name="_New_Sofi_Tax_form_1кв_3 3_М( ЗАР)" xfId="1342"/>
    <cellStyle name="_New_Sofi_Tax_form_1кв_3 3_Модель АгроГард на 5 лет" xfId="1343"/>
    <cellStyle name="_New_Sofi_Tax_form_1кв_3 3_Растениеводство форма( АГМ)" xfId="1344"/>
    <cellStyle name="_New_Sofi_Tax_form_1кв_3 3_Свод по Агрохоолдингу  (в т.ч КБН  )" xfId="1345"/>
    <cellStyle name="_New_Sofi_Tax_form_1кв_3 3_Форма по растениеводству (Акционеры) ИЛЧ" xfId="1346"/>
    <cellStyle name="_New_Sofi_Tax_form_1кв_3 3_раст.-факт" xfId="1347"/>
    <cellStyle name="_New_Sofi_Tax_form_1кв_3_АГМ" xfId="1348"/>
    <cellStyle name="_New_Sofi_Tax_form_1кв_3_Копия Растениеводство форма(Акционеры)" xfId="1349"/>
    <cellStyle name="_New_Sofi_Tax_form_1кв_3_М( ЗАР)" xfId="1350"/>
    <cellStyle name="_New_Sofi_Tax_form_1кв_3_Модель АгроГард на 5 лет" xfId="1351"/>
    <cellStyle name="_New_Sofi_Tax_form_1кв_3_НИК-09" xfId="1352"/>
    <cellStyle name="_New_Sofi_Tax_form_1кв_3_Растениеводство форма( АГМ)" xfId="1353"/>
    <cellStyle name="_New_Sofi_Tax_form_1кв_3_Свод по Агрохоолдингу  (в т.ч КБН  )" xfId="1354"/>
    <cellStyle name="_New_Sofi_Tax_form_1кв_3_ТК-2011 АГМ+транспорт" xfId="1355"/>
    <cellStyle name="_New_Sofi_Tax_form_1кв_3_Форма по растениеводству (Акционеры) ИЛЧ" xfId="1356"/>
    <cellStyle name="_New_Sofi_Tax_form_1кв_3_раст.-факт" xfId="1357"/>
    <cellStyle name="_New_Sofi_АГМ" xfId="1358"/>
    <cellStyle name="_New_Sofi_БКЭ" xfId="1359"/>
    <cellStyle name="_New_Sofi_БКЭ 1" xfId="1360"/>
    <cellStyle name="_New_Sofi_БКЭ 1_Копия Растениеводство форма(Акционеры)" xfId="1361"/>
    <cellStyle name="_New_Sofi_БКЭ 1_М( ЗАР)" xfId="1362"/>
    <cellStyle name="_New_Sofi_БКЭ 1_Модель АгроГард на 5 лет" xfId="1363"/>
    <cellStyle name="_New_Sofi_БКЭ 1_Растениеводство форма( АГМ)" xfId="1364"/>
    <cellStyle name="_New_Sofi_БКЭ 1_Свод по Агрохоолдингу  (в т.ч КБН  )" xfId="1365"/>
    <cellStyle name="_New_Sofi_БКЭ 1_Форма по растениеводству (Акционеры) ИЛЧ" xfId="1366"/>
    <cellStyle name="_New_Sofi_БКЭ 1_раст.-факт" xfId="1367"/>
    <cellStyle name="_New_Sofi_БКЭ 2" xfId="1368"/>
    <cellStyle name="_New_Sofi_БКЭ 2_Копия Растениеводство форма(Акционеры)" xfId="1369"/>
    <cellStyle name="_New_Sofi_БКЭ 2_М( ЗАР)" xfId="1370"/>
    <cellStyle name="_New_Sofi_БКЭ 2_Модель АгроГард на 5 лет" xfId="1371"/>
    <cellStyle name="_New_Sofi_БКЭ 2_Растениеводство форма( АГМ)" xfId="1372"/>
    <cellStyle name="_New_Sofi_БКЭ 2_Свод по Агрохоолдингу  (в т.ч КБН  )" xfId="1373"/>
    <cellStyle name="_New_Sofi_БКЭ 2_Форма по растениеводству (Акционеры) ИЛЧ" xfId="1374"/>
    <cellStyle name="_New_Sofi_БКЭ 2_раст.-факт" xfId="1375"/>
    <cellStyle name="_New_Sofi_БКЭ 3" xfId="1376"/>
    <cellStyle name="_New_Sofi_БКЭ 3_Копия Растениеводство форма(Акционеры)" xfId="1377"/>
    <cellStyle name="_New_Sofi_БКЭ 3_М( ЗАР)" xfId="1378"/>
    <cellStyle name="_New_Sofi_БКЭ 3_Модель АгроГард на 5 лет" xfId="1379"/>
    <cellStyle name="_New_Sofi_БКЭ 3_Растениеводство форма( АГМ)" xfId="1380"/>
    <cellStyle name="_New_Sofi_БКЭ 3_Свод по Агрохоолдингу  (в т.ч КБН  )" xfId="1381"/>
    <cellStyle name="_New_Sofi_БКЭ 3_Форма по растениеводству (Акционеры) ИЛЧ" xfId="1382"/>
    <cellStyle name="_New_Sofi_БКЭ 3_раст.-факт" xfId="1383"/>
    <cellStyle name="_New_Sofi_БКЭ_АГМ" xfId="1384"/>
    <cellStyle name="_New_Sofi_БКЭ_Копия Растениеводство форма(Акционеры)" xfId="1385"/>
    <cellStyle name="_New_Sofi_БКЭ_М( ЗАР)" xfId="1386"/>
    <cellStyle name="_New_Sofi_БКЭ_Модель АгроГард на 5 лет" xfId="1387"/>
    <cellStyle name="_New_Sofi_БКЭ_НИК-09" xfId="1388"/>
    <cellStyle name="_New_Sofi_БКЭ_Растениеводство форма( АГМ)" xfId="1389"/>
    <cellStyle name="_New_Sofi_БКЭ_Свод по Агрохоолдингу  (в т.ч КБН  )" xfId="1390"/>
    <cellStyle name="_New_Sofi_БКЭ_ТК-2011 АГМ+транспорт" xfId="1391"/>
    <cellStyle name="_New_Sofi_БКЭ_Форма по растениеводству (Акционеры) ИЛЧ" xfId="1392"/>
    <cellStyle name="_New_Sofi_БКЭ_раст.-факт" xfId="1393"/>
    <cellStyle name="_New_Sofi_Копия Растениеводство форма(Акционеры)" xfId="1394"/>
    <cellStyle name="_New_Sofi_М( ЗАР)" xfId="1395"/>
    <cellStyle name="_New_Sofi_Модель АгроГард на 5 лет" xfId="1396"/>
    <cellStyle name="_New_Sofi_НИК-09" xfId="1397"/>
    <cellStyle name="_New_Sofi_Растениеводство форма( АГМ)" xfId="1398"/>
    <cellStyle name="_New_Sofi_Свод по Агрохоолдингу  (в т.ч КБН  )" xfId="1399"/>
    <cellStyle name="_New_Sofi_ТК-2011 АГМ+транспорт" xfId="1400"/>
    <cellStyle name="_New_Sofi_Форма по растениеводству (Акционеры) ИЛЧ" xfId="1401"/>
    <cellStyle name="_New_Sofi_раст.-факт" xfId="1402"/>
    <cellStyle name="_Nsi" xfId="1403"/>
    <cellStyle name="_Nsi 1" xfId="1404"/>
    <cellStyle name="_Nsi 1_Копия Растениеводство форма(Акционеры)" xfId="1405"/>
    <cellStyle name="_Nsi 1_М( ЗАР)" xfId="1406"/>
    <cellStyle name="_Nsi 1_Модель АгроГард на 5 лет" xfId="1407"/>
    <cellStyle name="_Nsi 1_Растениеводство форма( АГМ)" xfId="1408"/>
    <cellStyle name="_Nsi 1_Свод по Агрохоолдингу  (в т.ч КБН  )" xfId="1409"/>
    <cellStyle name="_Nsi 1_Форма по растениеводству (Акционеры) ИЛЧ" xfId="1410"/>
    <cellStyle name="_Nsi 1_раст.-факт" xfId="1411"/>
    <cellStyle name="_Nsi 2" xfId="1412"/>
    <cellStyle name="_Nsi 2_Копия Растениеводство форма(Акционеры)" xfId="1413"/>
    <cellStyle name="_Nsi 2_М( ЗАР)" xfId="1414"/>
    <cellStyle name="_Nsi 2_Модель АгроГард на 5 лет" xfId="1415"/>
    <cellStyle name="_Nsi 2_Растениеводство форма( АГМ)" xfId="1416"/>
    <cellStyle name="_Nsi 2_Свод по Агрохоолдингу  (в т.ч КБН  )" xfId="1417"/>
    <cellStyle name="_Nsi 2_Форма по растениеводству (Акционеры) ИЛЧ" xfId="1418"/>
    <cellStyle name="_Nsi 2_раст.-факт" xfId="1419"/>
    <cellStyle name="_Nsi 3" xfId="1420"/>
    <cellStyle name="_Nsi 3_Копия Растениеводство форма(Акционеры)" xfId="1421"/>
    <cellStyle name="_Nsi 3_М( ЗАР)" xfId="1422"/>
    <cellStyle name="_Nsi 3_Модель АгроГард на 5 лет" xfId="1423"/>
    <cellStyle name="_Nsi 3_Растениеводство форма( АГМ)" xfId="1424"/>
    <cellStyle name="_Nsi 3_Свод по Агрохоолдингу  (в т.ч КБН  )" xfId="1425"/>
    <cellStyle name="_Nsi 3_Форма по растениеводству (Акционеры) ИЛЧ" xfId="1426"/>
    <cellStyle name="_Nsi 3_раст.-факт" xfId="1427"/>
    <cellStyle name="_Nsi_АГМ" xfId="1428"/>
    <cellStyle name="_Nsi_Копия Растениеводство форма(Акционеры)" xfId="1429"/>
    <cellStyle name="_Nsi_М( ЗАР)" xfId="1430"/>
    <cellStyle name="_Nsi_Модель АгроГард на 5 лет" xfId="1431"/>
    <cellStyle name="_Nsi_НИК-09" xfId="1432"/>
    <cellStyle name="_Nsi_Растениеводство форма( АГМ)" xfId="1433"/>
    <cellStyle name="_Nsi_Свод по Агрохоолдингу  (в т.ч КБН  )" xfId="1434"/>
    <cellStyle name="_Nsi_ТК-2011 АГМ+транспорт" xfId="1435"/>
    <cellStyle name="_Nsi_Форма по растениеводству (Акционеры) ИЛЧ" xfId="1436"/>
    <cellStyle name="_Nsi_раст.-факт" xfId="1437"/>
    <cellStyle name="_Книга3" xfId="1438"/>
    <cellStyle name="_Книга3 1" xfId="1439"/>
    <cellStyle name="_Книга3 1_Копия Растениеводство форма(Акционеры)" xfId="1440"/>
    <cellStyle name="_Книга3 1_М( ЗАР)" xfId="1441"/>
    <cellStyle name="_Книга3 1_Модель АгроГард на 5 лет" xfId="1442"/>
    <cellStyle name="_Книга3 1_Растениеводство форма( АГМ)" xfId="1443"/>
    <cellStyle name="_Книга3 1_Свод по Агрохоолдингу  (в т.ч КБН  )" xfId="1444"/>
    <cellStyle name="_Книга3 1_Форма по растениеводству (Акционеры) ИЛЧ" xfId="1445"/>
    <cellStyle name="_Книга3 1_раст.-факт" xfId="1446"/>
    <cellStyle name="_Книга3 2" xfId="1447"/>
    <cellStyle name="_Книга3 2_Копия Растениеводство форма(Акционеры)" xfId="1448"/>
    <cellStyle name="_Книга3 2_М( ЗАР)" xfId="1449"/>
    <cellStyle name="_Книга3 2_Модель АгроГард на 5 лет" xfId="1450"/>
    <cellStyle name="_Книга3 2_Растениеводство форма( АГМ)" xfId="1451"/>
    <cellStyle name="_Книга3 2_Свод по Агрохоолдингу  (в т.ч КБН  )" xfId="1452"/>
    <cellStyle name="_Книга3 2_Форма по растениеводству (Акционеры) ИЛЧ" xfId="1453"/>
    <cellStyle name="_Книга3 2_раст.-факт" xfId="1454"/>
    <cellStyle name="_Книга3 3" xfId="1455"/>
    <cellStyle name="_Книга3 3_Копия Растениеводство форма(Акционеры)" xfId="1456"/>
    <cellStyle name="_Книга3 3_М( ЗАР)" xfId="1457"/>
    <cellStyle name="_Книга3 3_Модель АгроГард на 5 лет" xfId="1458"/>
    <cellStyle name="_Книга3 3_Растениеводство форма( АГМ)" xfId="1459"/>
    <cellStyle name="_Книга3 3_Свод по Агрохоолдингу  (в т.ч КБН  )" xfId="1460"/>
    <cellStyle name="_Книга3 3_Форма по растениеводству (Акционеры) ИЛЧ" xfId="1461"/>
    <cellStyle name="_Книга3 3_раст.-факт" xfId="1462"/>
    <cellStyle name="_Книга3_New Form10_2" xfId="1463"/>
    <cellStyle name="_Книга3_New Form10_2 1" xfId="1464"/>
    <cellStyle name="_Книга3_New Form10_2 1_Копия Растениеводство форма(Акционеры)" xfId="1465"/>
    <cellStyle name="_Книга3_New Form10_2 1_М( ЗАР)" xfId="1466"/>
    <cellStyle name="_Книга3_New Form10_2 1_Модель АгроГард на 5 лет" xfId="1467"/>
    <cellStyle name="_Книга3_New Form10_2 1_Растениеводство форма( АГМ)" xfId="1468"/>
    <cellStyle name="_Книга3_New Form10_2 1_Свод по Агрохоолдингу  (в т.ч КБН  )" xfId="1469"/>
    <cellStyle name="_Книга3_New Form10_2 1_Форма по растениеводству (Акционеры) ИЛЧ" xfId="1470"/>
    <cellStyle name="_Книга3_New Form10_2 1_раст.-факт" xfId="1471"/>
    <cellStyle name="_Книга3_New Form10_2 2" xfId="1472"/>
    <cellStyle name="_Книга3_New Form10_2 2_Копия Растениеводство форма(Акционеры)" xfId="1473"/>
    <cellStyle name="_Книга3_New Form10_2 2_М( ЗАР)" xfId="1474"/>
    <cellStyle name="_Книга3_New Form10_2 2_Модель АгроГард на 5 лет" xfId="1475"/>
    <cellStyle name="_Книга3_New Form10_2 2_Растениеводство форма( АГМ)" xfId="1476"/>
    <cellStyle name="_Книга3_New Form10_2 2_Свод по Агрохоолдингу  (в т.ч КБН  )" xfId="1477"/>
    <cellStyle name="_Книга3_New Form10_2 2_Форма по растениеводству (Акционеры) ИЛЧ" xfId="1478"/>
    <cellStyle name="_Книга3_New Form10_2 2_раст.-факт" xfId="1479"/>
    <cellStyle name="_Книга3_New Form10_2 3" xfId="1480"/>
    <cellStyle name="_Книга3_New Form10_2 3_Копия Растениеводство форма(Акционеры)" xfId="1481"/>
    <cellStyle name="_Книга3_New Form10_2 3_М( ЗАР)" xfId="1482"/>
    <cellStyle name="_Книга3_New Form10_2 3_Модель АгроГард на 5 лет" xfId="1483"/>
    <cellStyle name="_Книга3_New Form10_2 3_Растениеводство форма( АГМ)" xfId="1484"/>
    <cellStyle name="_Книга3_New Form10_2 3_Свод по Агрохоолдингу  (в т.ч КБН  )" xfId="1485"/>
    <cellStyle name="_Книга3_New Form10_2 3_Форма по растениеводству (Акционеры) ИЛЧ" xfId="1486"/>
    <cellStyle name="_Книга3_New Form10_2 3_раст.-факт" xfId="1487"/>
    <cellStyle name="_Книга3_New Form10_2_АГМ" xfId="1488"/>
    <cellStyle name="_Книга3_New Form10_2_Копия Растениеводство форма(Акционеры)" xfId="1489"/>
    <cellStyle name="_Книга3_New Form10_2_М( ЗАР)" xfId="1490"/>
    <cellStyle name="_Книга3_New Form10_2_Модель АгроГард на 5 лет" xfId="1491"/>
    <cellStyle name="_Книга3_New Form10_2_НИК-09" xfId="1492"/>
    <cellStyle name="_Книга3_New Form10_2_Растениеводство форма( АГМ)" xfId="1493"/>
    <cellStyle name="_Книга3_New Form10_2_Свод по Агрохоолдингу  (в т.ч КБН  )" xfId="1494"/>
    <cellStyle name="_Книга3_New Form10_2_ТК-2011 АГМ+транспорт" xfId="1495"/>
    <cellStyle name="_Книга3_New Form10_2_Форма по растениеводству (Акционеры) ИЛЧ" xfId="1496"/>
    <cellStyle name="_Книга3_New Form10_2_раст.-факт" xfId="1497"/>
    <cellStyle name="_Книга3_Nsi" xfId="1498"/>
    <cellStyle name="_Книга3_Nsi 1" xfId="1499"/>
    <cellStyle name="_Книга3_Nsi 1_Копия Растениеводство форма(Акционеры)" xfId="1500"/>
    <cellStyle name="_Книга3_Nsi 1_М( ЗАР)" xfId="1501"/>
    <cellStyle name="_Книга3_Nsi 1_Модель АгроГард на 5 лет" xfId="1502"/>
    <cellStyle name="_Книга3_Nsi 1_Растениеводство форма( АГМ)" xfId="1503"/>
    <cellStyle name="_Книга3_Nsi 1_Свод по Агрохоолдингу  (в т.ч КБН  )" xfId="1504"/>
    <cellStyle name="_Книга3_Nsi 1_Форма по растениеводству (Акционеры) ИЛЧ" xfId="1505"/>
    <cellStyle name="_Книга3_Nsi 1_раст.-факт" xfId="1506"/>
    <cellStyle name="_Книга3_Nsi 2" xfId="1507"/>
    <cellStyle name="_Книга3_Nsi 2_Копия Растениеводство форма(Акционеры)" xfId="1508"/>
    <cellStyle name="_Книга3_Nsi 2_М( ЗАР)" xfId="1509"/>
    <cellStyle name="_Книга3_Nsi 2_Модель АгроГард на 5 лет" xfId="1510"/>
    <cellStyle name="_Книга3_Nsi 2_Растениеводство форма( АГМ)" xfId="1511"/>
    <cellStyle name="_Книга3_Nsi 2_Свод по Агрохоолдингу  (в т.ч КБН  )" xfId="1512"/>
    <cellStyle name="_Книга3_Nsi 2_Форма по растениеводству (Акционеры) ИЛЧ" xfId="1513"/>
    <cellStyle name="_Книга3_Nsi 2_раст.-факт" xfId="1514"/>
    <cellStyle name="_Книга3_Nsi 3" xfId="1515"/>
    <cellStyle name="_Книга3_Nsi 3_Копия Растениеводство форма(Акционеры)" xfId="1516"/>
    <cellStyle name="_Книга3_Nsi 3_М( ЗАР)" xfId="1517"/>
    <cellStyle name="_Книга3_Nsi 3_Модель АгроГард на 5 лет" xfId="1518"/>
    <cellStyle name="_Книга3_Nsi 3_Растениеводство форма( АГМ)" xfId="1519"/>
    <cellStyle name="_Книга3_Nsi 3_Свод по Агрохоолдингу  (в т.ч КБН  )" xfId="1520"/>
    <cellStyle name="_Книга3_Nsi 3_Форма по растениеводству (Акционеры) ИЛЧ" xfId="1521"/>
    <cellStyle name="_Книга3_Nsi 3_раст.-факт" xfId="1522"/>
    <cellStyle name="_Книга3_Nsi_1" xfId="1523"/>
    <cellStyle name="_Книга3_Nsi_1 1" xfId="1524"/>
    <cellStyle name="_Книга3_Nsi_1 1_Копия Растениеводство форма(Акционеры)" xfId="1525"/>
    <cellStyle name="_Книга3_Nsi_1 1_М( ЗАР)" xfId="1526"/>
    <cellStyle name="_Книга3_Nsi_1 1_Модель АгроГард на 5 лет" xfId="1527"/>
    <cellStyle name="_Книга3_Nsi_1 1_Растениеводство форма( АГМ)" xfId="1528"/>
    <cellStyle name="_Книга3_Nsi_1 1_Свод по Агрохоолдингу  (в т.ч КБН  )" xfId="1529"/>
    <cellStyle name="_Книга3_Nsi_1 1_Форма по растениеводству (Акционеры) ИЛЧ" xfId="1530"/>
    <cellStyle name="_Книга3_Nsi_1 1_раст.-факт" xfId="1531"/>
    <cellStyle name="_Книга3_Nsi_1 2" xfId="1532"/>
    <cellStyle name="_Книга3_Nsi_1 2_Копия Растениеводство форма(Акционеры)" xfId="1533"/>
    <cellStyle name="_Книга3_Nsi_1 2_М( ЗАР)" xfId="1534"/>
    <cellStyle name="_Книга3_Nsi_1 2_Модель АгроГард на 5 лет" xfId="1535"/>
    <cellStyle name="_Книга3_Nsi_1 2_Растениеводство форма( АГМ)" xfId="1536"/>
    <cellStyle name="_Книга3_Nsi_1 2_Свод по Агрохоолдингу  (в т.ч КБН  )" xfId="1537"/>
    <cellStyle name="_Книга3_Nsi_1 2_Форма по растениеводству (Акционеры) ИЛЧ" xfId="1538"/>
    <cellStyle name="_Книга3_Nsi_1 2_раст.-факт" xfId="1539"/>
    <cellStyle name="_Книга3_Nsi_1 3" xfId="1540"/>
    <cellStyle name="_Книга3_Nsi_1 3_Копия Растениеводство форма(Акционеры)" xfId="1541"/>
    <cellStyle name="_Книга3_Nsi_1 3_М( ЗАР)" xfId="1542"/>
    <cellStyle name="_Книга3_Nsi_1 3_Модель АгроГард на 5 лет" xfId="1543"/>
    <cellStyle name="_Книга3_Nsi_1 3_Растениеводство форма( АГМ)" xfId="1544"/>
    <cellStyle name="_Книга3_Nsi_1 3_Свод по Агрохоолдингу  (в т.ч КБН  )" xfId="1545"/>
    <cellStyle name="_Книга3_Nsi_1 3_Форма по растениеводству (Акционеры) ИЛЧ" xfId="1546"/>
    <cellStyle name="_Книга3_Nsi_1 3_раст.-факт" xfId="1547"/>
    <cellStyle name="_Книга3_Nsi_139" xfId="1548"/>
    <cellStyle name="_Книга3_Nsi_139 1" xfId="1549"/>
    <cellStyle name="_Книга3_Nsi_139 1_Копия Растениеводство форма(Акционеры)" xfId="1550"/>
    <cellStyle name="_Книга3_Nsi_139 1_М( ЗАР)" xfId="1551"/>
    <cellStyle name="_Книга3_Nsi_139 1_Модель АгроГард на 5 лет" xfId="1552"/>
    <cellStyle name="_Книга3_Nsi_139 1_Растениеводство форма( АГМ)" xfId="1553"/>
    <cellStyle name="_Книга3_Nsi_139 1_Свод по Агрохоолдингу  (в т.ч КБН  )" xfId="1554"/>
    <cellStyle name="_Книга3_Nsi_139 1_Форма по растениеводству (Акционеры) ИЛЧ" xfId="1555"/>
    <cellStyle name="_Книга3_Nsi_139 1_раст.-факт" xfId="0"/>
    <cellStyle name="_Книга3_Nsi_139 2" xfId="0"/>
    <cellStyle name="_Книга3_Nsi_139 2_Копия Растениеводство форма(Акционеры)" xfId="0"/>
    <cellStyle name="_Книга3_Nsi_139 2_М( ЗАР)" xfId="0"/>
    <cellStyle name="_Книга3_Nsi_139 2_Модель АгроГард на 5 лет" xfId="0"/>
    <cellStyle name="_Книга3_Nsi_139 2_Растениеводство форма( АГМ)" xfId="0"/>
    <cellStyle name="_Книга3_Nsi_139 2_Свод по Агрохоолдингу  (в т.ч КБН  )" xfId="0"/>
    <cellStyle name="_Книга3_Nsi_139 2_Форма по растениеводству (Акционеры) ИЛЧ" xfId="0"/>
    <cellStyle name="_Книга3_Nsi_139 2_раст.-факт" xfId="0"/>
    <cellStyle name="_Книга3_Nsi_139 3" xfId="0"/>
    <cellStyle name="_Книга3_Nsi_139 3_Копия Растениеводство форма(Акционеры)" xfId="0"/>
    <cellStyle name="_Книга3_Nsi_139 3_М( ЗАР)" xfId="0"/>
    <cellStyle name="_Книга3_Nsi_139 3_Модель АгроГард на 5 лет" xfId="0"/>
    <cellStyle name="_Книга3_Nsi_139 3_Растениеводство форма( АГМ)" xfId="0"/>
    <cellStyle name="_Книга3_Nsi_139 3_Свод по Агрохоолдингу  (в т.ч КБН  )" xfId="0"/>
    <cellStyle name="_Книга3_Nsi_139 3_Форма по растениеводству (Акционеры) ИЛЧ" xfId="0"/>
    <cellStyle name="_Книга3_Nsi_139 3_раст.-факт" xfId="0"/>
    <cellStyle name="_Книга3_Nsi_139_АГМ" xfId="0"/>
    <cellStyle name="_Книга3_Nsi_139_Копия Растениеводство форма(Акционеры)" xfId="0"/>
    <cellStyle name="_Книга3_Nsi_139_М( ЗАР)" xfId="0"/>
    <cellStyle name="_Книга3_Nsi_139_Модель АгроГард на 5 лет" xfId="0"/>
    <cellStyle name="_Книга3_Nsi_139_НИК-09" xfId="0"/>
    <cellStyle name="_Книга3_Nsi_139_Растениеводство форма( АГМ)" xfId="0"/>
    <cellStyle name="_Книга3_Nsi_139_Свод по Агрохоолдингу  (в т.ч КБН  )" xfId="0"/>
    <cellStyle name="_Книга3_Nsi_139_ТК-2011 АГМ+транспорт" xfId="0"/>
    <cellStyle name="_Книга3_Nsi_139_Форма по растениеводству (Акционеры) ИЛЧ" xfId="0"/>
    <cellStyle name="_Книга3_Nsi_139_раст.-факт" xfId="0"/>
    <cellStyle name="_Книга3_Nsi_140" xfId="0"/>
    <cellStyle name="_Книга3_Nsi_140 1" xfId="0"/>
    <cellStyle name="_Книга3_Nsi_140 1_Копия Растениеводство форма(Акционеры)" xfId="0"/>
    <cellStyle name="_Книга3_Nsi_140 1_М( ЗАР)" xfId="0"/>
    <cellStyle name="_Книга3_Nsi_140 1_Модель АгроГард на 5 лет" xfId="0"/>
    <cellStyle name="_Книга3_Nsi_140 1_Растениеводство форма( АГМ)" xfId="0"/>
    <cellStyle name="_Книга3_Nsi_140 1_Свод по Агрохоолдингу  (в т.ч КБН  )" xfId="0"/>
    <cellStyle name="_Книга3_Nsi_140 1_Форма по растениеводству (Акционеры) ИЛЧ" xfId="0"/>
    <cellStyle name="_Книга3_Nsi_140 1_раст.-факт" xfId="0"/>
    <cellStyle name="_Книга3_Nsi_140 2" xfId="0"/>
    <cellStyle name="_Книга3_Nsi_140 2_Копия Растениеводство форма(Акционеры)" xfId="0"/>
    <cellStyle name="_Книга3_Nsi_140 2_М( ЗАР)" xfId="0"/>
    <cellStyle name="_Книга3_Nsi_140 2_Модель АгроГард на 5 лет" xfId="0"/>
    <cellStyle name="_Книга3_Nsi_140 2_Растениеводство форма( АГМ)" xfId="0"/>
    <cellStyle name="_Книга3_Nsi_140 2_Свод по Агрохоолдингу  (в т.ч КБН  )" xfId="0"/>
    <cellStyle name="_Книга3_Nsi_140 2_Форма по растениеводству (Акционеры) ИЛЧ" xfId="0"/>
    <cellStyle name="_Книга3_Nsi_140 2_раст.-факт" xfId="0"/>
    <cellStyle name="_Книга3_Nsi_140 3" xfId="0"/>
    <cellStyle name="_Книга3_Nsi_140 3_Копия Растениеводство форма(Акционеры)" xfId="0"/>
    <cellStyle name="_Книга3_Nsi_140 3_М( ЗАР)" xfId="0"/>
    <cellStyle name="_Книга3_Nsi_140 3_Модель АгроГард на 5 лет" xfId="0"/>
    <cellStyle name="_Книга3_Nsi_140 3_Растениеводство форма( АГМ)" xfId="0"/>
    <cellStyle name="_Книга3_Nsi_140 3_Свод по Агрохоолдингу  (в т.ч КБН  )" xfId="0"/>
    <cellStyle name="_Книга3_Nsi_140 3_Форма по растениеводству (Акционеры) ИЛЧ" xfId="0"/>
    <cellStyle name="_Книга3_Nsi_140 3_раст.-факт" xfId="0"/>
    <cellStyle name="_Книга3_Nsi_140(Зах)" xfId="0"/>
    <cellStyle name="_Книга3_Nsi_140(Зах) 1" xfId="0"/>
    <cellStyle name="_Книга3_Nsi_140(Зах) 1_Копия Растениеводство форма(Акционеры)" xfId="0"/>
    <cellStyle name="_Книга3_Nsi_140(Зах) 1_М( ЗАР)" xfId="0"/>
    <cellStyle name="_Книга3_Nsi_140(Зах) 1_Модель АгроГард на 5 лет" xfId="0"/>
    <cellStyle name="_Книга3_Nsi_140(Зах) 1_Растениеводство форма( АГМ)" xfId="0"/>
    <cellStyle name="_Книга3_Nsi_140(Зах) 1_Свод по Агрохоолдингу  (в т.ч КБН  )" xfId="0"/>
    <cellStyle name="_Книга3_Nsi_140(Зах) 1_Форма по растениеводству (Акционеры) ИЛЧ" xfId="0"/>
    <cellStyle name="_Книга3_Nsi_140(Зах) 1_раст.-факт" xfId="0"/>
    <cellStyle name="_Книга3_Nsi_140(Зах) 2" xfId="0"/>
    <cellStyle name="_Книга3_Nsi_140(Зах) 2_Копия Растениеводство форма(Акционеры)" xfId="0"/>
    <cellStyle name="_Книга3_Nsi_140(Зах) 2_М( ЗАР)" xfId="0"/>
    <cellStyle name="_Книга3_Nsi_140(Зах) 2_Модель АгроГард на 5 лет" xfId="0"/>
    <cellStyle name="_Книга3_Nsi_140(Зах) 2_Растениеводство форма( АГМ)" xfId="0"/>
    <cellStyle name="_Книга3_Nsi_140(Зах) 2_Свод по Агрохоолдингу  (в т.ч КБН  )" xfId="0"/>
    <cellStyle name="_Книга3_Nsi_140(Зах) 2_Форма по растениеводству (Акционеры) ИЛЧ" xfId="0"/>
    <cellStyle name="_Книга3_Nsi_140(Зах) 2_раст.-факт" xfId="0"/>
    <cellStyle name="_Книга3_Nsi_140(Зах) 3" xfId="0"/>
    <cellStyle name="_Книга3_Nsi_140(Зах) 3_Копия Растениеводство форма(Акционеры)" xfId="0"/>
    <cellStyle name="_Книга3_Nsi_140(Зах) 3_М( ЗАР)" xfId="0"/>
    <cellStyle name="_Книга3_Nsi_140(Зах) 3_Модель АгроГард на 5 лет" xfId="0"/>
    <cellStyle name="_Книга3_Nsi_140(Зах) 3_Растениеводство форма( АГМ)" xfId="0"/>
    <cellStyle name="_Книга3_Nsi_140(Зах) 3_Свод по Агрохоолдингу  (в т.ч КБН  )" xfId="0"/>
    <cellStyle name="_Книга3_Nsi_140(Зах) 3_Форма по растениеводству (Акционеры) ИЛЧ" xfId="0"/>
    <cellStyle name="_Книга3_Nsi_140(Зах) 3_раст.-факт" xfId="0"/>
    <cellStyle name="_Книга3_Nsi_140(Зах)_АГМ" xfId="0"/>
    <cellStyle name="_Книга3_Nsi_140(Зах)_Копия Растениеводство форма(Акционеры)" xfId="0"/>
    <cellStyle name="_Книга3_Nsi_140(Зах)_М( ЗАР)" xfId="0"/>
    <cellStyle name="_Книга3_Nsi_140(Зах)_Модель АгроГард на 5 лет" xfId="0"/>
    <cellStyle name="_Книга3_Nsi_140(Зах)_НИК-09" xfId="0"/>
    <cellStyle name="_Книга3_Nsi_140(Зах)_Растениеводство форма( АГМ)" xfId="0"/>
    <cellStyle name="_Книга3_Nsi_140(Зах)_Свод по Агрохоолдингу  (в т.ч КБН  )" xfId="0"/>
    <cellStyle name="_Книга3_Nsi_140(Зах)_ТК-2011 АГМ+транспорт" xfId="0"/>
    <cellStyle name="_Книга3_Nsi_140(Зах)_Форма по растениеводству (Акционеры) ИЛЧ" xfId="0"/>
    <cellStyle name="_Книга3_Nsi_140(Зах)_раст.-факт" xfId="0"/>
    <cellStyle name="_Книга3_Nsi_140_mod" xfId="0"/>
    <cellStyle name="_Книга3_Nsi_140_mod 1" xfId="0"/>
    <cellStyle name="_Книга3_Nsi_140_mod 1_Копия Растениеводство форма(Акционеры)" xfId="0"/>
    <cellStyle name="_Книга3_Nsi_140_mod 1_М( ЗАР)" xfId="0"/>
    <cellStyle name="_Книга3_Nsi_140_mod 1_Модель АгроГард на 5 лет" xfId="0"/>
    <cellStyle name="_Книга3_Nsi_140_mod 1_Растениеводство форма( АГМ)" xfId="0"/>
    <cellStyle name="_Книга3_Nsi_140_mod 1_Свод по Агрохоолдингу  (в т.ч КБН  )" xfId="0"/>
    <cellStyle name="_Книга3_Nsi_140_mod 1_Форма по растениеводству (Акционеры) ИЛЧ" xfId="0"/>
    <cellStyle name="_Книга3_Nsi_140_mod 1_раст.-факт" xfId="0"/>
    <cellStyle name="_Книга3_Nsi_140_mod 2" xfId="0"/>
    <cellStyle name="_Книга3_Nsi_140_mod 2_Копия Растениеводство форма(Акционеры)" xfId="0"/>
    <cellStyle name="_Книга3_Nsi_140_mod 2_М( ЗАР)" xfId="0"/>
    <cellStyle name="_Книга3_Nsi_140_mod 2_Модель АгроГард на 5 лет" xfId="0"/>
    <cellStyle name="_Книга3_Nsi_140_mod 2_Растениеводство форма( АГМ)" xfId="0"/>
    <cellStyle name="_Книга3_Nsi_140_mod 2_Свод по Агрохоолдингу  (в т.ч КБН  )" xfId="0"/>
    <cellStyle name="_Книга3_Nsi_140_mod 2_Форма по растениеводству (Акционеры) ИЛЧ" xfId="0"/>
    <cellStyle name="_Книга3_Nsi_140_mod 2_раст.-факт" xfId="0"/>
    <cellStyle name="_Книга3_Nsi_140_mod 3" xfId="0"/>
    <cellStyle name="_Книга3_Nsi_140_mod 3_Копия Растениеводство форма(Акционеры)" xfId="0"/>
    <cellStyle name="_Книга3_Nsi_140_mod 3_М( ЗАР)" xfId="0"/>
    <cellStyle name="_Книга3_Nsi_140_mod 3_Модель АгроГард на 5 лет" xfId="0"/>
    <cellStyle name="_Книга3_Nsi_140_mod 3_Растениеводство форма( АГМ)" xfId="0"/>
    <cellStyle name="_Книга3_Nsi_140_mod 3_Свод по Агрохоолдингу  (в т.ч КБН  )" xfId="0"/>
    <cellStyle name="_Книга3_Nsi_140_mod 3_Форма по растениеводству (Акционеры) ИЛЧ" xfId="0"/>
    <cellStyle name="_Книга3_Nsi_140_mod 3_раст.-факт" xfId="0"/>
    <cellStyle name="_Книга3_Nsi_140_mod_АГМ" xfId="0"/>
    <cellStyle name="_Книга3_Nsi_140_mod_Копия Растениеводство форма(Акционеры)" xfId="0"/>
    <cellStyle name="_Книга3_Nsi_140_mod_М( ЗАР)" xfId="0"/>
    <cellStyle name="_Книга3_Nsi_140_mod_Модель АгроГард на 5 лет" xfId="0"/>
    <cellStyle name="_Книга3_Nsi_140_mod_НИК-09" xfId="0"/>
    <cellStyle name="_Книга3_Nsi_140_mod_Растениеводство форма( АГМ)" xfId="0"/>
    <cellStyle name="_Книга3_Nsi_140_mod_Свод по Агрохоолдингу  (в т.ч КБН  )" xfId="0"/>
    <cellStyle name="_Книга3_Nsi_140_mod_ТК-2011 АГМ+транспорт" xfId="0"/>
    <cellStyle name="_Книга3_Nsi_140_mod_Форма по растениеводству (Акционеры) ИЛЧ" xfId="0"/>
    <cellStyle name="_Книга3_Nsi_140_mod_раст.-факт" xfId="0"/>
    <cellStyle name="_Книга3_Nsi_140_АГМ" xfId="0"/>
    <cellStyle name="_Книга3_Nsi_140_Копия Растениеводство форма(Акционеры)" xfId="0"/>
    <cellStyle name="_Книга3_Nsi_140_М( ЗАР)" xfId="0"/>
    <cellStyle name="_Книга3_Nsi_140_Модель АгроГард на 5 лет" xfId="0"/>
    <cellStyle name="_Книга3_Nsi_140_НИК-09" xfId="0"/>
    <cellStyle name="_Книга3_Nsi_140_Растениеводство форма( АГМ)" xfId="0"/>
    <cellStyle name="_Книга3_Nsi_140_Свод по Агрохоолдингу  (в т.ч КБН  )" xfId="0"/>
    <cellStyle name="_Книга3_Nsi_140_ТК-2011 АГМ+транспорт" xfId="0"/>
    <cellStyle name="_Книга3_Nsi_140_Форма по растениеводству (Акционеры) ИЛЧ" xfId="0"/>
    <cellStyle name="_Книга3_Nsi_140_раст.-факт" xfId="0"/>
    <cellStyle name="_Книга3_Nsi_1_АГМ" xfId="0"/>
    <cellStyle name="_Книга3_Nsi_1_Копия Растениеводство форма(Акционеры)" xfId="0"/>
    <cellStyle name="_Книга3_Nsi_1_М( ЗАР)" xfId="0"/>
    <cellStyle name="_Книга3_Nsi_1_Модель АгроГард на 5 лет" xfId="0"/>
    <cellStyle name="_Книга3_Nsi_1_НИК-09" xfId="0"/>
    <cellStyle name="_Книга3_Nsi_1_Растениеводство форма( АГМ)" xfId="0"/>
    <cellStyle name="_Книга3_Nsi_1_Свод по Агрохоолдингу  (в т.ч КБН  )" xfId="0"/>
    <cellStyle name="_Книга3_Nsi_1_ТК-2011 АГМ+транспорт" xfId="0"/>
    <cellStyle name="_Книга3_Nsi_1_Форма по растениеводству (Акционеры) ИЛЧ" xfId="0"/>
    <cellStyle name="_Книга3_Nsi_1_раст.-факт" xfId="0"/>
    <cellStyle name="_Книга3_Nsi_АГМ" xfId="0"/>
    <cellStyle name="_Книга3_Nsi_Копия Растениеводство форма(Акционеры)" xfId="0"/>
    <cellStyle name="_Книга3_Nsi_М( ЗАР)" xfId="0"/>
    <cellStyle name="_Книга3_Nsi_Модель АгроГард на 5 лет" xfId="0"/>
    <cellStyle name="_Книга3_Nsi_НИК-09" xfId="0"/>
    <cellStyle name="_Книга3_Nsi_Растениеводство форма( АГМ)" xfId="0"/>
    <cellStyle name="_Книга3_Nsi_Свод по Агрохоолдингу  (в т.ч КБН  )" xfId="0"/>
    <cellStyle name="_Книга3_Nsi_ТК-2011 АГМ+транспорт" xfId="0"/>
    <cellStyle name="_Книга3_Nsi_Форма по растениеводству (Акционеры) ИЛЧ" xfId="0"/>
    <cellStyle name="_Книга3_Nsi_раст.-факт" xfId="0"/>
    <cellStyle name="_Книга3_Summary" xfId="0"/>
    <cellStyle name="_Книга3_Summary 1" xfId="0"/>
    <cellStyle name="_Книга3_Summary 1_Копия Растениеводство форма(Акционеры)" xfId="0"/>
    <cellStyle name="_Книга3_Summary 1_М( ЗАР)" xfId="0"/>
    <cellStyle name="_Книга3_Summary 1_Модель АгроГард на 5 лет" xfId="0"/>
    <cellStyle name="_Книга3_Summary 1_Растениеводство форма( АГМ)" xfId="0"/>
    <cellStyle name="_Книга3_Summary 1_Свод по Агрохоолдингу  (в т.ч КБН  )" xfId="0"/>
    <cellStyle name="_Книга3_Summary 1_Форма по растениеводству (Акционеры) ИЛЧ" xfId="0"/>
    <cellStyle name="_Книга3_Summary 1_раст.-факт" xfId="0"/>
    <cellStyle name="_Книга3_Summary 2" xfId="0"/>
    <cellStyle name="_Книга3_Summary 2_Копия Растениеводство форма(Акционеры)" xfId="0"/>
    <cellStyle name="_Книга3_Summary 2_М( ЗАР)" xfId="0"/>
    <cellStyle name="_Книга3_Summary 2_Модель АгроГард на 5 лет" xfId="0"/>
    <cellStyle name="_Книга3_Summary 2_Растениеводство форма( АГМ)" xfId="0"/>
    <cellStyle name="_Книга3_Summary 2_Свод по Агрохоолдингу  (в т.ч КБН  )" xfId="0"/>
    <cellStyle name="_Книга3_Summary 2_Форма по растениеводству (Акционеры) ИЛЧ" xfId="0"/>
    <cellStyle name="_Книга3_Summary 2_раст.-факт" xfId="0"/>
    <cellStyle name="_Книга3_Summary 3" xfId="0"/>
    <cellStyle name="_Книга3_Summary 3_Копия Растениеводство форма(Акционеры)" xfId="0"/>
    <cellStyle name="_Книга3_Summary 3_М( ЗАР)" xfId="0"/>
    <cellStyle name="_Книга3_Summary 3_Модель АгроГард на 5 лет" xfId="0"/>
    <cellStyle name="_Книга3_Summary 3_Растениеводство форма( АГМ)" xfId="0"/>
    <cellStyle name="_Книга3_Summary 3_Свод по Агрохоолдингу  (в т.ч КБН  )" xfId="0"/>
    <cellStyle name="_Книга3_Summary 3_Форма по растениеводству (Акционеры) ИЛЧ" xfId="0"/>
    <cellStyle name="_Книга3_Summary 3_раст.-факт" xfId="0"/>
    <cellStyle name="_Книга3_Summary_АГМ" xfId="0"/>
    <cellStyle name="_Книга3_Summary_Копия Растениеводство форма(Акционеры)" xfId="0"/>
    <cellStyle name="_Книга3_Summary_М( ЗАР)" xfId="0"/>
    <cellStyle name="_Книга3_Summary_Модель АгроГард на 5 лет" xfId="0"/>
    <cellStyle name="_Книга3_Summary_НИК-09" xfId="0"/>
    <cellStyle name="_Книга3_Summary_Растениеводство форма( АГМ)" xfId="0"/>
    <cellStyle name="_Книга3_Summary_Свод по Агрохоолдингу  (в т.ч КБН  )" xfId="0"/>
    <cellStyle name="_Книга3_Summary_ТК-2011 АГМ+транспорт" xfId="0"/>
    <cellStyle name="_Книга3_Summary_Форма по растениеводству (Акционеры) ИЛЧ" xfId="0"/>
    <cellStyle name="_Книга3_Summary_раст.-факт" xfId="0"/>
    <cellStyle name="_Книга3_Tax_form_1кв_3" xfId="0"/>
    <cellStyle name="_Книга3_Tax_form_1кв_3 1" xfId="0"/>
    <cellStyle name="_Книга3_Tax_form_1кв_3 1_Копия Растениеводство форма(Акционеры)" xfId="0"/>
    <cellStyle name="_Книга3_Tax_form_1кв_3 1_М( ЗАР)" xfId="0"/>
    <cellStyle name="_Книга3_Tax_form_1кв_3 1_Модель АгроГард на 5 лет" xfId="0"/>
    <cellStyle name="_Книга3_Tax_form_1кв_3 1_Растениеводство форма( АГМ)" xfId="0"/>
    <cellStyle name="_Книга3_Tax_form_1кв_3 1_Свод по Агрохоолдингу  (в т.ч КБН  )" xfId="0"/>
    <cellStyle name="_Книга3_Tax_form_1кв_3 1_Форма по растениеводству (Акционеры) ИЛЧ" xfId="0"/>
    <cellStyle name="_Книга3_Tax_form_1кв_3 1_раст.-факт" xfId="0"/>
    <cellStyle name="_Книга3_Tax_form_1кв_3 2" xfId="0"/>
    <cellStyle name="_Книга3_Tax_form_1кв_3 2_Копия Растениеводство форма(Акционеры)" xfId="0"/>
    <cellStyle name="_Книга3_Tax_form_1кв_3 2_М( ЗАР)" xfId="0"/>
    <cellStyle name="_Книга3_Tax_form_1кв_3 2_Модель АгроГард на 5 лет" xfId="0"/>
    <cellStyle name="_Книга3_Tax_form_1кв_3 2_Растениеводство форма( АГМ)" xfId="0"/>
    <cellStyle name="_Книга3_Tax_form_1кв_3 2_Свод по Агрохоолдингу  (в т.ч КБН  )" xfId="0"/>
    <cellStyle name="_Книга3_Tax_form_1кв_3 2_Форма по растениеводству (Акционеры) ИЛЧ" xfId="0"/>
    <cellStyle name="_Книга3_Tax_form_1кв_3 2_раст.-факт" xfId="0"/>
    <cellStyle name="_Книга3_Tax_form_1кв_3 3" xfId="0"/>
    <cellStyle name="_Книга3_Tax_form_1кв_3 3_Копия Растениеводство форма(Акционеры)" xfId="0"/>
    <cellStyle name="_Книга3_Tax_form_1кв_3 3_М( ЗАР)" xfId="0"/>
    <cellStyle name="_Книга3_Tax_form_1кв_3 3_Модель АгроГард на 5 лет" xfId="0"/>
    <cellStyle name="_Книга3_Tax_form_1кв_3 3_Растениеводство форма( АГМ)" xfId="0"/>
    <cellStyle name="_Книга3_Tax_form_1кв_3 3_Свод по Агрохоолдингу  (в т.ч КБН  )" xfId="0"/>
    <cellStyle name="_Книга3_Tax_form_1кв_3 3_Форма по растениеводству (Акционеры) ИЛЧ" xfId="0"/>
    <cellStyle name="_Книга3_Tax_form_1кв_3 3_раст.-факт" xfId="0"/>
    <cellStyle name="_Книга3_Tax_form_1кв_3_АГМ" xfId="0"/>
    <cellStyle name="_Книга3_Tax_form_1кв_3_Копия Растениеводство форма(Акционеры)" xfId="0"/>
    <cellStyle name="_Книга3_Tax_form_1кв_3_М( ЗАР)" xfId="0"/>
    <cellStyle name="_Книга3_Tax_form_1кв_3_Модель АгроГард на 5 лет" xfId="0"/>
    <cellStyle name="_Книга3_Tax_form_1кв_3_НИК-09" xfId="0"/>
    <cellStyle name="_Книга3_Tax_form_1кв_3_Растениеводство форма( АГМ)" xfId="0"/>
    <cellStyle name="_Книга3_Tax_form_1кв_3_Свод по Агрохоолдингу  (в т.ч КБН  )" xfId="0"/>
    <cellStyle name="_Книга3_Tax_form_1кв_3_ТК-2011 АГМ+транспорт" xfId="0"/>
    <cellStyle name="_Книга3_Tax_form_1кв_3_Форма по растениеводству (Акционеры) ИЛЧ" xfId="0"/>
    <cellStyle name="_Книга3_Tax_form_1кв_3_раст.-факт" xfId="0"/>
    <cellStyle name="_Книга3_АГМ" xfId="0"/>
    <cellStyle name="_Книга3_БКЭ" xfId="0"/>
    <cellStyle name="_Книга3_БКЭ 1" xfId="0"/>
    <cellStyle name="_Книга3_БКЭ 1_Копия Растениеводство форма(Акционеры)" xfId="0"/>
    <cellStyle name="_Книга3_БКЭ 1_М( ЗАР)" xfId="0"/>
    <cellStyle name="_Книга3_БКЭ 1_Модель АгроГард на 5 лет" xfId="0"/>
    <cellStyle name="_Книга3_БКЭ 1_Растениеводство форма( АГМ)" xfId="0"/>
    <cellStyle name="_Книга3_БКЭ 1_Свод по Агрохоолдингу  (в т.ч КБН  )" xfId="0"/>
    <cellStyle name="_Книга3_БКЭ 1_Форма по растениеводству (Акционеры) ИЛЧ" xfId="0"/>
    <cellStyle name="_Книга3_БКЭ 1_раст.-факт" xfId="0"/>
    <cellStyle name="_Книга3_БКЭ 2" xfId="0"/>
    <cellStyle name="_Книга3_БКЭ 2_Копия Растениеводство форма(Акционеры)" xfId="0"/>
    <cellStyle name="_Книга3_БКЭ 2_М( ЗАР)" xfId="0"/>
    <cellStyle name="_Книга3_БКЭ 2_Модель АгроГард на 5 лет" xfId="0"/>
    <cellStyle name="_Книга3_БКЭ 2_Растениеводство форма( АГМ)" xfId="0"/>
    <cellStyle name="_Книга3_БКЭ 2_Свод по Агрохоолдингу  (в т.ч КБН  )" xfId="0"/>
    <cellStyle name="_Книга3_БКЭ 2_Форма по растениеводству (Акционеры) ИЛЧ" xfId="0"/>
    <cellStyle name="_Книга3_БКЭ 2_раст.-факт" xfId="0"/>
    <cellStyle name="_Книга3_БКЭ 3" xfId="0"/>
    <cellStyle name="_Книга3_БКЭ 3_Копия Растениеводство форма(Акционеры)" xfId="0"/>
    <cellStyle name="_Книга3_БКЭ 3_М( ЗАР)" xfId="0"/>
    <cellStyle name="_Книга3_БКЭ 3_Модель АгроГард на 5 лет" xfId="0"/>
    <cellStyle name="_Книга3_БКЭ 3_Растениеводство форма( АГМ)" xfId="0"/>
    <cellStyle name="_Книга3_БКЭ 3_Свод по Агрохоолдингу  (в т.ч КБН  )" xfId="0"/>
    <cellStyle name="_Книга3_БКЭ 3_Форма по растениеводству (Акционеры) ИЛЧ" xfId="0"/>
    <cellStyle name="_Книга3_БКЭ 3_раст.-факт" xfId="0"/>
    <cellStyle name="_Книга3_БКЭ_АГМ" xfId="0"/>
    <cellStyle name="_Книга3_БКЭ_Копия Растениеводство форма(Акционеры)" xfId="0"/>
    <cellStyle name="_Книга3_БКЭ_М( ЗАР)" xfId="0"/>
    <cellStyle name="_Книга3_БКЭ_Модель АгроГард на 5 лет" xfId="0"/>
    <cellStyle name="_Книга3_БКЭ_НИК-09" xfId="0"/>
    <cellStyle name="_Книга3_БКЭ_Растениеводство форма( АГМ)" xfId="0"/>
    <cellStyle name="_Книга3_БКЭ_Свод по Агрохоолдингу  (в т.ч КБН  )" xfId="0"/>
    <cellStyle name="_Книга3_БКЭ_ТК-2011 АГМ+транспорт" xfId="0"/>
    <cellStyle name="_Книга3_БКЭ_Форма по растениеводству (Акционеры) ИЛЧ" xfId="0"/>
    <cellStyle name="_Книга3_БКЭ_раст.-факт" xfId="0"/>
    <cellStyle name="_Книга3_Копия Растениеводство форма(Акционеры)" xfId="0"/>
    <cellStyle name="_Книга3_М( ЗАР)" xfId="0"/>
    <cellStyle name="_Книга3_Модель АгроГард на 5 лет" xfId="0"/>
    <cellStyle name="_Книга3_НИК-09" xfId="0"/>
    <cellStyle name="_Книга3_Растениеводство форма( АГМ)" xfId="0"/>
    <cellStyle name="_Книга3_Свод по Агрохоолдингу  (в т.ч КБН  )" xfId="0"/>
    <cellStyle name="_Книга3_ТК-2011 АГМ+транспорт" xfId="0"/>
    <cellStyle name="_Книга3_Форма по растениеводству (Акционеры) ИЛЧ" xfId="0"/>
    <cellStyle name="_Книга3_раст.-факт" xfId="0"/>
    <cellStyle name="_Книга7" xfId="0"/>
    <cellStyle name="_Книга7 1" xfId="0"/>
    <cellStyle name="_Книга7 1_Копия Растениеводство форма(Акционеры)" xfId="0"/>
    <cellStyle name="_Книга7 1_М( ЗАР)" xfId="0"/>
    <cellStyle name="_Книга7 1_Модель АгроГард на 5 лет" xfId="0"/>
    <cellStyle name="_Книга7 1_Растениеводство форма( АГМ)" xfId="0"/>
    <cellStyle name="_Книга7 1_Свод по Агрохоолдингу  (в т.ч КБН  )" xfId="0"/>
    <cellStyle name="_Книга7 1_Форма по растениеводству (Акционеры) ИЛЧ" xfId="0"/>
    <cellStyle name="_Книга7 1_раст.-факт" xfId="0"/>
    <cellStyle name="_Книга7 2" xfId="0"/>
    <cellStyle name="_Книга7 2_Копия Растениеводство форма(Акционеры)" xfId="0"/>
    <cellStyle name="_Книга7 2_М( ЗАР)" xfId="0"/>
    <cellStyle name="_Книга7 2_Модель АгроГард на 5 лет" xfId="0"/>
    <cellStyle name="_Книга7 2_Растениеводство форма( АГМ)" xfId="0"/>
    <cellStyle name="_Книга7 2_Свод по Агрохоолдингу  (в т.ч КБН  )" xfId="0"/>
    <cellStyle name="_Книга7 2_Форма по растениеводству (Акционеры) ИЛЧ" xfId="0"/>
    <cellStyle name="_Книга7 2_раст.-факт" xfId="0"/>
    <cellStyle name="_Книга7 3" xfId="0"/>
    <cellStyle name="_Книга7 3_Копия Растениеводство форма(Акционеры)" xfId="0"/>
    <cellStyle name="_Книга7 3_М( ЗАР)" xfId="0"/>
    <cellStyle name="_Книга7 3_Модель АгроГард на 5 лет" xfId="0"/>
    <cellStyle name="_Книга7 3_Растениеводство форма( АГМ)" xfId="0"/>
    <cellStyle name="_Книга7 3_Свод по Агрохоолдингу  (в т.ч КБН  )" xfId="0"/>
    <cellStyle name="_Книга7 3_Форма по растениеводству (Акционеры) ИЛЧ" xfId="0"/>
    <cellStyle name="_Книга7 3_раст.-факт" xfId="0"/>
    <cellStyle name="_Книга7_New Form10_2" xfId="0"/>
    <cellStyle name="_Книга7_New Form10_2 1" xfId="0"/>
    <cellStyle name="_Книга7_New Form10_2 1_Копия Растениеводство форма(Акционеры)" xfId="0"/>
    <cellStyle name="_Книга7_New Form10_2 1_М( ЗАР)" xfId="0"/>
    <cellStyle name="_Книга7_New Form10_2 1_Модель АгроГард на 5 лет" xfId="0"/>
    <cellStyle name="_Книга7_New Form10_2 1_Растениеводство форма( АГМ)" xfId="0"/>
    <cellStyle name="_Книга7_New Form10_2 1_Свод по Агрохоолдингу  (в т.ч КБН  )" xfId="0"/>
    <cellStyle name="_Книга7_New Form10_2 1_Форма по растениеводству (Акционеры) ИЛЧ" xfId="0"/>
    <cellStyle name="_Книга7_New Form10_2 1_раст.-факт" xfId="0"/>
    <cellStyle name="_Книга7_New Form10_2 2" xfId="0"/>
    <cellStyle name="_Книга7_New Form10_2 2_Копия Растениеводство форма(Акционеры)" xfId="0"/>
    <cellStyle name="_Книга7_New Form10_2 2_М( ЗАР)" xfId="0"/>
    <cellStyle name="_Книга7_New Form10_2 2_Модель АгроГард на 5 лет" xfId="0"/>
    <cellStyle name="_Книга7_New Form10_2 2_Растениеводство форма( АГМ)" xfId="0"/>
    <cellStyle name="_Книга7_New Form10_2 2_Свод по Агрохоолдингу  (в т.ч КБН  )" xfId="0"/>
    <cellStyle name="_Книга7_New Form10_2 2_Форма по растениеводству (Акционеры) ИЛЧ" xfId="0"/>
    <cellStyle name="_Книга7_New Form10_2 2_раст.-факт" xfId="0"/>
    <cellStyle name="_Книга7_New Form10_2 3" xfId="0"/>
    <cellStyle name="_Книга7_New Form10_2 3_Копия Растениеводство форма(Акционеры)" xfId="0"/>
    <cellStyle name="_Книга7_New Form10_2 3_М( ЗАР)" xfId="0"/>
    <cellStyle name="_Книга7_New Form10_2 3_Модель АгроГард на 5 лет" xfId="0"/>
    <cellStyle name="_Книга7_New Form10_2 3_Растениеводство форма( АГМ)" xfId="0"/>
    <cellStyle name="_Книга7_New Form10_2 3_Свод по Агрохоолдингу  (в т.ч КБН  )" xfId="0"/>
    <cellStyle name="_Книга7_New Form10_2 3_Форма по растениеводству (Акционеры) ИЛЧ" xfId="0"/>
    <cellStyle name="_Книга7_New Form10_2 3_раст.-факт" xfId="0"/>
    <cellStyle name="_Книга7_New Form10_2_АГМ" xfId="0"/>
    <cellStyle name="_Книга7_New Form10_2_Копия Растениеводство форма(Акционеры)" xfId="0"/>
    <cellStyle name="_Книга7_New Form10_2_М( ЗАР)" xfId="0"/>
    <cellStyle name="_Книга7_New Form10_2_Модель АгроГард на 5 лет" xfId="0"/>
    <cellStyle name="_Книга7_New Form10_2_НИК-09" xfId="0"/>
    <cellStyle name="_Книга7_New Form10_2_Растениеводство форма( АГМ)" xfId="0"/>
    <cellStyle name="_Книга7_New Form10_2_Свод по Агрохоолдингу  (в т.ч КБН  )" xfId="0"/>
    <cellStyle name="_Книга7_New Form10_2_ТК-2011 АГМ+транспорт" xfId="0"/>
    <cellStyle name="_Книга7_New Form10_2_Форма по растениеводству (Акционеры) ИЛЧ" xfId="0"/>
    <cellStyle name="_Книга7_New Form10_2_раст.-факт" xfId="0"/>
    <cellStyle name="_Книга7_Nsi" xfId="0"/>
    <cellStyle name="_Книга7_Nsi 1" xfId="0"/>
    <cellStyle name="_Книга7_Nsi 1_Копия Растениеводство форма(Акционеры)" xfId="0"/>
    <cellStyle name="_Книга7_Nsi 1_М( ЗАР)" xfId="0"/>
    <cellStyle name="_Книга7_Nsi 1_Модель АгроГард на 5 лет" xfId="0"/>
    <cellStyle name="_Книга7_Nsi 1_Растениеводство форма( АГМ)" xfId="0"/>
    <cellStyle name="_Книга7_Nsi 1_Свод по Агрохоолдингу  (в т.ч КБН  )" xfId="0"/>
    <cellStyle name="_Книга7_Nsi 1_Форма по растениеводству (Акционеры) ИЛЧ" xfId="0"/>
    <cellStyle name="_Книга7_Nsi 1_раст.-факт" xfId="0"/>
    <cellStyle name="_Книга7_Nsi 2" xfId="0"/>
    <cellStyle name="_Книга7_Nsi 2_Копия Растениеводство форма(Акционеры)" xfId="0"/>
    <cellStyle name="_Книга7_Nsi 2_М( ЗАР)" xfId="0"/>
    <cellStyle name="_Книга7_Nsi 2_Модель АгроГард на 5 лет" xfId="0"/>
    <cellStyle name="_Книга7_Nsi 2_Растениеводство форма( АГМ)" xfId="0"/>
    <cellStyle name="_Книга7_Nsi 2_Свод по Агрохоолдингу  (в т.ч КБН  )" xfId="0"/>
    <cellStyle name="_Книга7_Nsi 2_Форма по растениеводству (Акционеры) ИЛЧ" xfId="0"/>
    <cellStyle name="_Книга7_Nsi 2_раст.-факт" xfId="0"/>
    <cellStyle name="_Книга7_Nsi 3" xfId="0"/>
    <cellStyle name="_Книга7_Nsi 3_Копия Растениеводство форма(Акционеры)" xfId="0"/>
    <cellStyle name="_Книга7_Nsi 3_М( ЗАР)" xfId="0"/>
    <cellStyle name="_Книга7_Nsi 3_Модель АгроГард на 5 лет" xfId="0"/>
    <cellStyle name="_Книга7_Nsi 3_Растениеводство форма( АГМ)" xfId="0"/>
    <cellStyle name="_Книга7_Nsi 3_Свод по Агрохоолдингу  (в т.ч КБН  )" xfId="0"/>
    <cellStyle name="_Книга7_Nsi 3_Форма по растениеводству (Акционеры) ИЛЧ" xfId="0"/>
    <cellStyle name="_Книга7_Nsi 3_раст.-факт" xfId="0"/>
    <cellStyle name="_Книга7_Nsi_1" xfId="0"/>
    <cellStyle name="_Книга7_Nsi_1 1" xfId="0"/>
    <cellStyle name="_Книга7_Nsi_1 1_Копия Растениеводство форма(Акционеры)" xfId="0"/>
    <cellStyle name="_Книга7_Nsi_1 1_М( ЗАР)" xfId="0"/>
    <cellStyle name="_Книга7_Nsi_1 1_Модель АгроГард на 5 лет" xfId="0"/>
    <cellStyle name="_Книга7_Nsi_1 1_Растениеводство форма( АГМ)" xfId="0"/>
    <cellStyle name="_Книга7_Nsi_1 1_Свод по Агрохоолдингу  (в т.ч КБН  )" xfId="0"/>
    <cellStyle name="_Книга7_Nsi_1 1_Форма по растениеводству (Акционеры) ИЛЧ" xfId="0"/>
    <cellStyle name="_Книга7_Nsi_1 1_раст.-факт" xfId="0"/>
    <cellStyle name="_Книга7_Nsi_1 2" xfId="0"/>
    <cellStyle name="_Книга7_Nsi_1 2_Копия Растениеводство форма(Акционеры)" xfId="0"/>
    <cellStyle name="_Книга7_Nsi_1 2_М( ЗАР)" xfId="0"/>
    <cellStyle name="_Книга7_Nsi_1 2_Модель АгроГард на 5 лет" xfId="0"/>
    <cellStyle name="_Книга7_Nsi_1 2_Растениеводство форма( АГМ)" xfId="0"/>
    <cellStyle name="_Книга7_Nsi_1 2_Свод по Агрохоолдингу  (в т.ч КБН  )" xfId="0"/>
    <cellStyle name="_Книга7_Nsi_1 2_Форма по растениеводству (Акционеры) ИЛЧ" xfId="0"/>
    <cellStyle name="_Книга7_Nsi_1 2_раст.-факт" xfId="0"/>
    <cellStyle name="_Книга7_Nsi_1 3" xfId="0"/>
    <cellStyle name="_Книга7_Nsi_1 3_Копия Растениеводство форма(Акционеры)" xfId="0"/>
    <cellStyle name="_Книга7_Nsi_1 3_М( ЗАР)" xfId="0"/>
    <cellStyle name="_Книга7_Nsi_1 3_Модель АгроГард на 5 лет" xfId="0"/>
    <cellStyle name="_Книга7_Nsi_1 3_Растениеводство форма( АГМ)" xfId="0"/>
    <cellStyle name="_Книга7_Nsi_1 3_Свод по Агрохоолдингу  (в т.ч КБН  )" xfId="0"/>
    <cellStyle name="_Книга7_Nsi_1 3_Форма по растениеводству (Акционеры) ИЛЧ" xfId="0"/>
    <cellStyle name="_Книга7_Nsi_1 3_раст.-факт" xfId="0"/>
    <cellStyle name="_Книга7_Nsi_139" xfId="0"/>
    <cellStyle name="_Книга7_Nsi_139 1" xfId="0"/>
    <cellStyle name="_Книга7_Nsi_139 1_Копия Растениеводство форма(Акционеры)" xfId="0"/>
    <cellStyle name="_Книга7_Nsi_139 1_М( ЗАР)" xfId="0"/>
    <cellStyle name="_Книга7_Nsi_139 1_Модель АгроГард на 5 лет" xfId="0"/>
    <cellStyle name="_Книга7_Nsi_139 1_Растениеводство форма( АГМ)" xfId="0"/>
    <cellStyle name="_Книга7_Nsi_139 1_Свод по Агрохоолдингу  (в т.ч КБН  )" xfId="0"/>
    <cellStyle name="_Книга7_Nsi_139 1_Форма по растениеводству (Акционеры) ИЛЧ" xfId="0"/>
    <cellStyle name="_Книга7_Nsi_139 1_раст.-факт" xfId="0"/>
    <cellStyle name="_Книга7_Nsi_139 2" xfId="0"/>
    <cellStyle name="_Книга7_Nsi_139 2_Копия Растениеводство форма(Акционеры)" xfId="0"/>
    <cellStyle name="_Книга7_Nsi_139 2_М( ЗАР)" xfId="0"/>
    <cellStyle name="_Книга7_Nsi_139 2_Модель АгроГард на 5 лет" xfId="0"/>
    <cellStyle name="_Книга7_Nsi_139 2_Растениеводство форма( АГМ)" xfId="0"/>
    <cellStyle name="_Книга7_Nsi_139 2_Свод по Агрохоолдингу  (в т.ч КБН  )" xfId="0"/>
    <cellStyle name="_Книга7_Nsi_139 2_Форма по растениеводству (Акционеры) ИЛЧ" xfId="0"/>
    <cellStyle name="_Книга7_Nsi_139 2_раст.-факт" xfId="0"/>
    <cellStyle name="_Книга7_Nsi_139 3" xfId="0"/>
    <cellStyle name="_Книга7_Nsi_139 3_Копия Растениеводство форма(Акционеры)" xfId="0"/>
    <cellStyle name="_Книга7_Nsi_139 3_М( ЗАР)" xfId="0"/>
    <cellStyle name="_Книга7_Nsi_139 3_Модель АгроГард на 5 лет" xfId="0"/>
    <cellStyle name="_Книга7_Nsi_139 3_Растениеводство форма( АГМ)" xfId="0"/>
    <cellStyle name="_Книга7_Nsi_139 3_Свод по Агрохоолдингу  (в т.ч КБН  )" xfId="0"/>
    <cellStyle name="_Книга7_Nsi_139 3_Форма по растениеводству (Акционеры) ИЛЧ" xfId="0"/>
    <cellStyle name="_Книга7_Nsi_139 3_раст.-факт" xfId="0"/>
    <cellStyle name="_Книга7_Nsi_139_АГМ" xfId="0"/>
    <cellStyle name="_Книга7_Nsi_139_Копия Растениеводство форма(Акционеры)" xfId="0"/>
    <cellStyle name="_Книга7_Nsi_139_М( ЗАР)" xfId="0"/>
    <cellStyle name="_Книга7_Nsi_139_Модель АгроГард на 5 лет" xfId="0"/>
    <cellStyle name="_Книга7_Nsi_139_НИК-09" xfId="0"/>
    <cellStyle name="_Книга7_Nsi_139_Растениеводство форма( АГМ)" xfId="0"/>
    <cellStyle name="_Книга7_Nsi_139_Свод по Агрохоолдингу  (в т.ч КБН  )" xfId="0"/>
    <cellStyle name="_Книга7_Nsi_139_ТК-2011 АГМ+транспорт" xfId="0"/>
    <cellStyle name="_Книга7_Nsi_139_Форма по растениеводству (Акционеры) ИЛЧ" xfId="0"/>
    <cellStyle name="_Книга7_Nsi_139_раст.-факт" xfId="0"/>
    <cellStyle name="_Книга7_Nsi_140" xfId="0"/>
    <cellStyle name="_Книга7_Nsi_140 1" xfId="0"/>
    <cellStyle name="_Книга7_Nsi_140 1_Копия Растениеводство форма(Акционеры)" xfId="0"/>
    <cellStyle name="_Книга7_Nsi_140 1_М( ЗАР)" xfId="0"/>
    <cellStyle name="_Книга7_Nsi_140 1_Модель АгроГард на 5 лет" xfId="0"/>
    <cellStyle name="_Книга7_Nsi_140 1_Растениеводство форма( АГМ)" xfId="0"/>
    <cellStyle name="_Книга7_Nsi_140 1_Свод по Агрохоолдингу  (в т.ч КБН  )" xfId="0"/>
    <cellStyle name="_Книга7_Nsi_140 1_Форма по растениеводству (Акционеры) ИЛЧ" xfId="0"/>
    <cellStyle name="_Книга7_Nsi_140 1_раст.-факт" xfId="0"/>
    <cellStyle name="_Книга7_Nsi_140 2" xfId="0"/>
    <cellStyle name="_Книга7_Nsi_140 2_Копия Растениеводство форма(Акционеры)" xfId="0"/>
    <cellStyle name="_Книга7_Nsi_140 2_М( ЗАР)" xfId="0"/>
    <cellStyle name="_Книга7_Nsi_140 2_Модель АгроГард на 5 лет" xfId="0"/>
    <cellStyle name="_Книга7_Nsi_140 2_Растениеводство форма( АГМ)" xfId="0"/>
    <cellStyle name="_Книга7_Nsi_140 2_Свод по Агрохоолдингу  (в т.ч КБН  )" xfId="0"/>
    <cellStyle name="_Книга7_Nsi_140 2_Форма по растениеводству (Акционеры) ИЛЧ" xfId="0"/>
    <cellStyle name="_Книга7_Nsi_140 2_раст.-факт" xfId="0"/>
    <cellStyle name="_Книга7_Nsi_140 3" xfId="0"/>
    <cellStyle name="_Книга7_Nsi_140 3_Копия Растениеводство форма(Акционеры)" xfId="0"/>
    <cellStyle name="_Книга7_Nsi_140 3_М( ЗАР)" xfId="0"/>
    <cellStyle name="_Книга7_Nsi_140 3_Модель АгроГард на 5 лет" xfId="0"/>
    <cellStyle name="_Книга7_Nsi_140 3_Растениеводство форма( АГМ)" xfId="0"/>
    <cellStyle name="_Книга7_Nsi_140 3_Свод по Агрохоолдингу  (в т.ч КБН  )" xfId="0"/>
    <cellStyle name="_Книга7_Nsi_140 3_Форма по растениеводству (Акционеры) ИЛЧ" xfId="0"/>
    <cellStyle name="_Книга7_Nsi_140 3_раст.-факт" xfId="0"/>
    <cellStyle name="_Книга7_Nsi_140(Зах)" xfId="0"/>
    <cellStyle name="_Книга7_Nsi_140(Зах) 1" xfId="0"/>
    <cellStyle name="_Книга7_Nsi_140(Зах) 1_Копия Растениеводство форма(Акционеры)" xfId="0"/>
    <cellStyle name="_Книга7_Nsi_140(Зах) 1_М( ЗАР)" xfId="0"/>
    <cellStyle name="_Книга7_Nsi_140(Зах) 1_Модель АгроГард на 5 лет" xfId="0"/>
    <cellStyle name="_Книга7_Nsi_140(Зах) 1_Растениеводство форма( АГМ)" xfId="0"/>
    <cellStyle name="_Книга7_Nsi_140(Зах) 1_Свод по Агрохоолдингу  (в т.ч КБН  )" xfId="0"/>
    <cellStyle name="_Книга7_Nsi_140(Зах) 1_Форма по растениеводству (Акционеры) ИЛЧ" xfId="0"/>
    <cellStyle name="_Книга7_Nsi_140(Зах) 1_раст.-факт" xfId="0"/>
    <cellStyle name="_Книга7_Nsi_140(Зах) 2" xfId="0"/>
    <cellStyle name="_Книга7_Nsi_140(Зах) 2_Копия Растениеводство форма(Акционеры)" xfId="0"/>
    <cellStyle name="_Книга7_Nsi_140(Зах) 2_М( ЗАР)" xfId="0"/>
    <cellStyle name="_Книга7_Nsi_140(Зах) 2_Модель АгроГард на 5 лет" xfId="0"/>
    <cellStyle name="_Книга7_Nsi_140(Зах) 2_Растениеводство форма( АГМ)" xfId="0"/>
    <cellStyle name="_Книга7_Nsi_140(Зах) 2_Свод по Агрохоолдингу  (в т.ч КБН  )" xfId="0"/>
    <cellStyle name="_Книга7_Nsi_140(Зах) 2_Форма по растениеводству (Акционеры) ИЛЧ" xfId="0"/>
    <cellStyle name="_Книга7_Nsi_140(Зах) 2_раст.-факт" xfId="0"/>
    <cellStyle name="_Книга7_Nsi_140(Зах) 3" xfId="0"/>
    <cellStyle name="_Книга7_Nsi_140(Зах) 3_Копия Растениеводство форма(Акционеры)" xfId="0"/>
    <cellStyle name="_Книга7_Nsi_140(Зах) 3_М( ЗАР)" xfId="0"/>
    <cellStyle name="_Книга7_Nsi_140(Зах) 3_Модель АгроГард на 5 лет" xfId="0"/>
    <cellStyle name="_Книга7_Nsi_140(Зах) 3_Растениеводство форма( АГМ)" xfId="0"/>
    <cellStyle name="_Книга7_Nsi_140(Зах) 3_Свод по Агрохоолдингу  (в т.ч КБН  )" xfId="0"/>
    <cellStyle name="_Книга7_Nsi_140(Зах) 3_Форма по растениеводству (Акционеры) ИЛЧ" xfId="0"/>
    <cellStyle name="_Книга7_Nsi_140(Зах) 3_раст.-факт" xfId="0"/>
    <cellStyle name="_Книга7_Nsi_140(Зах)_АГМ" xfId="0"/>
    <cellStyle name="_Книга7_Nsi_140(Зах)_Копия Растениеводство форма(Акционеры)" xfId="0"/>
    <cellStyle name="_Книга7_Nsi_140(Зах)_М( ЗАР)" xfId="0"/>
    <cellStyle name="_Книга7_Nsi_140(Зах)_Модель АгроГард на 5 лет" xfId="0"/>
    <cellStyle name="_Книга7_Nsi_140(Зах)_НИК-09" xfId="0"/>
    <cellStyle name="_Книга7_Nsi_140(Зах)_Растениеводство форма( АГМ)" xfId="0"/>
    <cellStyle name="_Книга7_Nsi_140(Зах)_Свод по Агрохоолдингу  (в т.ч КБН  )" xfId="0"/>
    <cellStyle name="_Книга7_Nsi_140(Зах)_ТК-2011 АГМ+транспорт" xfId="0"/>
    <cellStyle name="_Книга7_Nsi_140(Зах)_Форма по растениеводству (Акционеры) ИЛЧ" xfId="0"/>
    <cellStyle name="_Книга7_Nsi_140(Зах)_раст.-факт" xfId="0"/>
    <cellStyle name="_Книга7_Nsi_140_mod" xfId="0"/>
    <cellStyle name="_Книга7_Nsi_140_mod 1" xfId="0"/>
    <cellStyle name="_Книга7_Nsi_140_mod 1_Копия Растениеводство форма(Акционеры)" xfId="0"/>
    <cellStyle name="_Книга7_Nsi_140_mod 1_М( ЗАР)" xfId="0"/>
    <cellStyle name="_Книга7_Nsi_140_mod 1_Модель АгроГард на 5 лет" xfId="0"/>
    <cellStyle name="_Книга7_Nsi_140_mod 1_Растениеводство форма( АГМ)" xfId="0"/>
    <cellStyle name="_Книга7_Nsi_140_mod 1_Свод по Агрохоолдингу  (в т.ч КБН  )" xfId="0"/>
    <cellStyle name="_Книга7_Nsi_140_mod 1_Форма по растениеводству (Акционеры) ИЛЧ" xfId="0"/>
    <cellStyle name="_Книга7_Nsi_140_mod 1_раст.-факт" xfId="0"/>
    <cellStyle name="_Книга7_Nsi_140_mod 2" xfId="0"/>
    <cellStyle name="_Книга7_Nsi_140_mod 2_Копия Растениеводство форма(Акционеры)" xfId="0"/>
    <cellStyle name="_Книга7_Nsi_140_mod 2_М( ЗАР)" xfId="0"/>
    <cellStyle name="_Книга7_Nsi_140_mod 2_Модель АгроГард на 5 лет" xfId="0"/>
    <cellStyle name="_Книга7_Nsi_140_mod 2_Растениеводство форма( АГМ)" xfId="0"/>
    <cellStyle name="_Книга7_Nsi_140_mod 2_Свод по Агрохоолдингу  (в т.ч КБН  )" xfId="0"/>
    <cellStyle name="_Книга7_Nsi_140_mod 2_Форма по растениеводству (Акционеры) ИЛЧ" xfId="0"/>
    <cellStyle name="_Книга7_Nsi_140_mod 2_раст.-факт" xfId="0"/>
    <cellStyle name="_Книга7_Nsi_140_mod 3" xfId="0"/>
    <cellStyle name="_Книга7_Nsi_140_mod 3_Копия Растениеводство форма(Акционеры)" xfId="0"/>
    <cellStyle name="_Книга7_Nsi_140_mod 3_М( ЗАР)" xfId="0"/>
    <cellStyle name="_Книга7_Nsi_140_mod 3_Модель АгроГард на 5 лет" xfId="0"/>
    <cellStyle name="_Книга7_Nsi_140_mod 3_Растениеводство форма( АГМ)" xfId="0"/>
    <cellStyle name="_Книга7_Nsi_140_mod 3_Свод по Агрохоолдингу  (в т.ч КБН  )" xfId="0"/>
    <cellStyle name="_Книга7_Nsi_140_mod 3_Форма по растениеводству (Акционеры) ИЛЧ" xfId="0"/>
    <cellStyle name="_Книга7_Nsi_140_mod 3_раст.-факт" xfId="0"/>
    <cellStyle name="_Книга7_Nsi_140_mod_АГМ" xfId="0"/>
    <cellStyle name="_Книга7_Nsi_140_mod_Копия Растениеводство форма(Акционеры)" xfId="0"/>
    <cellStyle name="_Книга7_Nsi_140_mod_М( ЗАР)" xfId="0"/>
    <cellStyle name="_Книга7_Nsi_140_mod_Модель АгроГард на 5 лет" xfId="0"/>
    <cellStyle name="_Книга7_Nsi_140_mod_НИК-09" xfId="0"/>
    <cellStyle name="_Книга7_Nsi_140_mod_Растениеводство форма( АГМ)" xfId="0"/>
    <cellStyle name="_Книга7_Nsi_140_mod_Свод по Агрохоолдингу  (в т.ч КБН  )" xfId="0"/>
    <cellStyle name="_Книга7_Nsi_140_mod_ТК-2011 АГМ+транспорт" xfId="0"/>
    <cellStyle name="_Книга7_Nsi_140_mod_Форма по растениеводству (Акционеры) ИЛЧ" xfId="0"/>
    <cellStyle name="_Книга7_Nsi_140_mod_раст.-факт" xfId="0"/>
    <cellStyle name="_Книга7_Nsi_140_АГМ" xfId="0"/>
    <cellStyle name="_Книга7_Nsi_140_Копия Растениеводство форма(Акционеры)" xfId="0"/>
    <cellStyle name="_Книга7_Nsi_140_М( ЗАР)" xfId="0"/>
    <cellStyle name="_Книга7_Nsi_140_Модель АгроГард на 5 лет" xfId="0"/>
    <cellStyle name="_Книга7_Nsi_140_НИК-09" xfId="0"/>
    <cellStyle name="_Книга7_Nsi_140_Растениеводство форма( АГМ)" xfId="0"/>
    <cellStyle name="_Книга7_Nsi_140_Свод по Агрохоолдингу  (в т.ч КБН  )" xfId="0"/>
    <cellStyle name="_Книга7_Nsi_140_ТК-2011 АГМ+транспорт" xfId="0"/>
    <cellStyle name="_Книга7_Nsi_140_Форма по растениеводству (Акционеры) ИЛЧ" xfId="0"/>
    <cellStyle name="_Книга7_Nsi_140_раст.-факт" xfId="0"/>
    <cellStyle name="_Книга7_Nsi_1_АГМ" xfId="0"/>
    <cellStyle name="_Книга7_Nsi_1_Копия Растениеводство форма(Акционеры)" xfId="0"/>
    <cellStyle name="_Книга7_Nsi_1_М( ЗАР)" xfId="0"/>
    <cellStyle name="_Книга7_Nsi_1_Модель АгроГард на 5 лет" xfId="0"/>
    <cellStyle name="_Книга7_Nsi_1_НИК-09" xfId="0"/>
    <cellStyle name="_Книга7_Nsi_1_Растениеводство форма( АГМ)" xfId="0"/>
    <cellStyle name="_Книга7_Nsi_1_Свод по Агрохоолдингу  (в т.ч КБН  )" xfId="0"/>
    <cellStyle name="_Книга7_Nsi_1_ТК-2011 АГМ+транспорт" xfId="0"/>
    <cellStyle name="_Книга7_Nsi_1_Форма по растениеводству (Акционеры) ИЛЧ" xfId="0"/>
    <cellStyle name="_Книга7_Nsi_1_раст.-факт" xfId="0"/>
    <cellStyle name="_Книга7_Nsi_АГМ" xfId="0"/>
    <cellStyle name="_Книга7_Nsi_Копия Растениеводство форма(Акционеры)" xfId="0"/>
    <cellStyle name="_Книга7_Nsi_М( ЗАР)" xfId="0"/>
    <cellStyle name="_Книга7_Nsi_Модель АгроГард на 5 лет" xfId="0"/>
    <cellStyle name="_Книга7_Nsi_НИК-09" xfId="0"/>
    <cellStyle name="_Книга7_Nsi_Растениеводство форма( АГМ)" xfId="0"/>
    <cellStyle name="_Книга7_Nsi_Свод по Агрохоолдингу  (в т.ч КБН  )" xfId="0"/>
    <cellStyle name="_Книга7_Nsi_ТК-2011 АГМ+транспорт" xfId="0"/>
    <cellStyle name="_Книга7_Nsi_Форма по растениеводству (Акционеры) ИЛЧ" xfId="0"/>
    <cellStyle name="_Книга7_Nsi_раст.-факт" xfId="0"/>
    <cellStyle name="_Книга7_Summary" xfId="0"/>
    <cellStyle name="_Книга7_Summary 1" xfId="0"/>
    <cellStyle name="_Книга7_Summary 1_Копия Растениеводство форма(Акционеры)" xfId="0"/>
    <cellStyle name="_Книга7_Summary 1_М( ЗАР)" xfId="0"/>
    <cellStyle name="_Книга7_Summary 1_Модель АгроГард на 5 лет" xfId="0"/>
    <cellStyle name="_Книга7_Summary 1_Растениеводство форма( АГМ)" xfId="0"/>
    <cellStyle name="_Книга7_Summary 1_Свод по Агрохоолдингу  (в т.ч КБН  )" xfId="0"/>
    <cellStyle name="_Книга7_Summary 1_Форма по растениеводству (Акционеры) ИЛЧ" xfId="0"/>
    <cellStyle name="_Книга7_Summary 1_раст.-факт" xfId="0"/>
    <cellStyle name="_Книга7_Summary 2" xfId="0"/>
    <cellStyle name="_Книга7_Summary 2_Копия Растениеводство форма(Акционеры)" xfId="0"/>
    <cellStyle name="_Книга7_Summary 2_М( ЗАР)" xfId="0"/>
    <cellStyle name="_Книга7_Summary 2_Модель АгроГард на 5 лет" xfId="0"/>
    <cellStyle name="_Книга7_Summary 2_Растениеводство форма( АГМ)" xfId="0"/>
    <cellStyle name="_Книга7_Summary 2_Свод по Агрохоолдингу  (в т.ч КБН  )" xfId="0"/>
    <cellStyle name="_Книга7_Summary 2_Форма по растениеводству (Акционеры) ИЛЧ" xfId="0"/>
    <cellStyle name="_Книга7_Summary 2_раст.-факт" xfId="0"/>
    <cellStyle name="_Книга7_Summary 3" xfId="0"/>
    <cellStyle name="_Книга7_Summary 3_Копия Растениеводство форма(Акционеры)" xfId="0"/>
    <cellStyle name="_Книга7_Summary 3_М( ЗАР)" xfId="0"/>
    <cellStyle name="_Книга7_Summary 3_Модель АгроГард на 5 лет" xfId="0"/>
    <cellStyle name="_Книга7_Summary 3_Растениеводство форма( АГМ)" xfId="0"/>
    <cellStyle name="_Книга7_Summary 3_Свод по Агрохоолдингу  (в т.ч КБН  )" xfId="0"/>
    <cellStyle name="_Книга7_Summary 3_Форма по растениеводству (Акционеры) ИЛЧ" xfId="0"/>
    <cellStyle name="_Книга7_Summary 3_раст.-факт" xfId="0"/>
    <cellStyle name="_Книга7_Summary_АГМ" xfId="0"/>
    <cellStyle name="_Книга7_Summary_Копия Растениеводство форма(Акционеры)" xfId="0"/>
    <cellStyle name="_Книга7_Summary_М( ЗАР)" xfId="0"/>
    <cellStyle name="_Книга7_Summary_Модель АгроГард на 5 лет" xfId="0"/>
    <cellStyle name="_Книга7_Summary_НИК-09" xfId="0"/>
    <cellStyle name="_Книга7_Summary_Растениеводство форма( АГМ)" xfId="0"/>
    <cellStyle name="_Книга7_Summary_Свод по Агрохоолдингу  (в т.ч КБН  )" xfId="0"/>
    <cellStyle name="_Книга7_Summary_ТК-2011 АГМ+транспорт" xfId="0"/>
    <cellStyle name="_Книга7_Summary_Форма по растениеводству (Акционеры) ИЛЧ" xfId="0"/>
    <cellStyle name="_Книга7_Summary_раст.-факт" xfId="0"/>
    <cellStyle name="_Книга7_Tax_form_1кв_3" xfId="0"/>
    <cellStyle name="_Книга7_Tax_form_1кв_3 1" xfId="0"/>
    <cellStyle name="_Книга7_Tax_form_1кв_3 1_Копия Растениеводство форма(Акционеры)" xfId="0"/>
    <cellStyle name="_Книга7_Tax_form_1кв_3 1_М( ЗАР)" xfId="0"/>
    <cellStyle name="_Книга7_Tax_form_1кв_3 1_Модель АгроГард на 5 лет" xfId="0"/>
    <cellStyle name="_Книга7_Tax_form_1кв_3 1_Растениеводство форма( АГМ)" xfId="0"/>
    <cellStyle name="_Книга7_Tax_form_1кв_3 1_Свод по Агрохоолдингу  (в т.ч КБН  )" xfId="0"/>
    <cellStyle name="_Книга7_Tax_form_1кв_3 1_Форма по растениеводству (Акционеры) ИЛЧ" xfId="0"/>
    <cellStyle name="_Книга7_Tax_form_1кв_3 1_раст.-факт" xfId="0"/>
    <cellStyle name="_Книга7_Tax_form_1кв_3 2" xfId="0"/>
    <cellStyle name="_Книга7_Tax_form_1кв_3 2_Копия Растениеводство форма(Акционеры)" xfId="0"/>
    <cellStyle name="_Книга7_Tax_form_1кв_3 2_М( ЗАР)" xfId="0"/>
    <cellStyle name="_Книга7_Tax_form_1кв_3 2_Модель АгроГард на 5 лет" xfId="0"/>
    <cellStyle name="_Книга7_Tax_form_1кв_3 2_Растениеводство форма( АГМ)" xfId="0"/>
    <cellStyle name="_Книга7_Tax_form_1кв_3 2_Свод по Агрохоолдингу  (в т.ч КБН  )" xfId="0"/>
    <cellStyle name="_Книга7_Tax_form_1кв_3 2_Форма по растениеводству (Акционеры) ИЛЧ" xfId="0"/>
    <cellStyle name="_Книга7_Tax_form_1кв_3 2_раст.-факт" xfId="0"/>
    <cellStyle name="_Книга7_Tax_form_1кв_3 3" xfId="0"/>
    <cellStyle name="_Книга7_Tax_form_1кв_3 3_Копия Растениеводство форма(Акционеры)" xfId="0"/>
    <cellStyle name="_Книга7_Tax_form_1кв_3 3_М( ЗАР)" xfId="0"/>
    <cellStyle name="_Книга7_Tax_form_1кв_3 3_Модель АгроГард на 5 лет" xfId="0"/>
    <cellStyle name="_Книга7_Tax_form_1кв_3 3_Растениеводство форма( АГМ)" xfId="0"/>
    <cellStyle name="_Книга7_Tax_form_1кв_3 3_Свод по Агрохоолдингу  (в т.ч КБН  )" xfId="0"/>
    <cellStyle name="_Книга7_Tax_form_1кв_3 3_Форма по растениеводству (Акционеры) ИЛЧ" xfId="0"/>
    <cellStyle name="_Книга7_Tax_form_1кв_3 3_раст.-факт" xfId="0"/>
    <cellStyle name="_Книга7_Tax_form_1кв_3_АГМ" xfId="0"/>
    <cellStyle name="_Книга7_Tax_form_1кв_3_Копия Растениеводство форма(Акционеры)" xfId="0"/>
    <cellStyle name="_Книга7_Tax_form_1кв_3_М( ЗАР)" xfId="0"/>
    <cellStyle name="_Книга7_Tax_form_1кв_3_Модель АгроГард на 5 лет" xfId="0"/>
    <cellStyle name="_Книга7_Tax_form_1кв_3_НИК-09" xfId="0"/>
    <cellStyle name="_Книга7_Tax_form_1кв_3_Растениеводство форма( АГМ)" xfId="0"/>
    <cellStyle name="_Книга7_Tax_form_1кв_3_Свод по Агрохоолдингу  (в т.ч КБН  )" xfId="0"/>
    <cellStyle name="_Книга7_Tax_form_1кв_3_ТК-2011 АГМ+транспорт" xfId="0"/>
    <cellStyle name="_Книга7_Tax_form_1кв_3_Форма по растениеводству (Акционеры) ИЛЧ" xfId="0"/>
    <cellStyle name="_Книга7_Tax_form_1кв_3_раст.-факт" xfId="0"/>
    <cellStyle name="_Книга7_АГМ" xfId="0"/>
    <cellStyle name="_Книга7_БКЭ" xfId="0"/>
    <cellStyle name="_Книга7_БКЭ 1" xfId="0"/>
    <cellStyle name="_Книга7_БКЭ 1_Копия Растениеводство форма(Акционеры)" xfId="0"/>
    <cellStyle name="_Книга7_БКЭ 1_М( ЗАР)" xfId="0"/>
    <cellStyle name="_Книга7_БКЭ 1_Модель АгроГард на 5 лет" xfId="0"/>
    <cellStyle name="_Книга7_БКЭ 1_Растениеводство форма( АГМ)" xfId="0"/>
    <cellStyle name="_Книга7_БКЭ 1_Свод по Агрохоолдингу  (в т.ч КБН  )" xfId="0"/>
    <cellStyle name="_Книга7_БКЭ 1_Форма по растениеводству (Акционеры) ИЛЧ" xfId="0"/>
    <cellStyle name="_Книга7_БКЭ 1_раст.-факт" xfId="0"/>
    <cellStyle name="_Книга7_БКЭ 2" xfId="0"/>
    <cellStyle name="_Книга7_БКЭ 2_Копия Растениеводство форма(Акционеры)" xfId="0"/>
    <cellStyle name="_Книга7_БКЭ 2_М( ЗАР)" xfId="0"/>
    <cellStyle name="_Книга7_БКЭ 2_Модель АгроГард на 5 лет" xfId="0"/>
    <cellStyle name="_Книга7_БКЭ 2_Растениеводство форма( АГМ)" xfId="0"/>
    <cellStyle name="_Книга7_БКЭ 2_Свод по Агрохоолдингу  (в т.ч КБН  )" xfId="0"/>
    <cellStyle name="_Книга7_БКЭ 2_Форма по растениеводству (Акционеры) ИЛЧ" xfId="0"/>
    <cellStyle name="_Книга7_БКЭ 2_раст.-факт" xfId="0"/>
    <cellStyle name="_Книга7_БКЭ 3" xfId="0"/>
    <cellStyle name="_Книга7_БКЭ 3_Копия Растениеводство форма(Акционеры)" xfId="0"/>
    <cellStyle name="_Книга7_БКЭ 3_М( ЗАР)" xfId="0"/>
    <cellStyle name="_Книга7_БКЭ 3_Модель АгроГард на 5 лет" xfId="0"/>
    <cellStyle name="_Книга7_БКЭ 3_Растениеводство форма( АГМ)" xfId="0"/>
    <cellStyle name="_Книга7_БКЭ 3_Свод по Агрохоолдингу  (в т.ч КБН  )" xfId="0"/>
    <cellStyle name="_Книга7_БКЭ 3_Форма по растениеводству (Акционеры) ИЛЧ" xfId="0"/>
    <cellStyle name="_Книга7_БКЭ 3_раст.-факт" xfId="0"/>
    <cellStyle name="_Книга7_БКЭ_АГМ" xfId="0"/>
    <cellStyle name="_Книга7_БКЭ_Копия Растениеводство форма(Акционеры)" xfId="0"/>
    <cellStyle name="_Книга7_БКЭ_М( ЗАР)" xfId="0"/>
    <cellStyle name="_Книга7_БКЭ_Модель АгроГард на 5 лет" xfId="0"/>
    <cellStyle name="_Книга7_БКЭ_НИК-09" xfId="0"/>
    <cellStyle name="_Книга7_БКЭ_Растениеводство форма( АГМ)" xfId="0"/>
    <cellStyle name="_Книга7_БКЭ_Свод по Агрохоолдингу  (в т.ч КБН  )" xfId="0"/>
    <cellStyle name="_Книга7_БКЭ_ТК-2011 АГМ+транспорт" xfId="0"/>
    <cellStyle name="_Книга7_БКЭ_Форма по растениеводству (Акционеры) ИЛЧ" xfId="0"/>
    <cellStyle name="_Книга7_БКЭ_раст.-факт" xfId="0"/>
    <cellStyle name="_Книга7_Копия Растениеводство форма(Акционеры)" xfId="0"/>
    <cellStyle name="_Книга7_М( ЗАР)" xfId="0"/>
    <cellStyle name="_Книга7_Модель АгроГард на 5 лет" xfId="0"/>
    <cellStyle name="_Книга7_НИК-09" xfId="0"/>
    <cellStyle name="_Книга7_Растениеводство форма( АГМ)" xfId="0"/>
    <cellStyle name="_Книга7_Свод по Агрохоолдингу  (в т.ч КБН  )" xfId="0"/>
    <cellStyle name="_Книга7_ТК-2011 АГМ+транспорт" xfId="0"/>
    <cellStyle name="_Книга7_Форма по растениеводству (Акционеры) ИЛЧ" xfId="0"/>
    <cellStyle name="_Книга7_раст.-факт" xfId="0"/>
    <cellStyle name="Accent1" xfId="0"/>
    <cellStyle name="Accent1 2" xfId="0"/>
    <cellStyle name="Accent2" xfId="0"/>
    <cellStyle name="Accent2 2" xfId="0"/>
    <cellStyle name="Accent3" xfId="0"/>
    <cellStyle name="Accent3 2" xfId="0"/>
    <cellStyle name="Accent4" xfId="0"/>
    <cellStyle name="Accent4 2" xfId="0"/>
    <cellStyle name="Accent5" xfId="0"/>
    <cellStyle name="Accent5 2" xfId="0"/>
    <cellStyle name="Accent6" xfId="0"/>
    <cellStyle name="Accent6 2" xfId="0"/>
    <cellStyle name="Aeia?nnueea" xfId="0"/>
    <cellStyle name="Aeia?nnueea 1" xfId="0"/>
    <cellStyle name="Aeia?nnueea 1 2" xfId="0"/>
    <cellStyle name="Aeia?nnueea 2" xfId="0"/>
    <cellStyle name="Aeia?nnueea 2 2" xfId="0"/>
    <cellStyle name="Aeia?nnueea 3" xfId="0"/>
    <cellStyle name="Aeia?nnueea 3 2" xfId="0"/>
    <cellStyle name="Aeia?nnueea 4" xfId="0"/>
    <cellStyle name="Aeia?nnueea_АГМ" xfId="0"/>
    <cellStyle name="Bad 1" xfId="0"/>
    <cellStyle name="Balance" xfId="0"/>
    <cellStyle name="Balance 1" xfId="0"/>
    <cellStyle name="Balance 2" xfId="0"/>
    <cellStyle name="Balance 2 2" xfId="0"/>
    <cellStyle name="Balance 3" xfId="0"/>
    <cellStyle name="Balance_АГМ" xfId="0"/>
    <cellStyle name="BalanceBold" xfId="0"/>
    <cellStyle name="BalanceBold 1" xfId="0"/>
    <cellStyle name="BalanceBold 1 2" xfId="0"/>
    <cellStyle name="BalanceBold 2" xfId="0"/>
    <cellStyle name="BalanceBold 2 2" xfId="0"/>
    <cellStyle name="BalanceBold 3" xfId="0"/>
    <cellStyle name="BalanceBold 3 2" xfId="0"/>
    <cellStyle name="BalanceBold 4" xfId="0"/>
    <cellStyle name="BalanceBold_АГМ" xfId="0"/>
    <cellStyle name="Calc Currency (0)" xfId="0"/>
    <cellStyle name="Calc Currency (0) 1" xfId="0"/>
    <cellStyle name="Calc Currency (0) 2" xfId="0"/>
    <cellStyle name="Calc Currency (0) 3" xfId="0"/>
    <cellStyle name="Calc Currency (0)_АГМ" xfId="0"/>
    <cellStyle name="Calculation" xfId="0"/>
    <cellStyle name="Calculation 2" xfId="0"/>
    <cellStyle name="Calculation 2 2" xfId="0"/>
    <cellStyle name="Check Cell" xfId="0"/>
    <cellStyle name="Comma [0]_0_Cash" xfId="0"/>
    <cellStyle name="Comma_0_Cash" xfId="0"/>
    <cellStyle name="Currency [0]_0_Cash" xfId="0"/>
    <cellStyle name="Currency_0_Cash" xfId="0"/>
    <cellStyle name="Data" xfId="0"/>
    <cellStyle name="Data 1" xfId="0"/>
    <cellStyle name="Data 2" xfId="0"/>
    <cellStyle name="Data 2 2" xfId="0"/>
    <cellStyle name="Data 3" xfId="0"/>
    <cellStyle name="Data_АГМ" xfId="0"/>
    <cellStyle name="DataBold" xfId="0"/>
    <cellStyle name="DataBold 1" xfId="0"/>
    <cellStyle name="DataBold 1 2" xfId="0"/>
    <cellStyle name="DataBold 2" xfId="0"/>
    <cellStyle name="DataBold 2 2" xfId="0"/>
    <cellStyle name="DataBold 3" xfId="0"/>
    <cellStyle name="DataBold 3 2" xfId="0"/>
    <cellStyle name="DataBold 4" xfId="0"/>
    <cellStyle name="DataBold_АГМ" xfId="0"/>
    <cellStyle name="date" xfId="0"/>
    <cellStyle name="date 1" xfId="0"/>
    <cellStyle name="date 2" xfId="0"/>
    <cellStyle name="date 3" xfId="0"/>
    <cellStyle name="date_АГМ" xfId="0"/>
    <cellStyle name="E&amp;Y House" xfId="0"/>
    <cellStyle name="E&amp;Y House 1" xfId="0"/>
    <cellStyle name="E&amp;Y House 2" xfId="0"/>
    <cellStyle name="E&amp;Y House 3" xfId="0"/>
    <cellStyle name="E&amp;Y House_АГМ" xfId="0"/>
    <cellStyle name="Euro" xfId="0"/>
    <cellStyle name="Euro 1" xfId="0"/>
    <cellStyle name="Euro 2" xfId="0"/>
    <cellStyle name="Euro 3" xfId="0"/>
    <cellStyle name="Euro_АГМ" xfId="0"/>
    <cellStyle name="Explanatory Text" xfId="0"/>
    <cellStyle name="Followed Hyperlink_Draft-forms" xfId="0"/>
    <cellStyle name="Good 2" xfId="0"/>
    <cellStyle name="Header1" xfId="0"/>
    <cellStyle name="Header1 1" xfId="0"/>
    <cellStyle name="Header1 1 2" xfId="0"/>
    <cellStyle name="Header1 1 2 2" xfId="0"/>
    <cellStyle name="Header1 1 2 3" xfId="0"/>
    <cellStyle name="Header1 1 2 4" xfId="0"/>
    <cellStyle name="Header1 2" xfId="0"/>
    <cellStyle name="Header1 2 2" xfId="0"/>
    <cellStyle name="Header1 2 2 2" xfId="0"/>
    <cellStyle name="Header1 2 2 3" xfId="0"/>
    <cellStyle name="Header1 2 2 4" xfId="0"/>
    <cellStyle name="Header1 3" xfId="0"/>
    <cellStyle name="Header1 3 2" xfId="0"/>
    <cellStyle name="Header1 3 2 2" xfId="0"/>
    <cellStyle name="Header1 3 2 3" xfId="0"/>
    <cellStyle name="Header1 3 2 4" xfId="0"/>
    <cellStyle name="Header1 4" xfId="0"/>
    <cellStyle name="Header1 4 2" xfId="0"/>
    <cellStyle name="Header1 4 3" xfId="0"/>
    <cellStyle name="Header1 4 4" xfId="0"/>
    <cellStyle name="Header1_АГМ" xfId="0"/>
    <cellStyle name="Header2" xfId="0"/>
    <cellStyle name="Header2 1" xfId="0"/>
    <cellStyle name="Header2 1 2" xfId="0"/>
    <cellStyle name="Header2 1 2 2" xfId="0"/>
    <cellStyle name="Header2 1 2 3" xfId="0"/>
    <cellStyle name="Header2 2" xfId="0"/>
    <cellStyle name="Header2 2 2" xfId="0"/>
    <cellStyle name="Header2 2 2 2" xfId="0"/>
    <cellStyle name="Header2 2 2 3" xfId="0"/>
    <cellStyle name="Header2 3" xfId="0"/>
    <cellStyle name="Header2 3 2" xfId="0"/>
    <cellStyle name="Header2 3 2 2" xfId="0"/>
    <cellStyle name="Header2 3 2 3" xfId="0"/>
    <cellStyle name="Header2 4" xfId="0"/>
    <cellStyle name="Header2 4 2" xfId="0"/>
    <cellStyle name="Header2 4 3" xfId="0"/>
    <cellStyle name="Header2_АГМ" xfId="0"/>
    <cellStyle name="Heading 1 3" xfId="0"/>
    <cellStyle name="Heading 2 4" xfId="0"/>
    <cellStyle name="Heading 3" xfId="0"/>
    <cellStyle name="Heading 4" xfId="0"/>
    <cellStyle name="Hyperlink_Tier 1" xfId="0"/>
    <cellStyle name="Iau?iue_130 nnd. are." xfId="0"/>
    <cellStyle name="Input" xfId="0"/>
    <cellStyle name="Input 2" xfId="0"/>
    <cellStyle name="Input 2 2" xfId="0"/>
    <cellStyle name="Ioe?uaaaoayny aeia?nnueea" xfId="0"/>
    <cellStyle name="Ioe?uaaaoayny aeia?nnueea 1" xfId="0"/>
    <cellStyle name="Ioe?uaaaoayny aeia?nnueea 2" xfId="0"/>
    <cellStyle name="Ioe?uaaaoayny aeia?nnueea 3" xfId="0"/>
    <cellStyle name="Ioe?uaaaoayny aeia?nnueea_АГМ" xfId="0"/>
    <cellStyle name="ISO" xfId="0"/>
    <cellStyle name="ISO 1" xfId="0"/>
    <cellStyle name="ISO 2" xfId="0"/>
    <cellStyle name="ISO 3" xfId="0"/>
    <cellStyle name="ISO_АГМ" xfId="0"/>
    <cellStyle name="Linked Cell" xfId="0"/>
    <cellStyle name="Neutral 5" xfId="0"/>
    <cellStyle name="Norma11l" xfId="0"/>
    <cellStyle name="Norma11l 1" xfId="0"/>
    <cellStyle name="Norma11l 1 2" xfId="0"/>
    <cellStyle name="Norma11l 2" xfId="0"/>
    <cellStyle name="Norma11l 2 2" xfId="0"/>
    <cellStyle name="Norma11l 3" xfId="0"/>
    <cellStyle name="Norma11l 3 2" xfId="0"/>
    <cellStyle name="Norma11l_АГМ" xfId="0"/>
    <cellStyle name="Normal 2" xfId="0"/>
    <cellStyle name="Normal 2 1" xfId="0"/>
    <cellStyle name="Normal 2 2" xfId="0"/>
    <cellStyle name="Normal 2 3" xfId="0"/>
    <cellStyle name="Normal 2 4" xfId="0"/>
    <cellStyle name="Normal 2 4 2" xfId="0"/>
    <cellStyle name="Normal 2 4 3" xfId="0"/>
    <cellStyle name="Normal 2_АГМ" xfId="0"/>
    <cellStyle name="Normal_#10-Headcount" xfId="0"/>
    <cellStyle name="normбlnм_laroux" xfId="0"/>
    <cellStyle name="Note 2" xfId="0"/>
    <cellStyle name="Note 2 2" xfId="0"/>
    <cellStyle name="Note 6" xfId="0"/>
    <cellStyle name="Output" xfId="0"/>
    <cellStyle name="Output 2" xfId="0"/>
    <cellStyle name="Output 2 2" xfId="0"/>
    <cellStyle name="Paaotsikko" xfId="0"/>
    <cellStyle name="Paaotsikko 1" xfId="0"/>
    <cellStyle name="Paaotsikko 2" xfId="0"/>
    <cellStyle name="Paaotsikko 3" xfId="0"/>
    <cellStyle name="Paaotsikko_АГМ" xfId="0"/>
    <cellStyle name="Title" xfId="0"/>
    <cellStyle name="Total" xfId="0"/>
    <cellStyle name="Total 2" xfId="0"/>
    <cellStyle name="Total 2 2" xfId="0"/>
    <cellStyle name="Total 3" xfId="0"/>
    <cellStyle name="Total 4" xfId="0"/>
    <cellStyle name="Valiotsikko" xfId="0"/>
    <cellStyle name="Valiotsikko 1" xfId="0"/>
    <cellStyle name="Valiotsikko 1 2" xfId="0"/>
    <cellStyle name="Valiotsikko 2" xfId="0"/>
    <cellStyle name="Valiotsikko 2 2" xfId="0"/>
    <cellStyle name="Valiotsikko 3" xfId="0"/>
    <cellStyle name="Valiotsikko 3 2" xfId="0"/>
    <cellStyle name="Valiotsikko 4" xfId="0"/>
    <cellStyle name="Valiotsikko_АГМ" xfId="0"/>
    <cellStyle name="Warning Text" xfId="0"/>
    <cellStyle name="Warning Text 2" xfId="0"/>
    <cellStyle name="Акцент1 1" xfId="0"/>
    <cellStyle name="Акцент1 1 2" xfId="0"/>
    <cellStyle name="Акцент1 2" xfId="0"/>
    <cellStyle name="Акцент1 2 2" xfId="0"/>
    <cellStyle name="Акцент1 3" xfId="0"/>
    <cellStyle name="Акцент1 3 2" xfId="0"/>
    <cellStyle name="Акцент1 4" xfId="0"/>
    <cellStyle name="Акцент1 4 2" xfId="0"/>
    <cellStyle name="Акцент2 1" xfId="0"/>
    <cellStyle name="Акцент2 1 2" xfId="0"/>
    <cellStyle name="Акцент2 2" xfId="0"/>
    <cellStyle name="Акцент2 2 2" xfId="0"/>
    <cellStyle name="Акцент2 3" xfId="0"/>
    <cellStyle name="Акцент2 3 2" xfId="0"/>
    <cellStyle name="Акцент2 4" xfId="0"/>
    <cellStyle name="Акцент2 4 2" xfId="0"/>
    <cellStyle name="Акцент3 1" xfId="0"/>
    <cellStyle name="Акцент3 1 2" xfId="0"/>
    <cellStyle name="Акцент3 2" xfId="0"/>
    <cellStyle name="Акцент3 2 2" xfId="0"/>
    <cellStyle name="Акцент3 3" xfId="0"/>
    <cellStyle name="Акцент3 3 2" xfId="0"/>
    <cellStyle name="Акцент3 4" xfId="0"/>
    <cellStyle name="Акцент3 4 2" xfId="0"/>
    <cellStyle name="Акцент4 1" xfId="0"/>
    <cellStyle name="Акцент4 1 2" xfId="0"/>
    <cellStyle name="Акцент4 2" xfId="0"/>
    <cellStyle name="Акцент4 2 2" xfId="0"/>
    <cellStyle name="Акцент4 3" xfId="0"/>
    <cellStyle name="Акцент4 3 2" xfId="0"/>
    <cellStyle name="Акцент4 4" xfId="0"/>
    <cellStyle name="Акцент4 4 2" xfId="0"/>
    <cellStyle name="Акцент5 1" xfId="0"/>
    <cellStyle name="Акцент5 1 2" xfId="0"/>
    <cellStyle name="Акцент5 2" xfId="0"/>
    <cellStyle name="Акцент5 2 2" xfId="0"/>
    <cellStyle name="Акцент5 3" xfId="0"/>
    <cellStyle name="Акцент5 3 2" xfId="0"/>
    <cellStyle name="Акцент5 4" xfId="0"/>
    <cellStyle name="Акцент5 4 2" xfId="0"/>
    <cellStyle name="Акцент6 1" xfId="0"/>
    <cellStyle name="Акцент6 1 2" xfId="0"/>
    <cellStyle name="Акцент6 2" xfId="0"/>
    <cellStyle name="Акцент6 2 2" xfId="0"/>
    <cellStyle name="Акцент6 3" xfId="0"/>
    <cellStyle name="Акцент6 3 2" xfId="0"/>
    <cellStyle name="Акцент6 4" xfId="0"/>
    <cellStyle name="Акцент6 4 2" xfId="0"/>
    <cellStyle name="Беззащитный" xfId="0"/>
    <cellStyle name="Ввод  1" xfId="0"/>
    <cellStyle name="Ввод  1 2" xfId="0"/>
    <cellStyle name="Ввод  1 2 2" xfId="0"/>
    <cellStyle name="Ввод  2" xfId="0"/>
    <cellStyle name="Ввод  2 2" xfId="0"/>
    <cellStyle name="Ввод  2 2 2" xfId="0"/>
    <cellStyle name="Ввод  3" xfId="0"/>
    <cellStyle name="Ввод  3 2" xfId="0"/>
    <cellStyle name="Ввод  3 2 2" xfId="0"/>
    <cellStyle name="Ввод  4" xfId="0"/>
    <cellStyle name="Ввод  4 2" xfId="0"/>
    <cellStyle name="Ввод  4 2 2" xfId="0"/>
    <cellStyle name="Верт. заголовок" xfId="0"/>
    <cellStyle name="Верт. заголовок 1" xfId="0"/>
    <cellStyle name="Верт. заголовок 2" xfId="0"/>
    <cellStyle name="Верт. заголовок 3" xfId="0"/>
    <cellStyle name="Вывод 1" xfId="0"/>
    <cellStyle name="Вывод 1 2" xfId="0"/>
    <cellStyle name="Вывод 1 2 2" xfId="0"/>
    <cellStyle name="Вывод 2" xfId="0"/>
    <cellStyle name="Вывод 2 2" xfId="0"/>
    <cellStyle name="Вывод 2 2 2" xfId="0"/>
    <cellStyle name="Вывод 3" xfId="0"/>
    <cellStyle name="Вывод 3 2" xfId="0"/>
    <cellStyle name="Вывод 3 2 2" xfId="0"/>
    <cellStyle name="Вывод 4" xfId="0"/>
    <cellStyle name="Вывод 4 2" xfId="0"/>
    <cellStyle name="Вывод 4 2 2" xfId="0"/>
    <cellStyle name="Вычисление 1" xfId="0"/>
    <cellStyle name="Вычисление 1 2" xfId="0"/>
    <cellStyle name="Вычисление 1 2 2" xfId="0"/>
    <cellStyle name="Вычисление 2" xfId="0"/>
    <cellStyle name="Вычисление 2 2" xfId="0"/>
    <cellStyle name="Вычисление 2 2 2" xfId="0"/>
    <cellStyle name="Вычисление 3" xfId="0"/>
    <cellStyle name="Вычисление 3 2" xfId="0"/>
    <cellStyle name="Вычисление 3 2 2" xfId="0"/>
    <cellStyle name="Вычисление 4" xfId="0"/>
    <cellStyle name="Вычисление 4 2" xfId="0"/>
    <cellStyle name="Вычисление 4 2 2" xfId="0"/>
    <cellStyle name="Гиперссылка 2" xfId="0"/>
    <cellStyle name="Дата" xfId="0"/>
    <cellStyle name="Дата 1" xfId="0"/>
    <cellStyle name="Дата 2" xfId="0"/>
    <cellStyle name="Дата 3" xfId="0"/>
    <cellStyle name="Дата UTL" xfId="0"/>
    <cellStyle name="Дата UTL 1" xfId="0"/>
    <cellStyle name="Дата UTL 2" xfId="0"/>
    <cellStyle name="Дата UTL 3" xfId="0"/>
    <cellStyle name="Дата_Выручка и осн показ" xfId="0"/>
    <cellStyle name="Денежный 2" xfId="0"/>
    <cellStyle name="Денежный 3" xfId="0"/>
    <cellStyle name="Денежный 4" xfId="0"/>
    <cellStyle name="Денежный 5" xfId="0"/>
    <cellStyle name="Денежный 5 2" xfId="0"/>
    <cellStyle name="Денежный 6" xfId="0"/>
    <cellStyle name="Денежный 7" xfId="0"/>
    <cellStyle name="Денежный 8" xfId="0"/>
    <cellStyle name="Заглавие сводной таблицы" xfId="0"/>
    <cellStyle name="Заголовок 1 1" xfId="0"/>
    <cellStyle name="Заголовок 1 2" xfId="0"/>
    <cellStyle name="Заголовок 1 2 2" xfId="0"/>
    <cellStyle name="Заголовок 1 3" xfId="0"/>
    <cellStyle name="Заголовок 1 4" xfId="0"/>
    <cellStyle name="Заголовок 2 1" xfId="0"/>
    <cellStyle name="Заголовок 2 2" xfId="0"/>
    <cellStyle name="Заголовок 2 3" xfId="0"/>
    <cellStyle name="Заголовок 2 4" xfId="0"/>
    <cellStyle name="Заголовок 3 1" xfId="0"/>
    <cellStyle name="Заголовок 3 2" xfId="0"/>
    <cellStyle name="Заголовок 3 3" xfId="0"/>
    <cellStyle name="Заголовок 3 4" xfId="0"/>
    <cellStyle name="Заголовок 4 1" xfId="0"/>
    <cellStyle name="Заголовок 4 2" xfId="0"/>
    <cellStyle name="Заголовок 4 3" xfId="0"/>
    <cellStyle name="Заголовок 4 4" xfId="0"/>
    <cellStyle name="Защитный" xfId="0"/>
    <cellStyle name="Значение сводной таблицы" xfId="0"/>
    <cellStyle name="Итог 1" xfId="0"/>
    <cellStyle name="Итог 1 2" xfId="0"/>
    <cellStyle name="Итог 1 2 2" xfId="0"/>
    <cellStyle name="Итог 1 3" xfId="0"/>
    <cellStyle name="Итог 1 4" xfId="0"/>
    <cellStyle name="Итог 2" xfId="0"/>
    <cellStyle name="Итог 2 2" xfId="0"/>
    <cellStyle name="Итог 2 2 2" xfId="0"/>
    <cellStyle name="Итог 2 3" xfId="0"/>
    <cellStyle name="Итог 2 4" xfId="0"/>
    <cellStyle name="Итог 3" xfId="0"/>
    <cellStyle name="Итог 3 2" xfId="0"/>
    <cellStyle name="Итог 3 2 2" xfId="0"/>
    <cellStyle name="Итог 3 3" xfId="0"/>
    <cellStyle name="Итог 3 4" xfId="0"/>
    <cellStyle name="Итог 4" xfId="0"/>
    <cellStyle name="Итог 4 2" xfId="0"/>
    <cellStyle name="Итог 4 2 2" xfId="0"/>
    <cellStyle name="Итог 4 3" xfId="0"/>
    <cellStyle name="Итог 4 4" xfId="0"/>
    <cellStyle name="Категория сводной таблицы" xfId="0"/>
    <cellStyle name="Контрольная ячейка 1" xfId="0"/>
    <cellStyle name="Контрольная ячейка 2" xfId="0"/>
    <cellStyle name="Контрольная ячейка 3" xfId="0"/>
    <cellStyle name="Контрольная ячейка 4" xfId="0"/>
    <cellStyle name="Название 1" xfId="0"/>
    <cellStyle name="Название 2" xfId="0"/>
    <cellStyle name="Название 3" xfId="0"/>
    <cellStyle name="Название 4" xfId="0"/>
    <cellStyle name="Нейтральный 1" xfId="0"/>
    <cellStyle name="Нейтральный 2" xfId="0"/>
    <cellStyle name="Нейтральный 3" xfId="0"/>
    <cellStyle name="Нейтральный 4" xfId="0"/>
    <cellStyle name="Обычный 10" xfId="0"/>
    <cellStyle name="Обычный 10 2" xfId="0"/>
    <cellStyle name="Обычный 10 3" xfId="0"/>
    <cellStyle name="Обычный 11" xfId="0"/>
    <cellStyle name="Обычный 11 2" xfId="0"/>
    <cellStyle name="Обычный 12" xfId="0"/>
    <cellStyle name="Обычный 12 2" xfId="0"/>
    <cellStyle name="Обычный 13" xfId="0"/>
    <cellStyle name="Обычный 13 2" xfId="0"/>
    <cellStyle name="Обычный 14" xfId="0"/>
    <cellStyle name="Обычный 14 2" xfId="0"/>
    <cellStyle name="Обычный 14 3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8" xfId="0"/>
    <cellStyle name="Обычный 19" xfId="0"/>
    <cellStyle name="Обычный 2" xfId="0"/>
    <cellStyle name="Обычный 2 2" xfId="0"/>
    <cellStyle name="Обычный 2 2 2" xfId="0"/>
    <cellStyle name="Обычный 2 2 2 2" xfId="0"/>
    <cellStyle name="Обычный 2 2 3" xfId="0"/>
    <cellStyle name="Обычный 2 3" xfId="0"/>
    <cellStyle name="Обычный 2 3 2" xfId="0"/>
    <cellStyle name="Обычный 2 3 2 2" xfId="0"/>
    <cellStyle name="Обычный 2 3 3" xfId="0"/>
    <cellStyle name="Обычный 2 4" xfId="0"/>
    <cellStyle name="Обычный 2 4 2" xfId="0"/>
    <cellStyle name="Обычный 2 4 2 2" xfId="0"/>
    <cellStyle name="Обычный 2 4 2 3" xfId="0"/>
    <cellStyle name="Обычный 2 4 2 4" xfId="0"/>
    <cellStyle name="Обычный 2 5" xfId="0"/>
    <cellStyle name="Обычный 2 6" xfId="0"/>
    <cellStyle name="Обычный 2 7" xfId="0"/>
    <cellStyle name="Обычный 2 8" xfId="0"/>
    <cellStyle name="Обычный 20" xfId="0"/>
    <cellStyle name="Обычный 21" xfId="0"/>
    <cellStyle name="Обычный 22" xfId="0"/>
    <cellStyle name="Обычный 23" xfId="0"/>
    <cellStyle name="Обычный 24" xfId="0"/>
    <cellStyle name="Обычный 25" xfId="0"/>
    <cellStyle name="Обычный 26" xfId="0"/>
    <cellStyle name="Обычный 27" xfId="0"/>
    <cellStyle name="Обычный 28" xfId="0"/>
    <cellStyle name="Обычный 29" xfId="0"/>
    <cellStyle name="Обычный 2_Форма_технологические карты" xfId="0"/>
    <cellStyle name="Обычный 3" xfId="0"/>
    <cellStyle name="Обычный 3 2" xfId="0"/>
    <cellStyle name="Обычный 3 2 2" xfId="0"/>
    <cellStyle name="Обычный 3 2 3" xfId="0"/>
    <cellStyle name="Обычный 3 2 3 2" xfId="0"/>
    <cellStyle name="Обычный 3 2 3 3" xfId="0"/>
    <cellStyle name="Обычный 3 2 3 4" xfId="0"/>
    <cellStyle name="Обычный 3 3" xfId="0"/>
    <cellStyle name="Обычный 3 4" xfId="0"/>
    <cellStyle name="Обычный 3 5" xfId="0"/>
    <cellStyle name="Обычный 3 6" xfId="0"/>
    <cellStyle name="Обычный 30" xfId="0"/>
    <cellStyle name="Обычный 31" xfId="0"/>
    <cellStyle name="Обычный 32" xfId="0"/>
    <cellStyle name="Обычный 32 2" xfId="0"/>
    <cellStyle name="Обычный 33" xfId="0"/>
    <cellStyle name="Обычный 34" xfId="0"/>
    <cellStyle name="Обычный 35" xfId="0"/>
    <cellStyle name="Обычный 35 2" xfId="0"/>
    <cellStyle name="Обычный 36" xfId="0"/>
    <cellStyle name="Обычный 37" xfId="0"/>
    <cellStyle name="Обычный 38" xfId="0"/>
    <cellStyle name="Обычный 38 2" xfId="0"/>
    <cellStyle name="Обычный 39" xfId="0"/>
    <cellStyle name="Обычный 4" xfId="0"/>
    <cellStyle name="Обычный 4 2" xfId="0"/>
    <cellStyle name="Обычный 4 3" xfId="0"/>
    <cellStyle name="Обычный 40" xfId="0"/>
    <cellStyle name="Обычный 40 2" xfId="0"/>
    <cellStyle name="Обычный 41" xfId="0"/>
    <cellStyle name="Обычный 42" xfId="0"/>
    <cellStyle name="Обычный 43" xfId="0"/>
    <cellStyle name="Обычный 44" xfId="0"/>
    <cellStyle name="Обычный 45" xfId="0"/>
    <cellStyle name="Обычный 46" xfId="0"/>
    <cellStyle name="Обычный 47" xfId="0"/>
    <cellStyle name="Обычный 48" xfId="0"/>
    <cellStyle name="Обычный 49" xfId="0"/>
    <cellStyle name="Обычный 5" xfId="0"/>
    <cellStyle name="Обычный 50" xfId="0"/>
    <cellStyle name="Обычный 51" xfId="0"/>
    <cellStyle name="Обычный 52" xfId="0"/>
    <cellStyle name="Обычный 53" xfId="0"/>
    <cellStyle name="Обычный 54" xfId="0"/>
    <cellStyle name="Обычный 55" xfId="0"/>
    <cellStyle name="Обычный 56" xfId="0"/>
    <cellStyle name="Обычный 56 2" xfId="0"/>
    <cellStyle name="Обычный 57" xfId="0"/>
    <cellStyle name="Обычный 57 2" xfId="0"/>
    <cellStyle name="Обычный 58" xfId="0"/>
    <cellStyle name="Обычный 59" xfId="0"/>
    <cellStyle name="Обычный 6" xfId="0"/>
    <cellStyle name="Обычный 6 2" xfId="0"/>
    <cellStyle name="Обычный 6 3 2" xfId="0"/>
    <cellStyle name="Обычный 6 3 2 2" xfId="0"/>
    <cellStyle name="Обычный 6 3 2 2 2" xfId="0"/>
    <cellStyle name="Обычный 6 3 2 3" xfId="0"/>
    <cellStyle name="Обычный 6 3 2 4" xfId="0"/>
    <cellStyle name="Обычный 6 3 2 4 2" xfId="0"/>
    <cellStyle name="Обычный 60" xfId="0"/>
    <cellStyle name="Обычный 60 2" xfId="0"/>
    <cellStyle name="Обычный 60 3" xfId="0"/>
    <cellStyle name="Обычный 61" xfId="0"/>
    <cellStyle name="Обычный 61 2" xfId="0"/>
    <cellStyle name="Обычный 62" xfId="0"/>
    <cellStyle name="Обычный 62 2" xfId="0"/>
    <cellStyle name="Обычный 63" xfId="0"/>
    <cellStyle name="Обычный 63 2" xfId="0"/>
    <cellStyle name="Обычный 64" xfId="0"/>
    <cellStyle name="Обычный 64 2" xfId="0"/>
    <cellStyle name="Обычный 65" xfId="0"/>
    <cellStyle name="Обычный 65 2" xfId="0"/>
    <cellStyle name="Обычный 66" xfId="0"/>
    <cellStyle name="Обычный 66 2" xfId="0"/>
    <cellStyle name="Обычный 67" xfId="0"/>
    <cellStyle name="Обычный 68" xfId="0"/>
    <cellStyle name="Обычный 69" xfId="0"/>
    <cellStyle name="Обычный 7" xfId="0"/>
    <cellStyle name="Обычный 7 2" xfId="0"/>
    <cellStyle name="Обычный 7 3" xfId="0"/>
    <cellStyle name="Обычный 7 4" xfId="0"/>
    <cellStyle name="Обычный 7 5" xfId="0"/>
    <cellStyle name="Обычный 7 6" xfId="0"/>
    <cellStyle name="Обычный 70" xfId="0"/>
    <cellStyle name="Обычный 71" xfId="0"/>
    <cellStyle name="Обычный 72" xfId="0"/>
    <cellStyle name="Обычный 73" xfId="0"/>
    <cellStyle name="Обычный 73 2" xfId="0"/>
    <cellStyle name="Обычный 73 2 2" xfId="0"/>
    <cellStyle name="Обычный 73 3" xfId="0"/>
    <cellStyle name="Обычный 74" xfId="0"/>
    <cellStyle name="Обычный 74 2" xfId="0"/>
    <cellStyle name="Обычный 74 2 2" xfId="0"/>
    <cellStyle name="Обычный 74 3" xfId="0"/>
    <cellStyle name="Обычный 75" xfId="0"/>
    <cellStyle name="Обычный 75 2" xfId="0"/>
    <cellStyle name="Обычный 75 2 2" xfId="0"/>
    <cellStyle name="Обычный 75 3" xfId="0"/>
    <cellStyle name="Обычный 76" xfId="0"/>
    <cellStyle name="Обычный 77" xfId="0"/>
    <cellStyle name="Обычный 77 2" xfId="0"/>
    <cellStyle name="Обычный 77 2 2" xfId="0"/>
    <cellStyle name="Обычный 77 3" xfId="0"/>
    <cellStyle name="Обычный 78" xfId="0"/>
    <cellStyle name="Обычный 78 2" xfId="0"/>
    <cellStyle name="Обычный 78 2 2" xfId="0"/>
    <cellStyle name="Обычный 78 3" xfId="0"/>
    <cellStyle name="Обычный 79" xfId="0"/>
    <cellStyle name="Обычный 79 2" xfId="0"/>
    <cellStyle name="Обычный 8" xfId="0"/>
    <cellStyle name="Обычный 80" xfId="0"/>
    <cellStyle name="Обычный 80 2" xfId="0"/>
    <cellStyle name="Обычный 81" xfId="0"/>
    <cellStyle name="Обычный 81 2" xfId="0"/>
    <cellStyle name="Обычный 82" xfId="0"/>
    <cellStyle name="Обычный 82 2" xfId="0"/>
    <cellStyle name="Обычный 83" xfId="0"/>
    <cellStyle name="Обычный 83 2" xfId="0"/>
    <cellStyle name="Обычный 84" xfId="0"/>
    <cellStyle name="Обычный 84 2" xfId="0"/>
    <cellStyle name="Обычный 85" xfId="0"/>
    <cellStyle name="Обычный 85 2" xfId="0"/>
    <cellStyle name="Обычный 86" xfId="0"/>
    <cellStyle name="Обычный 86 2" xfId="0"/>
    <cellStyle name="Обычный 87" xfId="0"/>
    <cellStyle name="Обычный 87 2" xfId="0"/>
    <cellStyle name="Обычный 88" xfId="0"/>
    <cellStyle name="Обычный 88 2" xfId="0"/>
    <cellStyle name="Обычный 89" xfId="0"/>
    <cellStyle name="Обычный 9" xfId="0"/>
    <cellStyle name="Плохой 1" xfId="0"/>
    <cellStyle name="Плохой 2" xfId="0"/>
    <cellStyle name="Плохой 3" xfId="0"/>
    <cellStyle name="Плохой 4" xfId="0"/>
    <cellStyle name="Поле сводной таблицы" xfId="0"/>
    <cellStyle name="Пояснение 1" xfId="0"/>
    <cellStyle name="Пояснение 2" xfId="0"/>
    <cellStyle name="Пояснение 3" xfId="0"/>
    <cellStyle name="Пояснение 4" xfId="0"/>
    <cellStyle name="Примечание 1" xfId="0"/>
    <cellStyle name="Примечание 1 2" xfId="0"/>
    <cellStyle name="Примечание 1 2 2" xfId="0"/>
    <cellStyle name="Примечание 2" xfId="0"/>
    <cellStyle name="Примечание 2 2" xfId="0"/>
    <cellStyle name="Примечание 2 2 2" xfId="0"/>
    <cellStyle name="Примечание 3" xfId="0"/>
    <cellStyle name="Примечание 3 2" xfId="0"/>
    <cellStyle name="Примечание 3 2 2" xfId="0"/>
    <cellStyle name="Примечание 4" xfId="0"/>
    <cellStyle name="Примечание 4 2" xfId="0"/>
    <cellStyle name="Примечание 4 2 2" xfId="0"/>
    <cellStyle name="Процентный 10" xfId="0"/>
    <cellStyle name="Процентный 11" xfId="0"/>
    <cellStyle name="Процентный 2" xfId="0"/>
    <cellStyle name="Процентный 2 2" xfId="0"/>
    <cellStyle name="Процентный 2 2 2" xfId="0"/>
    <cellStyle name="Процентный 2 2 3" xfId="0"/>
    <cellStyle name="Процентный 2 3" xfId="0"/>
    <cellStyle name="Процентный 2 3 2" xfId="0"/>
    <cellStyle name="Процентный 2 4" xfId="0"/>
    <cellStyle name="Процентный 2 4 2" xfId="0"/>
    <cellStyle name="Процентный 2 5" xfId="0"/>
    <cellStyle name="Процентный 3" xfId="0"/>
    <cellStyle name="Процентный 3 2" xfId="0"/>
    <cellStyle name="Процентный 4" xfId="0"/>
    <cellStyle name="Процентный 5" xfId="0"/>
    <cellStyle name="Процентный 5 2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Процентный 9 2 2" xfId="0"/>
    <cellStyle name="Процентный 9 3" xfId="0"/>
    <cellStyle name="Результат сводной таблицы" xfId="0"/>
    <cellStyle name="Связанная ячейка 1" xfId="0"/>
    <cellStyle name="Связанная ячейка 2" xfId="0"/>
    <cellStyle name="Связанная ячейка 3" xfId="0"/>
    <cellStyle name="Связанная ячейка 4" xfId="0"/>
    <cellStyle name="Стиль 1" xfId="0"/>
    <cellStyle name="Стиль 1 1" xfId="0"/>
    <cellStyle name="Стиль 1 2" xfId="0"/>
    <cellStyle name="Стиль 1 3" xfId="0"/>
    <cellStyle name="Стиль 1_Копия Растениеводство форма(Акционеры)" xfId="0"/>
    <cellStyle name="Текст предупреждения 1" xfId="0"/>
    <cellStyle name="Текст предупреждения 1 2" xfId="0"/>
    <cellStyle name="Текст предупреждения 2" xfId="0"/>
    <cellStyle name="Текст предупреждения 2 2" xfId="0"/>
    <cellStyle name="Текст предупреждения 3" xfId="0"/>
    <cellStyle name="Текст предупреждения 3 2" xfId="0"/>
    <cellStyle name="Текст предупреждения 4" xfId="0"/>
    <cellStyle name="Текст предупреждения 4 2" xfId="0"/>
    <cellStyle name="Тысячи [0]_Cash_flows" xfId="0"/>
    <cellStyle name="Тысячи [а]" xfId="0"/>
    <cellStyle name="Тысячи [а] 1" xfId="0"/>
    <cellStyle name="Тысячи [а] 2" xfId="0"/>
    <cellStyle name="Тысячи [а] 3" xfId="0"/>
    <cellStyle name="Тысячи [а]_АГМ" xfId="0"/>
    <cellStyle name="Тысячи_Cash_flows" xfId="0"/>
    <cellStyle name="Угол сводной таблицы" xfId="0"/>
    <cellStyle name="Финансовый 10" xfId="0"/>
    <cellStyle name="Финансовый 11" xfId="0"/>
    <cellStyle name="Финансовый 12" xfId="0"/>
    <cellStyle name="Финансовый 12 2" xfId="0"/>
    <cellStyle name="Финансовый 13" xfId="0"/>
    <cellStyle name="Финансовый 13 2" xfId="0"/>
    <cellStyle name="Финансовый 14" xfId="0"/>
    <cellStyle name="Финансовый 14 2" xfId="0"/>
    <cellStyle name="Финансовый 14 2 2" xfId="0"/>
    <cellStyle name="Финансовый 14 3" xfId="0"/>
    <cellStyle name="Финансовый 15" xfId="0"/>
    <cellStyle name="Финансовый 16" xfId="0"/>
    <cellStyle name="Финансовый 17" xfId="0"/>
    <cellStyle name="Финансовый 17 2" xfId="0"/>
    <cellStyle name="Финансовый 17 2 2" xfId="0"/>
    <cellStyle name="Финансовый 17 3" xfId="0"/>
    <cellStyle name="Финансовый 18" xfId="0"/>
    <cellStyle name="Финансовый 18 2" xfId="0"/>
    <cellStyle name="Финансовый 18 2 2" xfId="0"/>
    <cellStyle name="Финансовый 18 3" xfId="0"/>
    <cellStyle name="Финансовый 19" xfId="0"/>
    <cellStyle name="Финансовый 2" xfId="0"/>
    <cellStyle name="Финансовый 2 2" xfId="0"/>
    <cellStyle name="Финансовый 2 2 2" xfId="0"/>
    <cellStyle name="Финансовый 2 3" xfId="0"/>
    <cellStyle name="Финансовый 2 3 2" xfId="0"/>
    <cellStyle name="Финансовый 2 4" xfId="0"/>
    <cellStyle name="Финансовый 2 4 2" xfId="0"/>
    <cellStyle name="Финансовый 3" xfId="0"/>
    <cellStyle name="Финансовый 3 2" xfId="0"/>
    <cellStyle name="Финансовый 3 3" xfId="0"/>
    <cellStyle name="Финансовый 3 4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3" xfId="0"/>
    <cellStyle name="Финансовый 6" xfId="0"/>
    <cellStyle name="Финансовый 6 2" xfId="0"/>
    <cellStyle name="Финансовый 6 3" xfId="0"/>
    <cellStyle name="Финансовый 6 4" xfId="0"/>
    <cellStyle name="Финансовый 6 5" xfId="0"/>
    <cellStyle name="Финансовый 6 6" xfId="0"/>
    <cellStyle name="Финансовый 6 7" xfId="0"/>
    <cellStyle name="Финансовый 7" xfId="0"/>
    <cellStyle name="Финансовый 7 2" xfId="0"/>
    <cellStyle name="Финансовый 8" xfId="0"/>
    <cellStyle name="Финансовый 9" xfId="0"/>
    <cellStyle name="Финансовый 9 2" xfId="0"/>
    <cellStyle name="Хороший 1" xfId="0"/>
    <cellStyle name="Хороший 2" xfId="0"/>
    <cellStyle name="Хороший 3" xfId="0"/>
    <cellStyle name="Хороший 4" xfId="0"/>
    <cellStyle name="вагоны" xfId="0"/>
    <cellStyle name="вагоны 1" xfId="0"/>
    <cellStyle name="вагоны 2" xfId="0"/>
    <cellStyle name="вагоны 3" xfId="0"/>
    <cellStyle name="вагоны_АГМ" xfId="0"/>
    <cellStyle name="мои_цифры" xfId="0"/>
    <cellStyle name="мой" xfId="0"/>
    <cellStyle name="мой 1" xfId="0"/>
    <cellStyle name="мой 2" xfId="0"/>
    <cellStyle name="мой 3" xfId="0"/>
    <cellStyle name="мой_Б затрат и себестоимости растениеводства  2010 " xfId="0"/>
    <cellStyle name="проба" xfId="0"/>
    <cellStyle name="проба 1" xfId="0"/>
    <cellStyle name="проба 2" xfId="0"/>
    <cellStyle name="проба 3" xfId="0"/>
    <cellStyle name="тонны" xfId="0"/>
    <cellStyle name="тонны 1" xfId="0"/>
    <cellStyle name="тонны 2" xfId="0"/>
    <cellStyle name="тонны 3" xfId="0"/>
    <cellStyle name="тонны_АГМ" xfId="0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9F9F9"/>
      <rgbColor rgb="FF8A0000"/>
      <rgbColor rgb="FF008000"/>
      <rgbColor rgb="FF000080"/>
      <rgbColor rgb="FF996600"/>
      <rgbColor rgb="FDC00000"/>
      <rgbColor rgb="FF44546A"/>
      <rgbColor rgb="FFBFBFBF"/>
      <rgbColor rgb="FF808080"/>
      <rgbColor rgb="FFA6A6A6"/>
      <rgbColor rgb="FF806000"/>
      <rgbColor rgb="FFFFFCF2"/>
      <rgbColor rgb="FFEDEDED"/>
      <rgbColor rgb="FF660066"/>
      <rgbColor rgb="FFD9D9D9"/>
      <rgbColor rgb="FF0066CC"/>
      <rgbColor rgb="FFD0CECE"/>
      <rgbColor rgb="FF000080"/>
      <rgbColor rgb="FFFF00FF"/>
      <rgbColor rgb="FFFBE5D6"/>
      <rgbColor rgb="FFFAFAFA"/>
      <rgbColor rgb="FFEE0000"/>
      <rgbColor rgb="FFC00000"/>
      <rgbColor rgb="FF008080"/>
      <rgbColor rgb="FF0000FF"/>
      <rgbColor rgb="FFFEF8F5"/>
      <rgbColor rgb="FFF8FBF6"/>
      <rgbColor rgb="FFD4E8C6"/>
      <rgbColor rgb="FFFFECB3"/>
      <rgbColor rgb="FF99CCFF"/>
      <rgbColor rgb="FFF4B183"/>
      <rgbColor rgb="FFAFABAB"/>
      <rgbColor rgb="FFFAD8C1"/>
      <rgbColor rgb="FF4472C4"/>
      <rgbColor rgb="FFE4E4E4"/>
      <rgbColor rgb="FFA9D18E"/>
      <rgbColor rgb="FFFFD966"/>
      <rgbColor rgb="FFBF9000"/>
      <rgbColor rgb="FFE7E6E6"/>
      <rgbColor rgb="FF757171"/>
      <rgbColor rgb="FF8B8B8B"/>
      <rgbColor rgb="FF003366"/>
      <rgbColor rgb="FF339966"/>
      <rgbColor rgb="FF003300"/>
      <rgbColor rgb="FF404040"/>
      <rgbColor rgb="FF993300"/>
      <rgbColor rgb="FF767171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0798286604361371"/>
          <c:y val="0.0556311825029495"/>
          <c:w val="0.982930944963655"/>
          <c:h val="0.8617841909429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'Озимая пшеница'!$B$11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gradFill>
              <a:gsLst>
                <a:gs pos="0">
                  <a:srgbClr val="fffcf2"/>
                </a:gs>
                <a:gs pos="52000">
                  <a:srgbClr val="ffe38c"/>
                </a:gs>
                <a:gs pos="100000">
                  <a:srgbClr val="ffe38c"/>
                </a:gs>
                <a:gs pos="100000">
                  <a:srgbClr val="ffecb3"/>
                </a:gs>
              </a:gsLst>
              <a:lin ang="16200000"/>
            </a:gradFill>
            <a:ln w="44280">
              <a:noFill/>
            </a:ln>
          </c:spPr>
          <c:invertIfNegative val="0"/>
          <c:dPt>
            <c:idx val="5"/>
            <c:invertIfNegative val="0"/>
            <c:spPr>
              <a:gradFill>
                <a:gsLst>
                  <a:gs pos="0">
                    <a:srgbClr val="fffcf2"/>
                  </a:gs>
                  <a:gs pos="52000">
                    <a:srgbClr val="ffe38c"/>
                  </a:gs>
                  <a:gs pos="100000">
                    <a:srgbClr val="ffe38c"/>
                  </a:gs>
                  <a:gs pos="100000">
                    <a:srgbClr val="ffecb3"/>
                  </a:gs>
                </a:gsLst>
                <a:lin ang="16200000"/>
              </a:gradFill>
              <a:ln w="44280">
                <a:noFill/>
              </a:ln>
            </c:spPr>
          </c:dPt>
          <c:dLbls>
            <c:numFmt formatCode="##\ ###&quot; т&quot;" sourceLinked="1"/>
            <c:dLbl>
              <c:idx val="5"/>
              <c:layout>
                <c:manualLayout>
                  <c:x val="0.000779605519607079"/>
                  <c:y val="-0.0366404285295263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'Озимая пшеница'!$C$5:$I$5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'Озимая пшеница'!$C$11:$I$11</c:f>
              <c:numCache>
                <c:formatCode>##,###" т"</c:formatCode>
                <c:ptCount val="7"/>
                <c:pt idx="0">
                  <c:v>15809.01</c:v>
                </c:pt>
                <c:pt idx="1">
                  <c:v>18722.34</c:v>
                </c:pt>
                <c:pt idx="2">
                  <c:v>22621.25</c:v>
                </c:pt>
                <c:pt idx="3">
                  <c:v>16385.28</c:v>
                </c:pt>
                <c:pt idx="4">
                  <c:v>18615.46</c:v>
                </c:pt>
                <c:pt idx="5">
                  <c:v>18818.61</c:v>
                </c:pt>
                <c:pt idx="6">
                  <c:v>23361.59</c:v>
                </c:pt>
              </c:numCache>
            </c:numRef>
          </c:val>
        </c:ser>
        <c:ser>
          <c:idx val="1"/>
          <c:order val="1"/>
          <c:tx>
            <c:strRef>
              <c:f>'Озимая пшеница'!$B$13</c:f>
              <c:strCache>
                <c:ptCount val="1"/>
                <c:pt idx="0">
                  <c:v>Площадь уборки</c:v>
                </c:pt>
              </c:strCache>
            </c:strRef>
          </c:tx>
          <c:spPr>
            <a:pattFill prst="openDmnd">
              <a:fgClr>
                <a:srgbClr val="808080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numFmt formatCode="00&quot; га&quot;" sourceLinked="1"/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'Озимая пшеница'!$C$5:$I$5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'Озимая пшеница'!$C$13:$I$13</c:f>
              <c:numCache>
                <c:formatCode>00" га"</c:formatCode>
                <c:ptCount val="7"/>
                <c:pt idx="0">
                  <c:v>3068</c:v>
                </c:pt>
                <c:pt idx="1">
                  <c:v>2960</c:v>
                </c:pt>
                <c:pt idx="2">
                  <c:v>3111</c:v>
                </c:pt>
                <c:pt idx="3">
                  <c:v>3029</c:v>
                </c:pt>
                <c:pt idx="4">
                  <c:v>2882</c:v>
                </c:pt>
                <c:pt idx="5">
                  <c:v>4163</c:v>
                </c:pt>
                <c:pt idx="6">
                  <c:v>3798</c:v>
                </c:pt>
              </c:numCache>
            </c:numRef>
          </c:val>
        </c:ser>
        <c:gapWidth val="150"/>
        <c:overlap val="-20"/>
        <c:axId val="98113965"/>
        <c:axId val="14860755"/>
      </c:barChart>
      <c:lineChart>
        <c:grouping val="standard"/>
        <c:varyColors val="0"/>
        <c:ser>
          <c:idx val="2"/>
          <c:order val="2"/>
          <c:tx>
            <c:strRef>
              <c:f>'Озимая пшеница'!$B$14</c:f>
              <c:strCache>
                <c:ptCount val="1"/>
                <c:pt idx="0">
                  <c:v>Урожайность, ц/га</c:v>
                </c:pt>
              </c:strCache>
            </c:strRef>
          </c:tx>
          <c:spPr>
            <a:solidFill>
              <a:srgbClr val="c00000"/>
            </a:solidFill>
            <a:ln cap="rnd" w="28440">
              <a:solidFill>
                <a:srgbClr val="c00000"/>
              </a:solidFill>
              <a:prstDash val="sysDash"/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Pt>
            <c:idx val="5"/>
            <c:marker>
              <c:symbol val="circle"/>
              <c:size val="7"/>
              <c:spPr>
                <a:solidFill>
                  <a:srgbClr val="c00000"/>
                </a:solidFill>
              </c:spPr>
            </c:marker>
          </c:dPt>
          <c:dLbls>
            <c:numFmt formatCode="00.0&quot; ц/га&quot;" sourceLinked="1"/>
            <c:dLbl>
              <c:idx val="5"/>
              <c:layout>
                <c:manualLayout>
                  <c:x val="-0.00321393910114564"/>
                  <c:y val="-0.0520599422023686"/>
                </c:manualLayout>
              </c:layout>
              <c:numFmt formatCode="00.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8a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400" strike="noStrike" u="none">
                    <a:solidFill>
                      <a:srgbClr val="8a0000"/>
                    </a:solidFill>
                    <a:uFillTx/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'Озимая пшеница'!$C$5:$I$5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'Озимая пшеница'!$C$14:$I$14</c:f>
              <c:numCache>
                <c:formatCode>00.0" ц/га"</c:formatCode>
                <c:ptCount val="7"/>
                <c:pt idx="0">
                  <c:v>51.5287157757497</c:v>
                </c:pt>
                <c:pt idx="1">
                  <c:v>63.2511486486487</c:v>
                </c:pt>
                <c:pt idx="2">
                  <c:v>72.7137576342012</c:v>
                </c:pt>
                <c:pt idx="3">
                  <c:v>54.0946847144272</c:v>
                </c:pt>
                <c:pt idx="4">
                  <c:v>64.5921582234559</c:v>
                </c:pt>
                <c:pt idx="5">
                  <c:v>45.2044439106414</c:v>
                </c:pt>
                <c:pt idx="6">
                  <c:v>61.5102422327541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226503"/>
        <c:axId val="44261333"/>
      </c:lineChart>
      <c:catAx>
        <c:axId val="981139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400" strike="noStrike" u="none">
                <a:solidFill>
                  <a:srgbClr val="767171"/>
                </a:solidFill>
                <a:uFillTx/>
                <a:latin typeface="Arial"/>
              </a:defRPr>
            </a:pPr>
          </a:p>
        </c:txPr>
        <c:crossAx val="14860755"/>
        <c:crosses val="autoZero"/>
        <c:auto val="1"/>
        <c:lblAlgn val="ctr"/>
        <c:lblOffset val="100"/>
        <c:noMultiLvlLbl val="0"/>
      </c:catAx>
      <c:valAx>
        <c:axId val="14860755"/>
        <c:scaling>
          <c:orientation val="minMax"/>
          <c:max val="30000"/>
        </c:scaling>
        <c:delete val="0"/>
        <c:axPos val="l"/>
        <c:numFmt formatCode="##\ ###&quot; т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98113965"/>
        <c:crosses val="autoZero"/>
        <c:crossBetween val="between"/>
      </c:valAx>
      <c:catAx>
        <c:axId val="68226503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261333"/>
        <c:auto val="1"/>
        <c:lblAlgn val="ctr"/>
        <c:lblOffset val="100"/>
        <c:noMultiLvlLbl val="0"/>
      </c:catAx>
      <c:valAx>
        <c:axId val="44261333"/>
        <c:scaling>
          <c:orientation val="minMax"/>
          <c:max val="75"/>
          <c:min val="0"/>
        </c:scaling>
        <c:delete val="0"/>
        <c:axPos val="r"/>
        <c:numFmt formatCode="00.0&quot; ц/га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68226503"/>
        <c:crosses val="max"/>
        <c:crossBetween val="between"/>
        <c:majorUnit val="20"/>
      </c:valAx>
      <c:spPr>
        <a:noFill/>
        <a:ln w="0">
          <a:noFill/>
        </a:ln>
      </c:spPr>
    </c:plotArea>
    <c:plotVisOnly val="1"/>
    <c:dispBlanksAs val="gap"/>
  </c:chart>
  <c:spPr>
    <a:solidFill>
      <a:srgbClr val="f9f9f9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07589984350548"/>
          <c:y val="0.0374493927125506"/>
          <c:w val="0.980894627021388"/>
          <c:h val="0.868589743589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Подсолнечник!$B$11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gradFill>
              <a:gsLst>
                <a:gs pos="0">
                  <a:srgbClr val="f8fbf6"/>
                </a:gs>
                <a:gs pos="41000">
                  <a:srgbClr val="bedcaa"/>
                </a:gs>
                <a:gs pos="100000">
                  <a:srgbClr val="bedcaa"/>
                </a:gs>
                <a:gs pos="100000">
                  <a:srgbClr val="d4e8c6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2"/>
            <c:invertIfNegative val="0"/>
            <c:spPr>
              <a:gradFill>
                <a:gsLst>
                  <a:gs pos="0">
                    <a:srgbClr val="f8fbf6"/>
                  </a:gs>
                  <a:gs pos="41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invertIfNegative val="0"/>
            <c:spPr>
              <a:gradFill>
                <a:gsLst>
                  <a:gs pos="0">
                    <a:srgbClr val="f8fbf6"/>
                  </a:gs>
                  <a:gs pos="41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invertIfNegative val="0"/>
            <c:spPr>
              <a:gradFill>
                <a:gsLst>
                  <a:gs pos="0">
                    <a:srgbClr val="f8fbf6"/>
                  </a:gs>
                  <a:gs pos="41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##\ ###&quot; т&quot;" sourceLinked="1"/>
            <c:dLbl>
              <c:idx val="2"/>
              <c:layout>
                <c:manualLayout>
                  <c:x val="0"/>
                  <c:y val="-0.00409107818805978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-0.00094086019513885"/>
                  <c:y val="0.010218978493744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layout>
                <c:manualLayout>
                  <c:x val="0"/>
                  <c:y val="-0.0868024830978038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Подсолнечник!$C$5:$I$5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Подсолнечник!$C$11:$I$11</c:f>
              <c:numCache>
                <c:formatCode>##,###" т"</c:formatCode>
                <c:ptCount val="7"/>
                <c:pt idx="1">
                  <c:v>2652.86</c:v>
                </c:pt>
                <c:pt idx="2">
                  <c:v>2415.94</c:v>
                </c:pt>
                <c:pt idx="3">
                  <c:v>2783</c:v>
                </c:pt>
                <c:pt idx="4">
                  <c:v>1772.96</c:v>
                </c:pt>
                <c:pt idx="5">
                  <c:v>298.28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Подсолнечник!$B$13</c:f>
              <c:strCache>
                <c:ptCount val="1"/>
                <c:pt idx="0">
                  <c:v>Площадь уборки</c:v>
                </c:pt>
              </c:strCache>
            </c:strRef>
          </c:tx>
          <c:spPr>
            <a:pattFill prst="openDmnd">
              <a:fgClr>
                <a:srgbClr val="7c7c7c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numFmt formatCode="00&quot; га&quot;" sourceLinked="1"/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Подсолнечник!$C$5:$I$5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Подсолнечник!$C$13:$I$13</c:f>
              <c:numCache>
                <c:formatCode>00" га"</c:formatCode>
                <c:ptCount val="7"/>
                <c:pt idx="1">
                  <c:v>798</c:v>
                </c:pt>
                <c:pt idx="2">
                  <c:v>904</c:v>
                </c:pt>
                <c:pt idx="3">
                  <c:v>956</c:v>
                </c:pt>
                <c:pt idx="4">
                  <c:v>1063</c:v>
                </c:pt>
                <c:pt idx="5">
                  <c:v>410</c:v>
                </c:pt>
                <c:pt idx="6">
                  <c:v>0</c:v>
                </c:pt>
              </c:numCache>
            </c:numRef>
          </c:val>
        </c:ser>
        <c:gapWidth val="150"/>
        <c:overlap val="-20"/>
        <c:axId val="9483013"/>
        <c:axId val="18842863"/>
      </c:barChart>
      <c:lineChart>
        <c:grouping val="standard"/>
        <c:varyColors val="0"/>
        <c:ser>
          <c:idx val="2"/>
          <c:order val="2"/>
          <c:tx>
            <c:strRef>
              <c:f>Подсолнечник!$B$14</c:f>
              <c:strCache>
                <c:ptCount val="1"/>
                <c:pt idx="0">
                  <c:v>Урожайность, ц/га</c:v>
                </c:pt>
              </c:strCache>
            </c:strRef>
          </c:tx>
          <c:spPr>
            <a:solidFill>
              <a:srgbClr val="c00000">
                <a:alpha val="99000"/>
              </a:srgbClr>
            </a:solidFill>
            <a:ln cap="rnd" w="28440">
              <a:solidFill>
                <a:srgbClr val="c00000">
                  <a:alpha val="99000"/>
                </a:srgbClr>
              </a:solidFill>
              <a:prstDash val="sysDash"/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Pt>
            <c:idx val="1"/>
            <c:marker>
              <c:symbol val="circle"/>
              <c:size val="7"/>
              <c:spPr>
                <a:solidFill>
                  <a:srgbClr val="c00000"/>
                </a:solidFill>
              </c:spPr>
            </c:marker>
          </c:dPt>
          <c:dPt>
            <c:idx val="4"/>
            <c:marker>
              <c:symbol val="circle"/>
              <c:size val="7"/>
              <c:spPr>
                <a:solidFill>
                  <a:srgbClr val="c00000"/>
                </a:solidFill>
              </c:spPr>
            </c:marker>
          </c:dPt>
          <c:dLbls>
            <c:numFmt formatCode="00&quot; ц/га&quot;" sourceLinked="1"/>
            <c:dLbl>
              <c:idx val="1"/>
              <c:numFmt formatCode="0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8a0000"/>
                      </a:solidFill>
                      <a:uFillTx/>
                      <a:latin typeface="Arial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layout>
                <c:manualLayout>
                  <c:x val="-0.0131285586268349"/>
                  <c:y val="-0.0900575762139716"/>
                </c:manualLayout>
              </c:layout>
              <c:numFmt formatCode="0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8a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400" strike="noStrike" u="none">
                    <a:solidFill>
                      <a:srgbClr val="8a0000"/>
                    </a:solidFill>
                    <a:uFillTx/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Подсолнечник!$C$5:$I$5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Подсолнечник!$C$14:$I$14</c:f>
              <c:numCache>
                <c:formatCode>00" ц/га"</c:formatCode>
                <c:ptCount val="7"/>
                <c:pt idx="1">
                  <c:v>33.2438596491228</c:v>
                </c:pt>
                <c:pt idx="2">
                  <c:v>26.725</c:v>
                </c:pt>
                <c:pt idx="3">
                  <c:v>29.1108786610879</c:v>
                </c:pt>
                <c:pt idx="4">
                  <c:v>16.6788334901223</c:v>
                </c:pt>
                <c:pt idx="5">
                  <c:v>7.27512195121951</c:v>
                </c:pt>
                <c:pt idx="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873168"/>
        <c:axId val="56265953"/>
      </c:lineChart>
      <c:catAx>
        <c:axId val="9483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400" strike="noStrike" u="none">
                <a:solidFill>
                  <a:srgbClr val="767171"/>
                </a:solidFill>
                <a:uFillTx/>
                <a:latin typeface="Arial"/>
              </a:defRPr>
            </a:pPr>
          </a:p>
        </c:txPr>
        <c:crossAx val="18842863"/>
        <c:crosses val="autoZero"/>
        <c:auto val="1"/>
        <c:lblAlgn val="ctr"/>
        <c:lblOffset val="100"/>
        <c:noMultiLvlLbl val="0"/>
      </c:catAx>
      <c:valAx>
        <c:axId val="18842863"/>
        <c:scaling>
          <c:orientation val="minMax"/>
          <c:max val="4000"/>
        </c:scaling>
        <c:delete val="0"/>
        <c:axPos val="l"/>
        <c:numFmt formatCode="##\ ###&quot; тн.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9483013"/>
        <c:crosses val="autoZero"/>
        <c:crossBetween val="between"/>
      </c:valAx>
      <c:catAx>
        <c:axId val="7887316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6265953"/>
        <c:auto val="1"/>
        <c:lblAlgn val="ctr"/>
        <c:lblOffset val="100"/>
        <c:noMultiLvlLbl val="0"/>
      </c:catAx>
      <c:valAx>
        <c:axId val="56265953"/>
        <c:scaling>
          <c:orientation val="minMax"/>
          <c:max val="38"/>
          <c:min val="0"/>
        </c:scaling>
        <c:delete val="0"/>
        <c:axPos val="r"/>
        <c:numFmt formatCode="00&quot; ц/га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78873168"/>
        <c:crosses val="max"/>
        <c:crossBetween val="between"/>
      </c:valAx>
      <c:spPr>
        <a:solidFill>
          <a:srgbClr val="f9f9f9"/>
        </a:solidFill>
        <a:ln w="0">
          <a:noFill/>
        </a:ln>
      </c:spPr>
    </c:plotArea>
    <c:plotVisOnly val="1"/>
    <c:dispBlanksAs val="gap"/>
  </c:chart>
  <c:spPr>
    <a:solidFill>
      <a:srgbClr val="f9f9f9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37108533373958"/>
          <c:y val="0.0306571967994246"/>
          <c:w val="0.981065964438834"/>
          <c:h val="0.866223141238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'Кукуруза на зерно'!$B$11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gradFill>
              <a:gsLst>
                <a:gs pos="0">
                  <a:srgbClr val="fef8f5"/>
                </a:gs>
                <a:gs pos="44000">
                  <a:srgbClr val="f7c4a2"/>
                </a:gs>
                <a:gs pos="100000">
                  <a:srgbClr val="f7c4a2"/>
                </a:gs>
                <a:gs pos="100000">
                  <a:srgbClr val="fad8c1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3"/>
            <c:invertIfNegative val="0"/>
            <c:spPr>
              <a:gradFill>
                <a:gsLst>
                  <a:gs pos="0">
                    <a:srgbClr val="fef8f5"/>
                  </a:gs>
                  <a:gs pos="44000">
                    <a:srgbClr val="f7c4a2"/>
                  </a:gs>
                  <a:gs pos="100000">
                    <a:srgbClr val="f7c4a2"/>
                  </a:gs>
                  <a:gs pos="100000">
                    <a:srgbClr val="fad8c1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##\ ###&quot; т&quot;" sourceLinked="1"/>
            <c:dLbl>
              <c:idx val="3"/>
              <c:layout>
                <c:manualLayout>
                  <c:x val="0.00508523594530748"/>
                  <c:y val="0.00322255933632532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'Кукуруза на зерно'!$C$5:$I$5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'Кукуруза на зерно'!$C$11:$I$11</c:f>
              <c:numCache>
                <c:formatCode>##,###" т"</c:formatCode>
                <c:ptCount val="7"/>
                <c:pt idx="0">
                  <c:v>244.02</c:v>
                </c:pt>
                <c:pt idx="1">
                  <c:v>2003.64</c:v>
                </c:pt>
                <c:pt idx="2">
                  <c:v>626.86</c:v>
                </c:pt>
                <c:pt idx="3">
                  <c:v>5393.6</c:v>
                </c:pt>
                <c:pt idx="4">
                  <c:v>726.84</c:v>
                </c:pt>
                <c:pt idx="5">
                  <c:v>394.24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'Кукуруза на зерно'!$B$13</c:f>
              <c:strCache>
                <c:ptCount val="1"/>
                <c:pt idx="0">
                  <c:v>Площадь уборки</c:v>
                </c:pt>
              </c:strCache>
            </c:strRef>
          </c:tx>
          <c:spPr>
            <a:pattFill prst="openDmnd">
              <a:fgClr>
                <a:srgbClr val="7c7c7c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numFmt formatCode="00&quot; га&quot;" sourceLinked="1"/>
            <c:txPr>
              <a:bodyPr wrap="square"/>
              <a:lstStyle/>
              <a:p>
                <a:pPr>
                  <a:defRPr b="0" sz="14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'Кукуруза на зерно'!$C$5:$I$5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'Кукуруза на зерно'!$C$13:$I$13</c:f>
              <c:numCache>
                <c:formatCode>00" га"</c:formatCode>
                <c:ptCount val="7"/>
                <c:pt idx="0">
                  <c:v>111</c:v>
                </c:pt>
                <c:pt idx="1">
                  <c:v>242</c:v>
                </c:pt>
                <c:pt idx="2">
                  <c:v>119</c:v>
                </c:pt>
                <c:pt idx="3">
                  <c:v>900</c:v>
                </c:pt>
                <c:pt idx="4">
                  <c:v>655</c:v>
                </c:pt>
                <c:pt idx="5">
                  <c:v>66</c:v>
                </c:pt>
                <c:pt idx="6">
                  <c:v>0</c:v>
                </c:pt>
              </c:numCache>
            </c:numRef>
          </c:val>
        </c:ser>
        <c:gapWidth val="150"/>
        <c:overlap val="-20"/>
        <c:axId val="42366375"/>
        <c:axId val="93782260"/>
      </c:barChart>
      <c:lineChart>
        <c:grouping val="standard"/>
        <c:varyColors val="0"/>
        <c:ser>
          <c:idx val="2"/>
          <c:order val="2"/>
          <c:tx>
            <c:strRef>
              <c:f>'Кукуруза на зерно'!$B$14</c:f>
              <c:strCache>
                <c:ptCount val="1"/>
                <c:pt idx="0">
                  <c:v>Урожайность, ц/га</c:v>
                </c:pt>
              </c:strCache>
            </c:strRef>
          </c:tx>
          <c:spPr>
            <a:solidFill>
              <a:srgbClr val="c00000"/>
            </a:solidFill>
            <a:ln cap="rnd" w="28440">
              <a:solidFill>
                <a:srgbClr val="c0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Pt>
            <c:idx val="4"/>
            <c:marker>
              <c:symbol val="circle"/>
              <c:size val="6"/>
              <c:spPr>
                <a:solidFill>
                  <a:srgbClr val="c00000"/>
                </a:solidFill>
              </c:spPr>
            </c:marker>
          </c:dPt>
          <c:dLbls>
            <c:numFmt formatCode="00&quot; ц/га&quot;" sourceLinked="1"/>
            <c:dLbl>
              <c:idx val="4"/>
              <c:layout>
                <c:manualLayout>
                  <c:x val="-0.022270766032105"/>
                  <c:y val="-0.0948131796782719"/>
                </c:manualLayout>
              </c:layout>
              <c:numFmt formatCode="0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8a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400" strike="noStrike" u="none">
                    <a:solidFill>
                      <a:srgbClr val="8a0000"/>
                    </a:solidFill>
                    <a:uFillTx/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'Кукуруза на зерно'!$C$5:$I$5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'Кукуруза на зерно'!$C$14:$I$14</c:f>
              <c:numCache>
                <c:formatCode>00" ц/га"</c:formatCode>
                <c:ptCount val="7"/>
                <c:pt idx="0">
                  <c:v>21.9837837837838</c:v>
                </c:pt>
                <c:pt idx="1">
                  <c:v>82.7950413223141</c:v>
                </c:pt>
                <c:pt idx="2">
                  <c:v>52.6773109243698</c:v>
                </c:pt>
                <c:pt idx="3">
                  <c:v>59.9288888888889</c:v>
                </c:pt>
                <c:pt idx="4">
                  <c:v>11.0967938931298</c:v>
                </c:pt>
                <c:pt idx="5">
                  <c:v>59.7333333333333</c:v>
                </c:pt>
                <c:pt idx="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104530"/>
        <c:axId val="80015413"/>
      </c:lineChart>
      <c:catAx>
        <c:axId val="42366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400" strike="noStrike" u="none">
                <a:solidFill>
                  <a:srgbClr val="767171"/>
                </a:solidFill>
                <a:uFillTx/>
                <a:latin typeface="Arial"/>
              </a:defRPr>
            </a:pPr>
          </a:p>
        </c:txPr>
        <c:crossAx val="93782260"/>
        <c:crosses val="autoZero"/>
        <c:auto val="1"/>
        <c:lblAlgn val="ctr"/>
        <c:lblOffset val="100"/>
        <c:noMultiLvlLbl val="0"/>
      </c:catAx>
      <c:valAx>
        <c:axId val="93782260"/>
        <c:scaling>
          <c:orientation val="minMax"/>
          <c:max val="6500"/>
          <c:min val="0"/>
        </c:scaling>
        <c:delete val="0"/>
        <c:axPos val="l"/>
        <c:numFmt formatCode="##\ ###&quot; т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42366375"/>
        <c:crosses val="autoZero"/>
        <c:crossBetween val="between"/>
      </c:valAx>
      <c:catAx>
        <c:axId val="4910453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0015413"/>
        <c:auto val="1"/>
        <c:lblAlgn val="ctr"/>
        <c:lblOffset val="100"/>
        <c:noMultiLvlLbl val="0"/>
      </c:catAx>
      <c:valAx>
        <c:axId val="80015413"/>
        <c:scaling>
          <c:orientation val="minMax"/>
          <c:max val="90"/>
          <c:min val="0"/>
        </c:scaling>
        <c:delete val="0"/>
        <c:axPos val="r"/>
        <c:numFmt formatCode="00&quot; ц/га&quot;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49104530"/>
        <c:crosses val="max"/>
        <c:crossBetween val="between"/>
      </c:valAx>
      <c:spPr>
        <a:solidFill>
          <a:srgbClr val="f9f9f9"/>
        </a:solidFill>
        <a:ln w="0">
          <a:noFill/>
        </a:ln>
      </c:spPr>
    </c:plotArea>
    <c:plotVisOnly val="1"/>
    <c:dispBlanksAs val="gap"/>
  </c:chart>
  <c:spPr>
    <a:solidFill>
      <a:srgbClr val="f9f9f9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01102341660688"/>
          <c:y val="0.0351611552951026"/>
          <c:w val="0.979996956058531"/>
          <c:h val="0.872833821682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'Горох на зерно'!$B$11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gradFill>
              <a:gsLst>
                <a:gs pos="0">
                  <a:srgbClr val="fafafa"/>
                </a:gs>
                <a:gs pos="53000">
                  <a:srgbClr val="d6d6d6"/>
                </a:gs>
                <a:gs pos="100000">
                  <a:srgbClr val="d6d6d6"/>
                </a:gs>
                <a:gs pos="100000">
                  <a:srgbClr val="e4e4e4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4"/>
            <c:invertIfNegative val="0"/>
            <c:spPr>
              <a:gradFill>
                <a:gsLst>
                  <a:gs pos="0">
                    <a:srgbClr val="fafafa"/>
                  </a:gs>
                  <a:gs pos="53000">
                    <a:srgbClr val="d6d6d6"/>
                  </a:gs>
                  <a:gs pos="100000">
                    <a:srgbClr val="d6d6d6"/>
                  </a:gs>
                  <a:gs pos="100000">
                    <a:srgbClr val="e4e4e4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##\ ###&quot; т&quot;" sourceLinked="1"/>
            <c:dLbl>
              <c:idx val="4"/>
              <c:layout>
                <c:manualLayout>
                  <c:x val="0.000943116434813494"/>
                  <c:y val="0.00322694141892365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'Горох на зерно'!$C$5:$I$5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'Горох на зерно'!$C$11:$I$11</c:f>
              <c:numCache>
                <c:formatCode>##,###" т"</c:formatCode>
                <c:ptCount val="7"/>
                <c:pt idx="1">
                  <c:v>368.83</c:v>
                </c:pt>
                <c:pt idx="2">
                  <c:v>180.7</c:v>
                </c:pt>
                <c:pt idx="5">
                  <c:v>764.29</c:v>
                </c:pt>
                <c:pt idx="6">
                  <c:v>150.2</c:v>
                </c:pt>
              </c:numCache>
            </c:numRef>
          </c:val>
        </c:ser>
        <c:ser>
          <c:idx val="1"/>
          <c:order val="1"/>
          <c:tx>
            <c:strRef>
              <c:f>'Горох на зерно'!$B$13</c:f>
              <c:strCache>
                <c:ptCount val="1"/>
                <c:pt idx="0">
                  <c:v>Площадь уборки</c:v>
                </c:pt>
              </c:strCache>
            </c:strRef>
          </c:tx>
          <c:spPr>
            <a:pattFill prst="openDmnd">
              <a:fgClr>
                <a:srgbClr val="7c7c7c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numFmt formatCode="00&quot; га&quot;" sourceLinked="1"/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'Горох на зерно'!$C$5:$I$5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'Горох на зерно'!$C$13:$I$13</c:f>
              <c:numCache>
                <c:formatCode>00" га"</c:formatCode>
                <c:ptCount val="7"/>
                <c:pt idx="1">
                  <c:v>151</c:v>
                </c:pt>
                <c:pt idx="2">
                  <c:v>191</c:v>
                </c:pt>
                <c:pt idx="5">
                  <c:v>384</c:v>
                </c:pt>
                <c:pt idx="6">
                  <c:v>90</c:v>
                </c:pt>
              </c:numCache>
            </c:numRef>
          </c:val>
        </c:ser>
        <c:gapWidth val="150"/>
        <c:overlap val="0"/>
        <c:axId val="23649477"/>
        <c:axId val="15125720"/>
      </c:barChart>
      <c:lineChart>
        <c:grouping val="standard"/>
        <c:varyColors val="0"/>
        <c:ser>
          <c:idx val="2"/>
          <c:order val="2"/>
          <c:tx>
            <c:strRef>
              <c:f>'Горох на зерно'!$B$14</c:f>
              <c:strCache>
                <c:ptCount val="1"/>
                <c:pt idx="0">
                  <c:v>Урожайность, ц/га</c:v>
                </c:pt>
              </c:strCache>
            </c:strRef>
          </c:tx>
          <c:spPr>
            <a:solidFill>
              <a:srgbClr val="c00000"/>
            </a:solidFill>
            <a:ln cap="rnd" w="28440">
              <a:solidFill>
                <a:srgbClr val="c0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Pt>
            <c:idx val="2"/>
            <c:marker>
              <c:symbol val="circle"/>
              <c:size val="6"/>
              <c:spPr>
                <a:solidFill>
                  <a:srgbClr val="c00000"/>
                </a:solidFill>
              </c:spPr>
            </c:marker>
          </c:dPt>
          <c:dPt>
            <c:idx val="4"/>
            <c:marker>
              <c:symbol val="circle"/>
              <c:size val="6"/>
              <c:spPr>
                <a:solidFill>
                  <a:srgbClr val="c00000"/>
                </a:solidFill>
              </c:spPr>
            </c:marker>
          </c:dPt>
          <c:dLbls>
            <c:numFmt formatCode="00.0&quot; ц/га&quot;" sourceLinked="1"/>
            <c:dLbl>
              <c:idx val="2"/>
              <c:numFmt formatCode="00.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c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c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400" strike="noStrike" u="none">
                    <a:solidFill>
                      <a:srgbClr val="c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'Горох на зерно'!$C$5:$I$5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'Горох на зерно'!$C$14:$I$14</c:f>
              <c:numCache>
                <c:formatCode>00.0" ц/га"</c:formatCode>
                <c:ptCount val="7"/>
                <c:pt idx="1">
                  <c:v>24.4258278145695</c:v>
                </c:pt>
                <c:pt idx="2">
                  <c:v>9.46073298429319</c:v>
                </c:pt>
                <c:pt idx="5">
                  <c:v>19.9033854166667</c:v>
                </c:pt>
                <c:pt idx="6">
                  <c:v>16.6888888888889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200414"/>
        <c:axId val="30631177"/>
      </c:lineChart>
      <c:catAx>
        <c:axId val="236494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400" strike="noStrike" u="none">
                <a:solidFill>
                  <a:srgbClr val="767171"/>
                </a:solidFill>
                <a:uFillTx/>
                <a:latin typeface="Arial"/>
              </a:defRPr>
            </a:pPr>
          </a:p>
        </c:txPr>
        <c:crossAx val="15125720"/>
        <c:crosses val="autoZero"/>
        <c:auto val="1"/>
        <c:lblAlgn val="ctr"/>
        <c:lblOffset val="100"/>
        <c:noMultiLvlLbl val="0"/>
      </c:catAx>
      <c:valAx>
        <c:axId val="15125720"/>
        <c:scaling>
          <c:orientation val="minMax"/>
          <c:max val="900"/>
        </c:scaling>
        <c:delete val="0"/>
        <c:axPos val="l"/>
        <c:numFmt formatCode="##\ ###&quot; т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23649477"/>
        <c:crosses val="autoZero"/>
        <c:crossBetween val="between"/>
      </c:valAx>
      <c:catAx>
        <c:axId val="9720041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631177"/>
        <c:auto val="1"/>
        <c:lblAlgn val="ctr"/>
        <c:lblOffset val="100"/>
        <c:noMultiLvlLbl val="0"/>
      </c:catAx>
      <c:valAx>
        <c:axId val="30631177"/>
        <c:scaling>
          <c:orientation val="minMax"/>
        </c:scaling>
        <c:delete val="0"/>
        <c:axPos val="r"/>
        <c:numFmt formatCode="00&quot; ц/га&quot;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9720041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9f9f9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0838984524430534"/>
          <c:y val="0.052434456928839"/>
          <c:w val="0.980894627021388"/>
          <c:h val="0.865168539325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'Подсолнечник кондитерский'!$B$11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pattFill prst="ltHorz">
              <a:fgClr>
                <a:srgbClr val="ed7d31"/>
              </a:fgClr>
              <a:bgClr>
                <a:srgbClr val="fbe5d6"/>
              </a:bgClr>
            </a:pattFill>
            <a:ln w="0">
              <a:noFill/>
            </a:ln>
          </c:spPr>
          <c:invertIfNegative val="0"/>
          <c:dPt>
            <c:idx val="6"/>
            <c:invertIfNegative val="0"/>
            <c:spPr>
              <a:pattFill prst="ltHorz">
                <a:fgClr>
                  <a:srgbClr val="ed7d31"/>
                </a:fgClr>
                <a:bgClr>
                  <a:srgbClr val="fbe5d6"/>
                </a:bgClr>
              </a:pattFill>
              <a:ln w="0">
                <a:noFill/>
              </a:ln>
            </c:spPr>
          </c:dPt>
          <c:dLbls>
            <c:numFmt formatCode="##\ ###&quot; т&quot;" sourceLinked="1"/>
            <c:dLbl>
              <c:idx val="6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'Подсолнечник кондитерский'!$C$5:$I$5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'Подсолнечник кондитерский'!$C$11:$I$11</c:f>
              <c:numCache>
                <c:formatCode>##,###" т"</c:formatCode>
                <c:ptCount val="7"/>
                <c:pt idx="5">
                  <c:v>146.08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'Подсолнечник кондитерский'!$B$13</c:f>
              <c:strCache>
                <c:ptCount val="1"/>
                <c:pt idx="0">
                  <c:v>Площадь уборки</c:v>
                </c:pt>
              </c:strCache>
            </c:strRef>
          </c:tx>
          <c:spPr>
            <a:pattFill prst="ltHorz">
              <a:fgClr>
                <a:srgbClr val="a5a5a5"/>
              </a:fgClr>
              <a:bgClr>
                <a:srgbClr val="ededed"/>
              </a:bgClr>
            </a:pattFill>
            <a:ln w="0">
              <a:noFill/>
            </a:ln>
          </c:spPr>
          <c:invertIfNegative val="0"/>
          <c:dPt>
            <c:idx val="6"/>
            <c:invertIfNegative val="0"/>
            <c:spPr>
              <a:pattFill prst="ltHorz">
                <a:fgClr>
                  <a:srgbClr val="a5a5a5"/>
                </a:fgClr>
                <a:bgClr>
                  <a:srgbClr val="ededed"/>
                </a:bgClr>
              </a:pattFill>
              <a:ln w="0">
                <a:noFill/>
              </a:ln>
            </c:spPr>
          </c:dPt>
          <c:dLbls>
            <c:numFmt formatCode="00&quot; га&quot;" sourceLinked="1"/>
            <c:dLbl>
              <c:idx val="6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'Подсолнечник кондитерский'!$C$5:$I$5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'Подсолнечник кондитерский'!$C$13:$I$13</c:f>
              <c:numCache>
                <c:formatCode>00" га"</c:formatCode>
                <c:ptCount val="7"/>
                <c:pt idx="5">
                  <c:v>358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'Подсолнечник кондитерский'!$B$14</c:f>
              <c:strCache>
                <c:ptCount val="1"/>
                <c:pt idx="0">
                  <c:v>Урожайность, ц/га</c:v>
                </c:pt>
              </c:strCache>
            </c:strRef>
          </c:tx>
          <c:spPr>
            <a:gradFill>
              <a:gsLst>
                <a:gs pos="17000">
                  <a:srgbClr val="a9d18e"/>
                </a:gs>
                <a:gs pos="44000">
                  <a:srgbClr val="bedcaa"/>
                </a:gs>
                <a:gs pos="100000">
                  <a:srgbClr val="bedcaa"/>
                </a:gs>
                <a:gs pos="100000">
                  <a:srgbClr val="d4e8c6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2"/>
            <c:invertIfNegative val="0"/>
            <c:spPr>
              <a:gradFill>
                <a:gsLst>
                  <a:gs pos="17000">
                    <a:srgbClr val="a9d18e"/>
                  </a:gs>
                  <a:gs pos="44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invertIfNegative val="0"/>
            <c:spPr>
              <a:gradFill>
                <a:gsLst>
                  <a:gs pos="17000">
                    <a:srgbClr val="a9d18e"/>
                  </a:gs>
                  <a:gs pos="44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invertIfNegative val="0"/>
            <c:spPr>
              <a:gradFill>
                <a:gsLst>
                  <a:gs pos="17000">
                    <a:srgbClr val="a9d18e"/>
                  </a:gs>
                  <a:gs pos="44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5"/>
            <c:invertIfNegative val="0"/>
            <c:spPr>
              <a:gradFill>
                <a:gsLst>
                  <a:gs pos="17000">
                    <a:srgbClr val="a9d18e"/>
                  </a:gs>
                  <a:gs pos="44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6"/>
            <c:invertIfNegative val="0"/>
            <c:spPr>
              <a:gradFill>
                <a:gsLst>
                  <a:gs pos="17000">
                    <a:srgbClr val="a9d18e"/>
                  </a:gs>
                  <a:gs pos="44000">
                    <a:srgbClr val="bedcaa"/>
                  </a:gs>
                  <a:gs pos="100000">
                    <a:srgbClr val="bedcaa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00&quot; ц/га&quot;" sourceLinked="1"/>
            <c:dLbl>
              <c:idx val="2"/>
              <c:layout>
                <c:manualLayout>
                  <c:x val="0"/>
                  <c:y val="-0.00409107818805978"/>
                </c:manualLayout>
              </c:layout>
              <c:numFmt formatCode="00&quot; ц/га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-0.00094086019513885"/>
                  <c:y val="0.010218978493744"/>
                </c:manualLayout>
              </c:layout>
              <c:numFmt formatCode="00&quot; ц/га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layout>
                <c:manualLayout>
                  <c:x val="0"/>
                  <c:y val="-0.0868024830978038"/>
                </c:manualLayout>
              </c:layout>
              <c:numFmt formatCode="00&quot; ц/га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layout>
                <c:manualLayout>
                  <c:x val="-0.056673787871078"/>
                  <c:y val="-0.134259658414298"/>
                </c:manualLayout>
              </c:layout>
              <c:numFmt formatCode="0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8a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'Подсолнечник кондитерский'!$C$5:$I$5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'Подсолнечник кондитерский'!$C$14:$I$14</c:f>
              <c:numCache>
                <c:formatCode>00" ц/га"</c:formatCode>
                <c:ptCount val="7"/>
                <c:pt idx="5">
                  <c:v>4.0804469273743</c:v>
                </c:pt>
                <c:pt idx="6">
                  <c:v>0</c:v>
                </c:pt>
              </c:numCache>
            </c:numRef>
          </c:val>
        </c:ser>
        <c:gapWidth val="150"/>
        <c:overlap val="-20"/>
        <c:axId val="25396969"/>
        <c:axId val="99308104"/>
      </c:barChart>
      <c:catAx>
        <c:axId val="253969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400" strike="noStrike" u="none">
                <a:solidFill>
                  <a:srgbClr val="767171"/>
                </a:solidFill>
                <a:uFillTx/>
                <a:latin typeface="Arial"/>
              </a:defRPr>
            </a:pPr>
          </a:p>
        </c:txPr>
        <c:crossAx val="99308104"/>
        <c:crosses val="autoZero"/>
        <c:auto val="1"/>
        <c:lblAlgn val="ctr"/>
        <c:lblOffset val="100"/>
        <c:noMultiLvlLbl val="0"/>
      </c:catAx>
      <c:valAx>
        <c:axId val="99308104"/>
        <c:scaling>
          <c:orientation val="minMax"/>
          <c:max val="4000"/>
        </c:scaling>
        <c:delete val="0"/>
        <c:axPos val="l"/>
        <c:numFmt formatCode="##\ ###&quot; тн.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25396969"/>
        <c:crosses val="autoZero"/>
        <c:crossBetween val="between"/>
      </c:valAx>
      <c:spPr>
        <a:solidFill>
          <a:srgbClr val="f9f9f9"/>
        </a:solidFill>
        <a:ln w="0">
          <a:noFill/>
        </a:ln>
      </c:spPr>
    </c:plotArea>
    <c:plotVisOnly val="1"/>
    <c:dispBlanksAs val="gap"/>
  </c:chart>
  <c:spPr>
    <a:solidFill>
      <a:srgbClr val="f9f9f9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01102341660688"/>
          <c:y val="0.0351640991292699"/>
          <c:w val="0.979996956058531"/>
          <c:h val="0.872823174815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'Рапс озимый'!$B$11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gradFill>
              <a:gsLst>
                <a:gs pos="0">
                  <a:srgbClr val="fafafa"/>
                </a:gs>
                <a:gs pos="53000">
                  <a:srgbClr val="d6d6d6"/>
                </a:gs>
                <a:gs pos="100000">
                  <a:srgbClr val="d6d6d6"/>
                </a:gs>
                <a:gs pos="100000">
                  <a:srgbClr val="e4e4e4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4"/>
            <c:invertIfNegative val="0"/>
            <c:spPr>
              <a:gradFill>
                <a:gsLst>
                  <a:gs pos="0">
                    <a:srgbClr val="fafafa"/>
                  </a:gs>
                  <a:gs pos="53000">
                    <a:srgbClr val="d6d6d6"/>
                  </a:gs>
                  <a:gs pos="100000">
                    <a:srgbClr val="d6d6d6"/>
                  </a:gs>
                  <a:gs pos="100000">
                    <a:srgbClr val="e4e4e4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##\ ###&quot; т&quot;" sourceLinked="1"/>
            <c:dLbl>
              <c:idx val="4"/>
              <c:layout>
                <c:manualLayout>
                  <c:x val="0.000943116434813494"/>
                  <c:y val="0.00322694141892365"/>
                </c:manualLayout>
              </c:layout>
              <c:numFmt formatCode="##\ ###&quot; т&quot;" sourceLinked="1"/>
              <c:txPr>
                <a:bodyPr wrap="square"/>
                <a:lstStyle/>
                <a:p>
                  <a:pPr>
                    <a:defRPr b="0" sz="1400" strike="noStrike" u="none">
                      <a:solidFill>
                        <a:srgbClr val="40404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'Рапс озимый'!$C$5:$I$5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'Рапс озимый'!$C$11:$I$11</c:f>
              <c:numCache>
                <c:formatCode>##,###" т"</c:formatCode>
                <c:ptCount val="7"/>
                <c:pt idx="6">
                  <c:v>968.69</c:v>
                </c:pt>
              </c:numCache>
            </c:numRef>
          </c:val>
        </c:ser>
        <c:ser>
          <c:idx val="1"/>
          <c:order val="1"/>
          <c:tx>
            <c:strRef>
              <c:f>'Рапс озимый'!$B$13</c:f>
              <c:strCache>
                <c:ptCount val="1"/>
                <c:pt idx="0">
                  <c:v>Площадь уборки</c:v>
                </c:pt>
              </c:strCache>
            </c:strRef>
          </c:tx>
          <c:spPr>
            <a:pattFill prst="openDmnd">
              <a:fgClr>
                <a:srgbClr val="7c7c7c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numFmt formatCode="00&quot; га&quot;" sourceLinked="1"/>
            <c:txPr>
              <a:bodyPr wrap="square"/>
              <a:lstStyle/>
              <a:p>
                <a:pPr>
                  <a:defRPr b="0" sz="1400" strike="noStrike" u="none">
                    <a:solidFill>
                      <a:srgbClr val="40404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'Рапс озимый'!$C$5:$I$5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'Рапс озимый'!$C$13:$I$13</c:f>
              <c:numCache>
                <c:formatCode>0" га"</c:formatCode>
                <c:ptCount val="7"/>
                <c:pt idx="6">
                  <c:v>251</c:v>
                </c:pt>
              </c:numCache>
            </c:numRef>
          </c:val>
        </c:ser>
        <c:gapWidth val="150"/>
        <c:overlap val="0"/>
        <c:axId val="23889608"/>
        <c:axId val="22377563"/>
      </c:barChart>
      <c:lineChart>
        <c:grouping val="standard"/>
        <c:varyColors val="0"/>
        <c:ser>
          <c:idx val="2"/>
          <c:order val="2"/>
          <c:tx>
            <c:strRef>
              <c:f>'Рапс озимый'!$B$14</c:f>
              <c:strCache>
                <c:ptCount val="1"/>
                <c:pt idx="0">
                  <c:v>Урожайность, ц/га</c:v>
                </c:pt>
              </c:strCache>
            </c:strRef>
          </c:tx>
          <c:spPr>
            <a:solidFill>
              <a:srgbClr val="c00000"/>
            </a:solidFill>
            <a:ln cap="rnd" w="28440">
              <a:solidFill>
                <a:srgbClr val="c0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Pt>
            <c:idx val="2"/>
            <c:marker>
              <c:symbol val="circle"/>
              <c:size val="6"/>
              <c:spPr>
                <a:solidFill>
                  <a:srgbClr val="c00000"/>
                </a:solidFill>
              </c:spPr>
            </c:marker>
          </c:dPt>
          <c:dPt>
            <c:idx val="4"/>
            <c:marker>
              <c:symbol val="circle"/>
              <c:size val="6"/>
              <c:spPr>
                <a:solidFill>
                  <a:srgbClr val="c00000"/>
                </a:solidFill>
              </c:spPr>
            </c:marker>
          </c:dPt>
          <c:dLbls>
            <c:numFmt formatCode="00.0&quot; ц/га&quot;" sourceLinked="1"/>
            <c:dLbl>
              <c:idx val="2"/>
              <c:numFmt formatCode="00.0&quot; ц/га&quot;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c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c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400" strike="noStrike" u="none">
                    <a:solidFill>
                      <a:srgbClr val="c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'Рапс озимый'!$C$5:$I$5</c:f>
              <c:strCache>
                <c:ptCount val="7"/>
                <c:pt idx="0">
                  <c:v>2020 г.</c:v>
                </c:pt>
                <c:pt idx="1">
                  <c:v>2021 г.</c:v>
                </c:pt>
                <c:pt idx="2">
                  <c:v>2022 г.</c:v>
                </c:pt>
                <c:pt idx="3">
                  <c:v>2023 г.</c:v>
                </c:pt>
                <c:pt idx="4">
                  <c:v>2024 г.</c:v>
                </c:pt>
                <c:pt idx="5">
                  <c:v>2025 г.</c:v>
                </c:pt>
                <c:pt idx="6">
                  <c:v>2026 г.</c:v>
                </c:pt>
              </c:strCache>
            </c:strRef>
          </c:cat>
          <c:val>
            <c:numRef>
              <c:f>'Рапс озимый'!$C$14:$I$14</c:f>
              <c:numCache>
                <c:formatCode>00.0" ц/га"</c:formatCode>
                <c:ptCount val="7"/>
                <c:pt idx="6">
                  <c:v>38.5932270916335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213391"/>
        <c:axId val="11679118"/>
      </c:lineChart>
      <c:catAx>
        <c:axId val="2388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400" strike="noStrike" u="none">
                <a:solidFill>
                  <a:srgbClr val="767171"/>
                </a:solidFill>
                <a:uFillTx/>
                <a:latin typeface="Arial"/>
              </a:defRPr>
            </a:pPr>
          </a:p>
        </c:txPr>
        <c:crossAx val="22377563"/>
        <c:crosses val="autoZero"/>
        <c:auto val="1"/>
        <c:lblAlgn val="ctr"/>
        <c:lblOffset val="100"/>
        <c:noMultiLvlLbl val="0"/>
      </c:catAx>
      <c:valAx>
        <c:axId val="22377563"/>
        <c:scaling>
          <c:orientation val="minMax"/>
          <c:max val="900"/>
        </c:scaling>
        <c:delete val="0"/>
        <c:axPos val="l"/>
        <c:numFmt formatCode="##\ ###&quot; т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23889608"/>
        <c:crosses val="autoZero"/>
        <c:crossBetween val="between"/>
      </c:valAx>
      <c:catAx>
        <c:axId val="1221339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679118"/>
        <c:auto val="1"/>
        <c:lblAlgn val="ctr"/>
        <c:lblOffset val="100"/>
        <c:noMultiLvlLbl val="0"/>
      </c:catAx>
      <c:valAx>
        <c:axId val="11679118"/>
        <c:scaling>
          <c:orientation val="minMax"/>
        </c:scaling>
        <c:delete val="0"/>
        <c:axPos val="r"/>
        <c:numFmt formatCode="00&quot; ц/га&quot;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1221339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9f9f9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eg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image" Target="../media/image2.jpeg"/><Relationship Id="rId7" Type="http://schemas.openxmlformats.org/officeDocument/2006/relationships/image" Target="../media/image3.jpeg"/><Relationship Id="rId8" Type="http://schemas.openxmlformats.org/officeDocument/2006/relationships/image" Target="../media/image4.png"/><Relationship Id="rId9" Type="http://schemas.openxmlformats.org/officeDocument/2006/relationships/chart" Target="../charts/chart5.xml"/><Relationship Id="rId10" Type="http://schemas.openxmlformats.org/officeDocument/2006/relationships/chart" Target="../charts/chart6.xml"/><Relationship Id="rId11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6.png"/><Relationship Id="rId3" Type="http://schemas.openxmlformats.org/officeDocument/2006/relationships/image" Target="../media/image7.sv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6.png"/><Relationship Id="rId3" Type="http://schemas.openxmlformats.org/officeDocument/2006/relationships/image" Target="../media/image7.sv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6.png"/><Relationship Id="rId3" Type="http://schemas.openxmlformats.org/officeDocument/2006/relationships/image" Target="../media/image7.sv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6.png"/><Relationship Id="rId3" Type="http://schemas.openxmlformats.org/officeDocument/2006/relationships/image" Target="../media/image7.sv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8.png"/><Relationship Id="rId3" Type="http://schemas.openxmlformats.org/officeDocument/2006/relationships/image" Target="../media/image9.sv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6.png"/><Relationship Id="rId3" Type="http://schemas.openxmlformats.org/officeDocument/2006/relationships/image" Target="../media/image7.sv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hyperlink" Target="#&#1048;&#1053;&#1060;&#1054;!A1"/><Relationship Id="rId2" Type="http://schemas.openxmlformats.org/officeDocument/2006/relationships/image" Target="../media/image10.png"/><Relationship Id="rId3" Type="http://schemas.openxmlformats.org/officeDocument/2006/relationships/image" Target="../media/image11.sv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186840</xdr:colOff>
      <xdr:row>52</xdr:row>
      <xdr:rowOff>179640</xdr:rowOff>
    </xdr:from>
    <xdr:to>
      <xdr:col>12</xdr:col>
      <xdr:colOff>38520</xdr:colOff>
      <xdr:row>71</xdr:row>
      <xdr:rowOff>176760</xdr:rowOff>
    </xdr:to>
    <xdr:grpSp>
      <xdr:nvGrpSpPr>
        <xdr:cNvPr id="0" name="Группа 1"/>
        <xdr:cNvGrpSpPr/>
      </xdr:nvGrpSpPr>
      <xdr:grpSpPr>
        <a:xfrm>
          <a:off x="186840" y="11073600"/>
          <a:ext cx="7555680" cy="3797640"/>
          <a:chOff x="186840" y="11073600"/>
          <a:chExt cx="7555680" cy="3797640"/>
        </a:xfrm>
      </xdr:grpSpPr>
      <xdr:sp>
        <xdr:nvSpPr>
          <xdr:cNvPr id="1" name="Прямоугольник 29"/>
          <xdr:cNvSpPr/>
        </xdr:nvSpPr>
        <xdr:spPr>
          <a:xfrm>
            <a:off x="186840" y="11073600"/>
            <a:ext cx="7555680" cy="379764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>
                <a:lumMod val="75000"/>
              </a:srgbClr>
            </a:solidFill>
            <a:miter/>
          </a:ln>
          <a:effectLst>
            <a:outerShdw algn="tl" blurRad="50760" dir="2700000" dist="37674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 algn="r"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2" name="Прямоугольник 60"/>
          <xdr:cNvSpPr/>
        </xdr:nvSpPr>
        <xdr:spPr>
          <a:xfrm>
            <a:off x="3300480" y="11234160"/>
            <a:ext cx="4415760" cy="46224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ru-RU" sz="2400" strike="noStrike" u="none">
                <a:solidFill>
                  <a:schemeClr val="lt2">
                    <a:lumMod val="50000"/>
                  </a:schemeClr>
                </a:solidFill>
                <a:effectLst/>
                <a:uFillTx/>
                <a:latin typeface="Arial"/>
              </a:rPr>
              <a:t>ГОРОХ НА ЗЕРНО</a:t>
            </a:r>
            <a:endParaRPr b="0" lang="ru-RU" sz="2400" strike="noStrike" u="none">
              <a:effectLst/>
              <a:uFillTx/>
              <a:latin typeface="Times New Roman"/>
            </a:endParaRPr>
          </a:p>
        </xdr:txBody>
      </xdr:sp>
      <xdr:grpSp>
        <xdr:nvGrpSpPr>
          <xdr:cNvPr id="3" name="Группа 142"/>
          <xdr:cNvGrpSpPr/>
        </xdr:nvGrpSpPr>
        <xdr:grpSpPr>
          <a:xfrm>
            <a:off x="3962520" y="11852280"/>
            <a:ext cx="3694320" cy="2909880"/>
            <a:chOff x="3962520" y="11852280"/>
            <a:chExt cx="3694320" cy="2909880"/>
          </a:xfrm>
        </xdr:grpSpPr>
        <xdr:sp textlink="'Горох на зерно'!C21">
          <xdr:nvSpPr>
            <xdr:cNvPr id="4" name="Прямоугольник 143"/>
            <xdr:cNvSpPr/>
          </xdr:nvSpPr>
          <xdr:spPr>
            <a:xfrm>
              <a:off x="5805360" y="12281040"/>
              <a:ext cx="1717560" cy="52236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2000" strike="noStrike" u="none">
                  <a:solidFill>
                    <a:srgbClr val="000000"/>
                  </a:solidFill>
                  <a:effectLst/>
                  <a:uFillTx/>
                  <a:latin typeface="Arial"/>
                </a:rPr>
                <a:t>150 т</a:t>
              </a:r>
              <a:endParaRPr b="0" lang="ru-RU" sz="2000" strike="noStrike" u="none">
                <a:effectLst/>
                <a:uFillTx/>
                <a:latin typeface="Times New Roman"/>
              </a:endParaRPr>
            </a:p>
          </xdr:txBody>
        </xdr:sp>
        <xdr:grpSp>
          <xdr:nvGrpSpPr>
            <xdr:cNvPr id="5" name="Группа 144"/>
            <xdr:cNvGrpSpPr/>
          </xdr:nvGrpSpPr>
          <xdr:grpSpPr>
            <a:xfrm>
              <a:off x="3962520" y="11852280"/>
              <a:ext cx="3694320" cy="2909880"/>
              <a:chOff x="3962520" y="11852280"/>
              <a:chExt cx="3694320" cy="2909880"/>
            </a:xfrm>
          </xdr:grpSpPr>
          <xdr:sp>
            <xdr:nvSpPr>
              <xdr:cNvPr id="6" name="Прямоугольник 145"/>
              <xdr:cNvSpPr/>
            </xdr:nvSpPr>
            <xdr:spPr>
              <a:xfrm>
                <a:off x="4007160" y="11870640"/>
                <a:ext cx="126144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lt1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План: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7" name="Прямоугольник 146"/>
              <xdr:cNvSpPr/>
            </xdr:nvSpPr>
            <xdr:spPr>
              <a:xfrm>
                <a:off x="3989520" y="12295440"/>
                <a:ext cx="126144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lt1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Факт: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Горох на зерно'!C20">
            <xdr:nvSpPr>
              <xdr:cNvPr id="8" name="Прямоугольник 147"/>
              <xdr:cNvSpPr/>
            </xdr:nvSpPr>
            <xdr:spPr>
              <a:xfrm>
                <a:off x="5816520" y="11852280"/>
                <a:ext cx="171756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2000" strike="noStrike" u="none">
                    <a:solidFill>
                      <a:srgbClr val="757171"/>
                    </a:solidFill>
                    <a:effectLst/>
                    <a:uFillTx/>
                    <a:latin typeface="Arial"/>
                  </a:rPr>
                  <a:t> т</a:t>
                </a:r>
                <a:endParaRPr b="0" lang="ru-RU" sz="20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Горох на зерно'!C24">
            <xdr:nvSpPr>
              <xdr:cNvPr id="9" name="Прямоугольник 148"/>
              <xdr:cNvSpPr/>
            </xdr:nvSpPr>
            <xdr:spPr>
              <a:xfrm>
                <a:off x="6257160" y="12742920"/>
                <a:ext cx="1227960" cy="557280"/>
              </a:xfrm>
              <a:prstGeom prst="rect">
                <a:avLst/>
              </a:prstGeom>
              <a:solidFill>
                <a:srgbClr val="ffffff"/>
              </a:solidFill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1" lang="en-US" sz="2000" strike="noStrike" u="none">
                    <a:solidFill>
                      <a:srgbClr val="ee0000"/>
                    </a:solidFill>
                    <a:effectLst/>
                    <a:uFillTx/>
                    <a:latin typeface="Arial"/>
                  </a:rPr>
                  <a:t>0,0%</a:t>
                </a:r>
                <a:endParaRPr b="0" lang="ru-RU" sz="20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0" name="Прямоугольник 149"/>
              <xdr:cNvSpPr/>
            </xdr:nvSpPr>
            <xdr:spPr>
              <a:xfrm>
                <a:off x="3989520" y="12767040"/>
                <a:ext cx="177336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lt1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Выполнение: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1" name="Прямоугольник 150"/>
              <xdr:cNvSpPr/>
            </xdr:nvSpPr>
            <xdr:spPr>
              <a:xfrm>
                <a:off x="3989520" y="13753440"/>
                <a:ext cx="197352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accent4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Начало уборки: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2" name="Прямоугольник 151"/>
              <xdr:cNvSpPr/>
            </xdr:nvSpPr>
            <xdr:spPr>
              <a:xfrm>
                <a:off x="3962520" y="14239800"/>
                <a:ext cx="241416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accent4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Окончание уборки: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13" name="Прямая соединительная линия 152"/>
              <xdr:cNvCxnSpPr/>
            </xdr:nvCxnSpPr>
            <xdr:spPr>
              <a:xfrm>
                <a:off x="5629320" y="13500360"/>
                <a:ext cx="1892880" cy="360"/>
              </a:xfrm>
              <a:prstGeom prst="straightConnector1">
                <a:avLst/>
              </a:prstGeom>
              <a:ln w="12700">
                <a:solidFill>
                  <a:srgbClr val="a5a5a5"/>
                </a:solidFill>
                <a:miter/>
              </a:ln>
            </xdr:spPr>
          </xdr:cxnSp>
          <xdr:sp textlink="'Горох на зерно'!I6">
            <xdr:nvSpPr>
              <xdr:cNvPr id="14" name="Прямоугольник 153"/>
              <xdr:cNvSpPr/>
            </xdr:nvSpPr>
            <xdr:spPr>
              <a:xfrm>
                <a:off x="6284160" y="13750920"/>
                <a:ext cx="137268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500" strike="noStrike" u="none">
                    <a:solidFill>
                      <a:srgbClr val="996600"/>
                    </a:solidFill>
                    <a:effectLst/>
                    <a:uFillTx/>
                    <a:latin typeface="Arial"/>
                  </a:rPr>
                  <a:t>25.06.2026</a:t>
                </a:r>
                <a:endParaRPr b="0" lang="ru-RU" sz="15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Горох на зерно'!I7">
            <xdr:nvSpPr>
              <xdr:cNvPr id="15" name="Прямоугольник 154"/>
              <xdr:cNvSpPr/>
            </xdr:nvSpPr>
            <xdr:spPr>
              <a:xfrm>
                <a:off x="6297480" y="14211000"/>
                <a:ext cx="134568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500" strike="noStrike" u="none">
                    <a:solidFill>
                      <a:srgbClr val="996600"/>
                    </a:solidFill>
                    <a:effectLst/>
                    <a:uFillTx/>
                    <a:latin typeface="Arial"/>
                  </a:rPr>
                  <a:t> </a:t>
                </a:r>
                <a:endParaRPr b="0" lang="ru-RU" sz="1500" strike="noStrike" u="none">
                  <a:effectLst/>
                  <a:uFillTx/>
                  <a:latin typeface="Times New Roman"/>
                </a:endParaRPr>
              </a:p>
            </xdr:txBody>
          </xdr:sp>
        </xdr:grpSp>
      </xdr:grpSp>
    </xdr:grpSp>
    <xdr:clientData/>
  </xdr:twoCellAnchor>
  <xdr:twoCellAnchor editAs="oneCell">
    <xdr:from>
      <xdr:col>13</xdr:col>
      <xdr:colOff>50760</xdr:colOff>
      <xdr:row>3</xdr:row>
      <xdr:rowOff>144000</xdr:rowOff>
    </xdr:from>
    <xdr:to>
      <xdr:col>38</xdr:col>
      <xdr:colOff>641520</xdr:colOff>
      <xdr:row>23</xdr:row>
      <xdr:rowOff>110160</xdr:rowOff>
    </xdr:to>
    <xdr:graphicFrame>
      <xdr:nvGraphicFramePr>
        <xdr:cNvPr id="16" name="Диаграмма 2"/>
        <xdr:cNvGraphicFramePr/>
      </xdr:nvGraphicFramePr>
      <xdr:xfrm>
        <a:off x="8396640" y="1322640"/>
        <a:ext cx="16640280" cy="396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27360</xdr:colOff>
      <xdr:row>80</xdr:row>
      <xdr:rowOff>92520</xdr:rowOff>
    </xdr:from>
    <xdr:to>
      <xdr:col>38</xdr:col>
      <xdr:colOff>540360</xdr:colOff>
      <xdr:row>101</xdr:row>
      <xdr:rowOff>188280</xdr:rowOff>
    </xdr:to>
    <xdr:graphicFrame>
      <xdr:nvGraphicFramePr>
        <xdr:cNvPr id="17" name="Диаграмма 35"/>
        <xdr:cNvGraphicFramePr/>
      </xdr:nvGraphicFramePr>
      <xdr:xfrm>
        <a:off x="8373240" y="16472880"/>
        <a:ext cx="16562520" cy="426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141840</xdr:colOff>
      <xdr:row>4</xdr:row>
      <xdr:rowOff>30600</xdr:rowOff>
    </xdr:from>
    <xdr:to>
      <xdr:col>11</xdr:col>
      <xdr:colOff>605880</xdr:colOff>
      <xdr:row>23</xdr:row>
      <xdr:rowOff>23400</xdr:rowOff>
    </xdr:to>
    <xdr:grpSp>
      <xdr:nvGrpSpPr>
        <xdr:cNvPr id="18" name="Группа 46"/>
        <xdr:cNvGrpSpPr/>
      </xdr:nvGrpSpPr>
      <xdr:grpSpPr>
        <a:xfrm>
          <a:off x="141840" y="1409040"/>
          <a:ext cx="7525800" cy="3793320"/>
          <a:chOff x="141840" y="1409040"/>
          <a:chExt cx="7525800" cy="3793320"/>
        </a:xfrm>
      </xdr:grpSpPr>
      <xdr:sp>
        <xdr:nvSpPr>
          <xdr:cNvPr id="19" name="Прямоугольник 14"/>
          <xdr:cNvSpPr/>
        </xdr:nvSpPr>
        <xdr:spPr>
          <a:xfrm>
            <a:off x="141840" y="1409040"/>
            <a:ext cx="7525800" cy="3793320"/>
          </a:xfrm>
          <a:prstGeom prst="rect">
            <a:avLst/>
          </a:prstGeom>
          <a:solidFill>
            <a:srgbClr val="ffffff"/>
          </a:solidFill>
          <a:ln w="12700">
            <a:solidFill>
              <a:srgbClr val="a5a5a5"/>
            </a:solidFill>
            <a:miter/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algn="r">
              <a:lnSpc>
                <a:spcPct val="100000"/>
              </a:lnSpc>
            </a:pPr>
            <a:endParaRPr b="0" lang="ru-RU" sz="1200" strike="noStrike" u="none">
              <a:effectLst/>
              <a:uFillTx/>
              <a:latin typeface="Times New Roman"/>
            </a:endParaRPr>
          </a:p>
          <a:p>
            <a:pPr algn="r">
              <a:lnSpc>
                <a:spcPct val="100000"/>
              </a:lnSpc>
            </a:pPr>
            <a:endParaRPr b="0" lang="ru-RU" sz="1200" strike="noStrike" u="none">
              <a:effectLst/>
              <a:uFillTx/>
              <a:latin typeface="Times New Roman"/>
            </a:endParaRPr>
          </a:p>
          <a:p>
            <a:pPr algn="r">
              <a:lnSpc>
                <a:spcPct val="100000"/>
              </a:lnSpc>
            </a:pP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pic>
        <xdr:nvPicPr>
          <xdr:cNvPr id="20" name="Рисунок 6" descr=""/>
          <xdr:cNvPicPr/>
        </xdr:nvPicPr>
        <xdr:blipFill>
          <a:blip r:embed="rId3"/>
          <a:stretch/>
        </xdr:blipFill>
        <xdr:spPr>
          <a:xfrm>
            <a:off x="198360" y="1828800"/>
            <a:ext cx="3895920" cy="2309040"/>
          </a:xfrm>
          <a:prstGeom prst="rect">
            <a:avLst/>
          </a:prstGeom>
          <a:solidFill>
            <a:srgbClr val="ffffff"/>
          </a:solidFill>
          <a:ln w="0">
            <a:solidFill>
              <a:srgbClr val="ffffff"/>
            </a:solidFill>
          </a:ln>
        </xdr:spPr>
      </xdr:pic>
    </xdr:grpSp>
    <xdr:clientData/>
  </xdr:twoCellAnchor>
  <xdr:twoCellAnchor editAs="oneCell">
    <xdr:from>
      <xdr:col>12</xdr:col>
      <xdr:colOff>598680</xdr:colOff>
      <xdr:row>127</xdr:row>
      <xdr:rowOff>185040</xdr:rowOff>
    </xdr:from>
    <xdr:to>
      <xdr:col>38</xdr:col>
      <xdr:colOff>448560</xdr:colOff>
      <xdr:row>149</xdr:row>
      <xdr:rowOff>102960</xdr:rowOff>
    </xdr:to>
    <xdr:graphicFrame>
      <xdr:nvGraphicFramePr>
        <xdr:cNvPr id="21" name="Диаграмма 18"/>
        <xdr:cNvGraphicFramePr/>
      </xdr:nvGraphicFramePr>
      <xdr:xfrm>
        <a:off x="8302680" y="20937600"/>
        <a:ext cx="16541280" cy="400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285840</xdr:colOff>
      <xdr:row>99</xdr:row>
      <xdr:rowOff>81000</xdr:rowOff>
    </xdr:from>
    <xdr:to>
      <xdr:col>14</xdr:col>
      <xdr:colOff>470160</xdr:colOff>
      <xdr:row>100</xdr:row>
      <xdr:rowOff>145440</xdr:rowOff>
    </xdr:to>
    <xdr:sp>
      <xdr:nvSpPr>
        <xdr:cNvPr id="22" name="TextBox 24"/>
        <xdr:cNvSpPr/>
      </xdr:nvSpPr>
      <xdr:spPr>
        <a:xfrm>
          <a:off x="9273600" y="2023344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40680</xdr:colOff>
      <xdr:row>52</xdr:row>
      <xdr:rowOff>167760</xdr:rowOff>
    </xdr:from>
    <xdr:to>
      <xdr:col>38</xdr:col>
      <xdr:colOff>548280</xdr:colOff>
      <xdr:row>74</xdr:row>
      <xdr:rowOff>66960</xdr:rowOff>
    </xdr:to>
    <xdr:graphicFrame>
      <xdr:nvGraphicFramePr>
        <xdr:cNvPr id="23" name="Диаграмма 28"/>
        <xdr:cNvGraphicFramePr/>
      </xdr:nvGraphicFramePr>
      <xdr:xfrm>
        <a:off x="8386560" y="11061720"/>
        <a:ext cx="16557120" cy="42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0</xdr:col>
      <xdr:colOff>139320</xdr:colOff>
      <xdr:row>128</xdr:row>
      <xdr:rowOff>33480</xdr:rowOff>
    </xdr:from>
    <xdr:to>
      <xdr:col>11</xdr:col>
      <xdr:colOff>603360</xdr:colOff>
      <xdr:row>147</xdr:row>
      <xdr:rowOff>32760</xdr:rowOff>
    </xdr:to>
    <xdr:grpSp>
      <xdr:nvGrpSpPr>
        <xdr:cNvPr id="24" name="Группа 53"/>
        <xdr:cNvGrpSpPr/>
      </xdr:nvGrpSpPr>
      <xdr:grpSpPr>
        <a:xfrm>
          <a:off x="139320" y="20985840"/>
          <a:ext cx="7525800" cy="3542760"/>
          <a:chOff x="139320" y="20985840"/>
          <a:chExt cx="7525800" cy="3542760"/>
        </a:xfrm>
      </xdr:grpSpPr>
      <xdr:sp>
        <xdr:nvSpPr>
          <xdr:cNvPr id="25" name="Прямоугольник 22"/>
          <xdr:cNvSpPr/>
        </xdr:nvSpPr>
        <xdr:spPr>
          <a:xfrm>
            <a:off x="139320" y="20985840"/>
            <a:ext cx="7525800" cy="354276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>
                <a:lumMod val="75000"/>
              </a:srgbClr>
            </a:solidFill>
            <a:miter/>
          </a:ln>
          <a:effectLst>
            <a:outerShdw algn="tl" blurRad="50760" dir="2700000" dist="37674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 algn="r"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</xdr:txBody>
      </xdr:sp>
      <xdr:pic>
        <xdr:nvPicPr>
          <xdr:cNvPr id="26" name="Рисунок 40" descr=""/>
          <xdr:cNvPicPr/>
        </xdr:nvPicPr>
        <xdr:blipFill>
          <a:blip r:embed="rId6"/>
          <a:stretch/>
        </xdr:blipFill>
        <xdr:spPr>
          <a:xfrm>
            <a:off x="268920" y="21569400"/>
            <a:ext cx="4055400" cy="198972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twoCell">
    <xdr:from>
      <xdr:col>4</xdr:col>
      <xdr:colOff>558000</xdr:colOff>
      <xdr:row>4</xdr:row>
      <xdr:rowOff>171360</xdr:rowOff>
    </xdr:from>
    <xdr:to>
      <xdr:col>11</xdr:col>
      <xdr:colOff>489600</xdr:colOff>
      <xdr:row>7</xdr:row>
      <xdr:rowOff>48600</xdr:rowOff>
    </xdr:to>
    <xdr:sp>
      <xdr:nvSpPr>
        <xdr:cNvPr id="27" name="Прямоугольник 54"/>
        <xdr:cNvSpPr/>
      </xdr:nvSpPr>
      <xdr:spPr>
        <a:xfrm>
          <a:off x="3125880" y="1549800"/>
          <a:ext cx="4425480" cy="47736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</a:pPr>
          <a:r>
            <a:rPr b="0" lang="ru-RU" sz="2400" strike="noStrike" u="none">
              <a:solidFill>
                <a:schemeClr val="lt2">
                  <a:lumMod val="50000"/>
                </a:schemeClr>
              </a:solidFill>
              <a:effectLst/>
              <a:uFillTx/>
              <a:latin typeface="Arial"/>
            </a:rPr>
            <a:t>ОЗИМАЯ ПШЕНИЦА</a:t>
          </a:r>
          <a:endParaRPr b="0" lang="ru-RU" sz="2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303840</xdr:colOff>
      <xdr:row>80</xdr:row>
      <xdr:rowOff>139320</xdr:rowOff>
    </xdr:from>
    <xdr:to>
      <xdr:col>12</xdr:col>
      <xdr:colOff>155520</xdr:colOff>
      <xdr:row>99</xdr:row>
      <xdr:rowOff>132120</xdr:rowOff>
    </xdr:to>
    <xdr:grpSp>
      <xdr:nvGrpSpPr>
        <xdr:cNvPr id="28" name="Группа 8"/>
        <xdr:cNvGrpSpPr/>
      </xdr:nvGrpSpPr>
      <xdr:grpSpPr>
        <a:xfrm>
          <a:off x="303840" y="16519680"/>
          <a:ext cx="7555680" cy="3764880"/>
          <a:chOff x="303840" y="16519680"/>
          <a:chExt cx="7555680" cy="3764880"/>
        </a:xfrm>
      </xdr:grpSpPr>
      <xdr:grpSp>
        <xdr:nvGrpSpPr>
          <xdr:cNvPr id="29" name="Группа 7"/>
          <xdr:cNvGrpSpPr/>
        </xdr:nvGrpSpPr>
        <xdr:grpSpPr>
          <a:xfrm>
            <a:off x="303840" y="16519680"/>
            <a:ext cx="7555680" cy="3764880"/>
            <a:chOff x="303840" y="16519680"/>
            <a:chExt cx="7555680" cy="3764880"/>
          </a:xfrm>
        </xdr:grpSpPr>
        <xdr:grpSp>
          <xdr:nvGrpSpPr>
            <xdr:cNvPr id="30" name="Группа 23"/>
            <xdr:cNvGrpSpPr/>
          </xdr:nvGrpSpPr>
          <xdr:grpSpPr>
            <a:xfrm>
              <a:off x="303840" y="16519680"/>
              <a:ext cx="7555680" cy="3764880"/>
              <a:chOff x="303840" y="16519680"/>
              <a:chExt cx="7555680" cy="3764880"/>
            </a:xfrm>
          </xdr:grpSpPr>
          <xdr:sp>
            <xdr:nvSpPr>
              <xdr:cNvPr id="31" name="Прямоугольник 15"/>
              <xdr:cNvSpPr/>
            </xdr:nvSpPr>
            <xdr:spPr>
              <a:xfrm>
                <a:off x="303840" y="16519680"/>
                <a:ext cx="7555680" cy="376488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>
                    <a:lumMod val="75000"/>
                  </a:srgbClr>
                </a:solidFill>
                <a:miter/>
              </a:ln>
              <a:effectLst>
                <a:outerShdw algn="tl" blurRad="50760" dir="2700000" dist="37674" rotWithShape="0">
                  <a:srgbClr val="000000">
                    <a:alpha val="40000"/>
                  </a:srgbClr>
                </a:outerShdw>
              </a:effectLst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/>
            </xdr:style>
          </xdr:sp>
          <xdr:pic>
            <xdr:nvPicPr>
              <xdr:cNvPr id="32" name="Рисунок 20" descr=""/>
              <xdr:cNvPicPr/>
            </xdr:nvPicPr>
            <xdr:blipFill>
              <a:blip r:embed="rId7"/>
              <a:stretch/>
            </xdr:blipFill>
            <xdr:spPr>
              <a:xfrm>
                <a:off x="600840" y="16961040"/>
                <a:ext cx="3552120" cy="2926080"/>
              </a:xfrm>
              <a:prstGeom prst="rect">
                <a:avLst/>
              </a:prstGeom>
              <a:solidFill>
                <a:srgbClr val="ffffff"/>
              </a:solidFill>
              <a:ln w="0">
                <a:noFill/>
              </a:ln>
            </xdr:spPr>
          </xdr:pic>
        </xdr:grpSp>
        <xdr:cxnSp>
          <xdr:nvCxnSpPr>
            <xdr:cNvPr id="33" name="Прямая соединительная линия 64"/>
            <xdr:cNvCxnSpPr/>
          </xdr:nvCxnSpPr>
          <xdr:spPr>
            <a:xfrm>
              <a:off x="4001760" y="17327880"/>
              <a:ext cx="3782160" cy="360"/>
            </a:xfrm>
            <a:prstGeom prst="straightConnector1">
              <a:avLst/>
            </a:prstGeom>
            <a:ln w="6350">
              <a:solidFill>
                <a:srgbClr val="a5a5a5"/>
              </a:solidFill>
              <a:miter/>
            </a:ln>
          </xdr:spPr>
        </xdr:cxnSp>
        <xdr:grpSp>
          <xdr:nvGrpSpPr>
            <xdr:cNvPr id="34" name="Группа 116"/>
            <xdr:cNvGrpSpPr/>
          </xdr:nvGrpSpPr>
          <xdr:grpSpPr>
            <a:xfrm>
              <a:off x="4210560" y="17356680"/>
              <a:ext cx="3600000" cy="2886840"/>
              <a:chOff x="4210560" y="17356680"/>
              <a:chExt cx="3600000" cy="2886840"/>
            </a:xfrm>
          </xdr:grpSpPr>
          <xdr:sp textlink="Подсолнечник!C21">
            <xdr:nvSpPr>
              <xdr:cNvPr id="35" name="Прямоугольник 117"/>
              <xdr:cNvSpPr/>
            </xdr:nvSpPr>
            <xdr:spPr>
              <a:xfrm>
                <a:off x="6053400" y="17781840"/>
                <a:ext cx="1717560" cy="51840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2000" strike="noStrike" u="none">
                    <a:solidFill>
                      <a:srgbClr val="000000"/>
                    </a:solidFill>
                    <a:effectLst/>
                    <a:uFillTx/>
                    <a:latin typeface="Arial"/>
                  </a:rPr>
                  <a:t> т</a:t>
                </a:r>
                <a:endParaRPr b="0" lang="ru-RU" sz="2000" strike="noStrike" u="none">
                  <a:effectLst/>
                  <a:uFillTx/>
                  <a:latin typeface="Times New Roman"/>
                </a:endParaRPr>
              </a:p>
            </xdr:txBody>
          </xdr:sp>
          <xdr:grpSp>
            <xdr:nvGrpSpPr>
              <xdr:cNvPr id="36" name="Группа 118"/>
              <xdr:cNvGrpSpPr/>
            </xdr:nvGrpSpPr>
            <xdr:grpSpPr>
              <a:xfrm>
                <a:off x="4210560" y="17356680"/>
                <a:ext cx="3600000" cy="2886840"/>
                <a:chOff x="4210560" y="17356680"/>
                <a:chExt cx="3600000" cy="2886840"/>
              </a:xfrm>
            </xdr:grpSpPr>
            <xdr:sp>
              <xdr:nvSpPr>
                <xdr:cNvPr id="37" name="Прямоугольник 119"/>
                <xdr:cNvSpPr/>
              </xdr:nvSpPr>
              <xdr:spPr>
                <a:xfrm>
                  <a:off x="4255200" y="17375040"/>
                  <a:ext cx="126144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>
                    <a:lnSpc>
                      <a:spcPct val="100000"/>
                    </a:lnSpc>
                  </a:pPr>
                  <a:r>
                    <a:rPr b="0" lang="ru-RU" sz="1800" strike="noStrike" u="none">
                      <a:solidFill>
                        <a:schemeClr val="lt1">
                          <a:lumMod val="50000"/>
                        </a:schemeClr>
                      </a:solidFill>
                      <a:effectLst/>
                      <a:uFillTx/>
                      <a:latin typeface="Arial"/>
                    </a:rPr>
                    <a:t>План:</a:t>
                  </a:r>
                  <a:endParaRPr b="0" lang="ru-RU" sz="18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sp>
              <xdr:nvSpPr>
                <xdr:cNvPr id="38" name="Прямоугольник 120"/>
                <xdr:cNvSpPr/>
              </xdr:nvSpPr>
              <xdr:spPr>
                <a:xfrm>
                  <a:off x="4237200" y="17796240"/>
                  <a:ext cx="126144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>
                    <a:lnSpc>
                      <a:spcPct val="100000"/>
                    </a:lnSpc>
                  </a:pPr>
                  <a:r>
                    <a:rPr b="0" lang="ru-RU" sz="1800" strike="noStrike" u="none">
                      <a:solidFill>
                        <a:schemeClr val="lt1">
                          <a:lumMod val="50000"/>
                        </a:schemeClr>
                      </a:solidFill>
                      <a:effectLst/>
                      <a:uFillTx/>
                      <a:latin typeface="Arial"/>
                    </a:rPr>
                    <a:t>Факт:</a:t>
                  </a:r>
                  <a:endParaRPr b="0" lang="ru-RU" sz="18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sp textlink="Подсолнечник!C20">
              <xdr:nvSpPr>
                <xdr:cNvPr id="39" name="Прямоугольник 121"/>
                <xdr:cNvSpPr/>
              </xdr:nvSpPr>
              <xdr:spPr>
                <a:xfrm>
                  <a:off x="6064560" y="17356680"/>
                  <a:ext cx="171756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 algn="r">
                    <a:lnSpc>
                      <a:spcPct val="100000"/>
                    </a:lnSpc>
                  </a:pPr>
                  <a:r>
                    <a:rPr b="0" lang="en-US" sz="2000" strike="noStrike" u="none">
                      <a:solidFill>
                        <a:srgbClr val="757171"/>
                      </a:solidFill>
                      <a:effectLst/>
                      <a:uFillTx/>
                      <a:latin typeface="Arial"/>
                    </a:rPr>
                    <a:t>2 639 т</a:t>
                  </a:r>
                  <a:endParaRPr b="0" lang="ru-RU" sz="20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sp textlink="Подсолнечник!C24">
              <xdr:nvSpPr>
                <xdr:cNvPr id="40" name="Прямоугольник 122"/>
                <xdr:cNvSpPr/>
              </xdr:nvSpPr>
              <xdr:spPr>
                <a:xfrm>
                  <a:off x="6505200" y="18240120"/>
                  <a:ext cx="1227960" cy="55296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 algn="r">
                    <a:lnSpc>
                      <a:spcPct val="100000"/>
                    </a:lnSpc>
                  </a:pPr>
                  <a:r>
                    <a:rPr b="1" lang="en-US" sz="2000" strike="noStrike" u="none">
                      <a:solidFill>
                        <a:srgbClr val="ee0000"/>
                      </a:solidFill>
                      <a:effectLst/>
                      <a:uFillTx/>
                      <a:latin typeface="Arial"/>
                    </a:rPr>
                    <a:t>0,0%</a:t>
                  </a:r>
                  <a:endParaRPr b="0" lang="ru-RU" sz="20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sp>
              <xdr:nvSpPr>
                <xdr:cNvPr id="41" name="Прямоугольник 123"/>
                <xdr:cNvSpPr/>
              </xdr:nvSpPr>
              <xdr:spPr>
                <a:xfrm>
                  <a:off x="4237200" y="18264240"/>
                  <a:ext cx="177336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>
                    <a:lnSpc>
                      <a:spcPct val="100000"/>
                    </a:lnSpc>
                  </a:pPr>
                  <a:r>
                    <a:rPr b="0" lang="ru-RU" sz="1800" strike="noStrike" u="none">
                      <a:solidFill>
                        <a:schemeClr val="lt1">
                          <a:lumMod val="50000"/>
                        </a:schemeClr>
                      </a:solidFill>
                      <a:effectLst/>
                      <a:uFillTx/>
                      <a:latin typeface="Arial"/>
                    </a:rPr>
                    <a:t>Выполнение:</a:t>
                  </a:r>
                  <a:endParaRPr b="0" lang="ru-RU" sz="18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sp>
              <xdr:nvSpPr>
                <xdr:cNvPr id="42" name="Прямоугольник 124"/>
                <xdr:cNvSpPr/>
              </xdr:nvSpPr>
              <xdr:spPr>
                <a:xfrm>
                  <a:off x="4237200" y="19243080"/>
                  <a:ext cx="197352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>
                    <a:lnSpc>
                      <a:spcPct val="100000"/>
                    </a:lnSpc>
                  </a:pPr>
                  <a:r>
                    <a:rPr b="0" lang="ru-RU" sz="1800" strike="noStrike" u="none">
                      <a:solidFill>
                        <a:schemeClr val="accent4">
                          <a:lumMod val="50000"/>
                        </a:schemeClr>
                      </a:solidFill>
                      <a:effectLst/>
                      <a:uFillTx/>
                      <a:latin typeface="Arial"/>
                    </a:rPr>
                    <a:t>Начало уборки:</a:t>
                  </a:r>
                  <a:endParaRPr b="0" lang="ru-RU" sz="18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sp>
              <xdr:nvSpPr>
                <xdr:cNvPr id="43" name="Прямоугольник 125"/>
                <xdr:cNvSpPr/>
              </xdr:nvSpPr>
              <xdr:spPr>
                <a:xfrm>
                  <a:off x="4210560" y="19725120"/>
                  <a:ext cx="241416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  <xdr:txBody>
                <a:bodyPr horzOverflow="clip" vertOverflow="clip" lIns="90000" rIns="90000" tIns="45000" bIns="45000" anchor="ctr">
                  <a:noAutofit/>
                </a:bodyPr>
                <a:p>
                  <a:pPr>
                    <a:lnSpc>
                      <a:spcPct val="100000"/>
                    </a:lnSpc>
                  </a:pPr>
                  <a:r>
                    <a:rPr b="0" lang="ru-RU" sz="1800" strike="noStrike" u="none">
                      <a:solidFill>
                        <a:schemeClr val="accent4">
                          <a:lumMod val="50000"/>
                        </a:schemeClr>
                      </a:solidFill>
                      <a:effectLst/>
                      <a:uFillTx/>
                      <a:latin typeface="Arial"/>
                    </a:rPr>
                    <a:t>Окончание уборки:</a:t>
                  </a:r>
                  <a:endParaRPr b="0" lang="ru-RU" sz="1800" strike="noStrike" u="none">
                    <a:effectLst/>
                    <a:uFillTx/>
                    <a:latin typeface="Times New Roman"/>
                  </a:endParaRPr>
                </a:p>
              </xdr:txBody>
            </xdr:sp>
            <xdr:cxnSp>
              <xdr:nvCxnSpPr>
                <xdr:cNvPr id="44" name="Прямая соединительная линия 126"/>
                <xdr:cNvCxnSpPr/>
              </xdr:nvCxnSpPr>
              <xdr:spPr>
                <a:xfrm>
                  <a:off x="5877360" y="18991800"/>
                  <a:ext cx="1892880" cy="360"/>
                </a:xfrm>
                <a:prstGeom prst="straightConnector1">
                  <a:avLst/>
                </a:prstGeom>
                <a:ln w="12700">
                  <a:solidFill>
                    <a:srgbClr val="a5a5a5"/>
                  </a:solidFill>
                  <a:miter/>
                </a:ln>
              </xdr:spPr>
            </xdr:cxnSp>
            <xdr:sp>
              <xdr:nvSpPr>
                <xdr:cNvPr id="45" name="Прямоугольник 128"/>
                <xdr:cNvSpPr/>
              </xdr:nvSpPr>
              <xdr:spPr>
                <a:xfrm>
                  <a:off x="6464880" y="19696680"/>
                  <a:ext cx="1345680" cy="518400"/>
                </a:xfrm>
                <a:prstGeom prst="rect">
                  <a:avLst/>
                </a:prstGeom>
                <a:solidFill>
                  <a:srgbClr val="ffffff"/>
                </a:solidFill>
                <a:ln w="12700">
                  <a:solidFill>
                    <a:srgbClr val="ffffff"/>
                  </a:solidFill>
                  <a:miter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/>
              </xdr:style>
            </xdr:sp>
          </xdr:grpSp>
        </xdr:grpSp>
      </xdr:grpSp>
      <xdr:sp>
        <xdr:nvSpPr>
          <xdr:cNvPr id="46" name="Прямоугольник 58"/>
          <xdr:cNvSpPr/>
        </xdr:nvSpPr>
        <xdr:spPr>
          <a:xfrm>
            <a:off x="2517120" y="16789320"/>
            <a:ext cx="5259240" cy="45756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ru-RU" sz="2400" strike="noStrike" u="none">
                <a:solidFill>
                  <a:schemeClr val="lt2">
                    <a:lumMod val="50000"/>
                  </a:schemeClr>
                </a:solidFill>
                <a:effectLst/>
                <a:uFillTx/>
                <a:latin typeface="Arial"/>
              </a:rPr>
              <a:t>ПОДСОЛНЕЧНИК ТОВАРНЫЙ</a:t>
            </a:r>
            <a:endParaRPr b="0" lang="ru-RU" sz="24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5</xdr:col>
      <xdr:colOff>44280</xdr:colOff>
      <xdr:row>128</xdr:row>
      <xdr:rowOff>169560</xdr:rowOff>
    </xdr:from>
    <xdr:to>
      <xdr:col>11</xdr:col>
      <xdr:colOff>588240</xdr:colOff>
      <xdr:row>131</xdr:row>
      <xdr:rowOff>46800</xdr:rowOff>
    </xdr:to>
    <xdr:sp>
      <xdr:nvSpPr>
        <xdr:cNvPr id="47" name="Прямоугольник 59"/>
        <xdr:cNvSpPr/>
      </xdr:nvSpPr>
      <xdr:spPr>
        <a:xfrm>
          <a:off x="3254040" y="21121920"/>
          <a:ext cx="4395960" cy="47736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</a:pPr>
          <a:r>
            <a:rPr b="0" lang="ru-RU" sz="2400" strike="noStrike" u="none">
              <a:solidFill>
                <a:schemeClr val="lt2">
                  <a:lumMod val="50000"/>
                </a:schemeClr>
              </a:solidFill>
              <a:effectLst/>
              <a:uFillTx/>
              <a:latin typeface="Arial"/>
            </a:rPr>
            <a:t>КУКУРУЗА НА ЗЕРНО</a:t>
          </a:r>
          <a:endParaRPr b="0" lang="ru-RU" sz="2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584280</xdr:colOff>
      <xdr:row>7</xdr:row>
      <xdr:rowOff>32400</xdr:rowOff>
    </xdr:from>
    <xdr:to>
      <xdr:col>11</xdr:col>
      <xdr:colOff>526680</xdr:colOff>
      <xdr:row>7</xdr:row>
      <xdr:rowOff>32400</xdr:rowOff>
    </xdr:to>
    <xdr:cxnSp>
      <xdr:nvCxnSpPr>
        <xdr:cNvPr id="48" name="Прямая соединительная линия 63"/>
        <xdr:cNvCxnSpPr/>
      </xdr:nvCxnSpPr>
      <xdr:spPr>
        <a:xfrm>
          <a:off x="3794040" y="2010960"/>
          <a:ext cx="3794760" cy="360"/>
        </a:xfrm>
        <a:prstGeom prst="straightConnector1">
          <a:avLst/>
        </a:prstGeom>
        <a:ln w="12700">
          <a:solidFill>
            <a:srgbClr val="a5a5a5"/>
          </a:solidFill>
          <a:miter/>
        </a:ln>
      </xdr:spPr>
    </xdr:cxnSp>
    <xdr:clientData/>
  </xdr:twoCellAnchor>
  <xdr:twoCellAnchor editAs="twoCell">
    <xdr:from>
      <xdr:col>6</xdr:col>
      <xdr:colOff>12240</xdr:colOff>
      <xdr:row>131</xdr:row>
      <xdr:rowOff>58680</xdr:rowOff>
    </xdr:from>
    <xdr:to>
      <xdr:col>11</xdr:col>
      <xdr:colOff>564120</xdr:colOff>
      <xdr:row>131</xdr:row>
      <xdr:rowOff>58680</xdr:rowOff>
    </xdr:to>
    <xdr:cxnSp>
      <xdr:nvCxnSpPr>
        <xdr:cNvPr id="49" name="Прямая соединительная линия 65"/>
        <xdr:cNvCxnSpPr/>
      </xdr:nvCxnSpPr>
      <xdr:spPr>
        <a:xfrm>
          <a:off x="3864240" y="21611160"/>
          <a:ext cx="3762000" cy="360"/>
        </a:xfrm>
        <a:prstGeom prst="straightConnector1">
          <a:avLst/>
        </a:prstGeom>
        <a:ln w="6350">
          <a:solidFill>
            <a:srgbClr val="a5a5a5"/>
          </a:solidFill>
          <a:miter/>
        </a:ln>
      </xdr:spPr>
    </xdr:cxnSp>
    <xdr:clientData/>
  </xdr:twoCellAnchor>
  <xdr:twoCellAnchor editAs="twoCell">
    <xdr:from>
      <xdr:col>6</xdr:col>
      <xdr:colOff>37800</xdr:colOff>
      <xdr:row>56</xdr:row>
      <xdr:rowOff>100800</xdr:rowOff>
    </xdr:from>
    <xdr:to>
      <xdr:col>11</xdr:col>
      <xdr:colOff>590040</xdr:colOff>
      <xdr:row>56</xdr:row>
      <xdr:rowOff>100800</xdr:rowOff>
    </xdr:to>
    <xdr:cxnSp>
      <xdr:nvCxnSpPr>
        <xdr:cNvPr id="50" name="Прямая соединительная линия 66"/>
        <xdr:cNvCxnSpPr/>
      </xdr:nvCxnSpPr>
      <xdr:spPr>
        <a:xfrm>
          <a:off x="3889800" y="11795040"/>
          <a:ext cx="3762360" cy="360"/>
        </a:xfrm>
        <a:prstGeom prst="straightConnector1">
          <a:avLst/>
        </a:prstGeom>
        <a:ln w="6350">
          <a:solidFill>
            <a:srgbClr val="a5a5a5"/>
          </a:solidFill>
          <a:miter/>
        </a:ln>
      </xdr:spPr>
    </xdr:cxnSp>
    <xdr:clientData/>
  </xdr:twoCellAnchor>
  <xdr:twoCellAnchor editAs="twoCell">
    <xdr:from>
      <xdr:col>6</xdr:col>
      <xdr:colOff>167040</xdr:colOff>
      <xdr:row>8</xdr:row>
      <xdr:rowOff>30600</xdr:rowOff>
    </xdr:from>
    <xdr:to>
      <xdr:col>11</xdr:col>
      <xdr:colOff>556200</xdr:colOff>
      <xdr:row>22</xdr:row>
      <xdr:rowOff>126000</xdr:rowOff>
    </xdr:to>
    <xdr:grpSp>
      <xdr:nvGrpSpPr>
        <xdr:cNvPr id="51" name="Группа 115"/>
        <xdr:cNvGrpSpPr/>
      </xdr:nvGrpSpPr>
      <xdr:grpSpPr>
        <a:xfrm>
          <a:off x="4019040" y="2209320"/>
          <a:ext cx="3598920" cy="2895840"/>
          <a:chOff x="4019040" y="2209320"/>
          <a:chExt cx="3598920" cy="2895840"/>
        </a:xfrm>
      </xdr:grpSpPr>
      <xdr:sp textlink="'Озимая пшеница'!C21">
        <xdr:nvSpPr>
          <xdr:cNvPr id="52" name="Прямоугольник 70"/>
          <xdr:cNvSpPr/>
        </xdr:nvSpPr>
        <xdr:spPr>
          <a:xfrm>
            <a:off x="5854320" y="2635920"/>
            <a:ext cx="1710360" cy="51984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2000" strike="noStrike" u="none">
                <a:solidFill>
                  <a:srgbClr val="000000"/>
                </a:solidFill>
                <a:effectLst/>
                <a:uFillTx/>
                <a:latin typeface="Arial"/>
              </a:rPr>
              <a:t>23 362 т</a:t>
            </a:r>
            <a:endParaRPr b="0" lang="ru-RU" sz="2000" strike="noStrike" u="none">
              <a:effectLst/>
              <a:uFillTx/>
              <a:latin typeface="Times New Roman"/>
            </a:endParaRPr>
          </a:p>
        </xdr:txBody>
      </xdr:sp>
      <xdr:grpSp>
        <xdr:nvGrpSpPr>
          <xdr:cNvPr id="53" name="Группа 81"/>
          <xdr:cNvGrpSpPr/>
        </xdr:nvGrpSpPr>
        <xdr:grpSpPr>
          <a:xfrm>
            <a:off x="4019040" y="2209320"/>
            <a:ext cx="3598920" cy="2895840"/>
            <a:chOff x="4019040" y="2209320"/>
            <a:chExt cx="3598920" cy="2895840"/>
          </a:xfrm>
        </xdr:grpSpPr>
        <xdr:sp>
          <xdr:nvSpPr>
            <xdr:cNvPr id="54" name="Прямоугольник 61"/>
            <xdr:cNvSpPr/>
          </xdr:nvSpPr>
          <xdr:spPr>
            <a:xfrm>
              <a:off x="4063680" y="2227680"/>
              <a:ext cx="125640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План: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55" name="Прямоугольник 67"/>
            <xdr:cNvSpPr/>
          </xdr:nvSpPr>
          <xdr:spPr>
            <a:xfrm>
              <a:off x="4045680" y="2650320"/>
              <a:ext cx="125640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Факт: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 textlink="'Озимая пшеница'!C20">
          <xdr:nvSpPr>
            <xdr:cNvPr id="56" name="Прямоугольник 68"/>
            <xdr:cNvSpPr/>
          </xdr:nvSpPr>
          <xdr:spPr>
            <a:xfrm>
              <a:off x="5865480" y="2209320"/>
              <a:ext cx="171036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20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24 307 т</a:t>
              </a:r>
              <a:endParaRPr b="0" lang="ru-RU" sz="2000" strike="noStrike" u="none">
                <a:effectLst/>
                <a:uFillTx/>
                <a:latin typeface="Times New Roman"/>
              </a:endParaRPr>
            </a:p>
          </xdr:txBody>
        </xdr:sp>
        <xdr:sp textlink="'Озимая пшеница'!C24">
          <xdr:nvSpPr>
            <xdr:cNvPr id="57" name="Прямоугольник 71"/>
            <xdr:cNvSpPr/>
          </xdr:nvSpPr>
          <xdr:spPr>
            <a:xfrm>
              <a:off x="6304320" y="3095640"/>
              <a:ext cx="1222920" cy="55440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1" lang="en-US" sz="2000" strike="noStrike" u="none">
                  <a:solidFill>
                    <a:srgbClr val="ee0000"/>
                  </a:solidFill>
                  <a:effectLst/>
                  <a:uFillTx/>
                  <a:latin typeface="Arial"/>
                </a:rPr>
                <a:t>96,1%</a:t>
              </a:r>
              <a:endParaRPr b="0" lang="ru-RU" sz="20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58" name="Прямоугольник 73"/>
            <xdr:cNvSpPr/>
          </xdr:nvSpPr>
          <xdr:spPr>
            <a:xfrm>
              <a:off x="4045680" y="3119760"/>
              <a:ext cx="176616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Выполнение: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59" name="Прямоугольник 74"/>
            <xdr:cNvSpPr/>
          </xdr:nvSpPr>
          <xdr:spPr>
            <a:xfrm>
              <a:off x="4045680" y="4101480"/>
              <a:ext cx="196560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accent4">
                      <a:lumMod val="50000"/>
                    </a:schemeClr>
                  </a:solidFill>
                  <a:effectLst/>
                  <a:uFillTx/>
                  <a:latin typeface="Arial"/>
                </a:rPr>
                <a:t>Начало уборки: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60" name="Прямоугольник 75"/>
            <xdr:cNvSpPr/>
          </xdr:nvSpPr>
          <xdr:spPr>
            <a:xfrm>
              <a:off x="4019040" y="4585320"/>
              <a:ext cx="240444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accent4">
                      <a:lumMod val="50000"/>
                    </a:schemeClr>
                  </a:solidFill>
                  <a:effectLst/>
                  <a:uFillTx/>
                  <a:latin typeface="Arial"/>
                </a:rPr>
                <a:t>Окончание уборки: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61" name="Прямая соединительная линия 77"/>
            <xdr:cNvCxnSpPr/>
          </xdr:nvCxnSpPr>
          <xdr:spPr>
            <a:xfrm>
              <a:off x="5679000" y="3849480"/>
              <a:ext cx="1884960" cy="360"/>
            </a:xfrm>
            <a:prstGeom prst="straightConnector1">
              <a:avLst/>
            </a:prstGeom>
            <a:ln w="12700">
              <a:solidFill>
                <a:srgbClr val="a5a5a5"/>
              </a:solidFill>
              <a:miter/>
            </a:ln>
          </xdr:spPr>
        </xdr:cxnSp>
        <xdr:sp textlink="'Озимая пшеница'!I6">
          <xdr:nvSpPr>
            <xdr:cNvPr id="62" name="Прямоугольник 79"/>
            <xdr:cNvSpPr/>
          </xdr:nvSpPr>
          <xdr:spPr>
            <a:xfrm>
              <a:off x="6251040" y="4059000"/>
              <a:ext cx="136692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500" strike="noStrike" u="none">
                  <a:solidFill>
                    <a:srgbClr val="996600"/>
                  </a:solidFill>
                  <a:effectLst/>
                  <a:uFillTx/>
                  <a:latin typeface="Arial"/>
                </a:rPr>
                <a:t>01.07.2026</a:t>
              </a:r>
              <a:endParaRPr b="0" lang="ru-RU" sz="15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63" name="Прямоугольник 80"/>
            <xdr:cNvSpPr/>
          </xdr:nvSpPr>
          <xdr:spPr>
            <a:xfrm>
              <a:off x="6264360" y="4556880"/>
              <a:ext cx="1340280" cy="51984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</xdr:sp>
      </xdr:grpSp>
    </xdr:grpSp>
    <xdr:clientData/>
  </xdr:twoCellAnchor>
  <xdr:twoCellAnchor editAs="twoCell">
    <xdr:from>
      <xdr:col>6</xdr:col>
      <xdr:colOff>190440</xdr:colOff>
      <xdr:row>131</xdr:row>
      <xdr:rowOff>122400</xdr:rowOff>
    </xdr:from>
    <xdr:to>
      <xdr:col>11</xdr:col>
      <xdr:colOff>579240</xdr:colOff>
      <xdr:row>146</xdr:row>
      <xdr:rowOff>40680</xdr:rowOff>
    </xdr:to>
    <xdr:grpSp>
      <xdr:nvGrpSpPr>
        <xdr:cNvPr id="64" name="Группа 129"/>
        <xdr:cNvGrpSpPr/>
      </xdr:nvGrpSpPr>
      <xdr:grpSpPr>
        <a:xfrm>
          <a:off x="4042440" y="21674880"/>
          <a:ext cx="3598560" cy="2690280"/>
          <a:chOff x="4042440" y="21674880"/>
          <a:chExt cx="3598560" cy="2690280"/>
        </a:xfrm>
      </xdr:grpSpPr>
      <xdr:sp textlink="'Кукуруза на зерно'!C21">
        <xdr:nvSpPr>
          <xdr:cNvPr id="65" name="Прямоугольник 130"/>
          <xdr:cNvSpPr/>
        </xdr:nvSpPr>
        <xdr:spPr>
          <a:xfrm>
            <a:off x="5830560" y="22101120"/>
            <a:ext cx="1710360" cy="48312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2000" strike="noStrike" u="none">
                <a:solidFill>
                  <a:srgbClr val="000000"/>
                </a:solidFill>
                <a:effectLst/>
                <a:uFillTx/>
                <a:latin typeface="Arial"/>
              </a:rPr>
              <a:t> т</a:t>
            </a:r>
            <a:endParaRPr b="0" lang="ru-RU" sz="2000" strike="noStrike" u="none">
              <a:effectLst/>
              <a:uFillTx/>
              <a:latin typeface="Times New Roman"/>
            </a:endParaRPr>
          </a:p>
        </xdr:txBody>
      </xdr:sp>
      <xdr:grpSp>
        <xdr:nvGrpSpPr>
          <xdr:cNvPr id="66" name="Группа 131"/>
          <xdr:cNvGrpSpPr/>
        </xdr:nvGrpSpPr>
        <xdr:grpSpPr>
          <a:xfrm>
            <a:off x="4042440" y="21674880"/>
            <a:ext cx="3598560" cy="2690280"/>
            <a:chOff x="4042440" y="21674880"/>
            <a:chExt cx="3598560" cy="2690280"/>
          </a:xfrm>
        </xdr:grpSpPr>
        <xdr:sp>
          <xdr:nvSpPr>
            <xdr:cNvPr id="67" name="Прямоугольник 132"/>
            <xdr:cNvSpPr/>
          </xdr:nvSpPr>
          <xdr:spPr>
            <a:xfrm>
              <a:off x="4086720" y="21692160"/>
              <a:ext cx="125640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План: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68" name="Прямоугольник 133"/>
            <xdr:cNvSpPr/>
          </xdr:nvSpPr>
          <xdr:spPr>
            <a:xfrm>
              <a:off x="4068720" y="22084560"/>
              <a:ext cx="125640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Факт: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 textlink="'Кукуруза на зерно'!C20">
          <xdr:nvSpPr>
            <xdr:cNvPr id="69" name="Прямоугольник 134"/>
            <xdr:cNvSpPr/>
          </xdr:nvSpPr>
          <xdr:spPr>
            <a:xfrm>
              <a:off x="5888520" y="21674880"/>
              <a:ext cx="171036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20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1 541 т</a:t>
              </a:r>
              <a:endParaRPr b="0" lang="ru-RU" sz="2000" strike="noStrike" u="none">
                <a:effectLst/>
                <a:uFillTx/>
                <a:latin typeface="Times New Roman"/>
              </a:endParaRPr>
            </a:p>
          </xdr:txBody>
        </xdr:sp>
        <xdr:sp textlink="'Кукуруза на зерно'!C24">
          <xdr:nvSpPr>
            <xdr:cNvPr id="70" name="Прямоугольник 135"/>
            <xdr:cNvSpPr/>
          </xdr:nvSpPr>
          <xdr:spPr>
            <a:xfrm>
              <a:off x="6327360" y="22498200"/>
              <a:ext cx="1222920" cy="51516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1" lang="en-US" sz="2000" strike="noStrike" u="none">
                  <a:solidFill>
                    <a:srgbClr val="c00000"/>
                  </a:solidFill>
                  <a:effectLst/>
                  <a:uFillTx/>
                  <a:latin typeface="Arial"/>
                </a:rPr>
                <a:t>0,0%</a:t>
              </a:r>
              <a:endParaRPr b="0" lang="ru-RU" sz="20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71" name="Прямоугольник 136"/>
            <xdr:cNvSpPr/>
          </xdr:nvSpPr>
          <xdr:spPr>
            <a:xfrm>
              <a:off x="4068720" y="22520520"/>
              <a:ext cx="176616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lt1">
                      <a:lumMod val="50000"/>
                    </a:schemeClr>
                  </a:solidFill>
                  <a:effectLst/>
                  <a:uFillTx/>
                  <a:latin typeface="Arial"/>
                </a:rPr>
                <a:t>Выполнение: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72" name="Прямоугольник 137"/>
            <xdr:cNvSpPr/>
          </xdr:nvSpPr>
          <xdr:spPr>
            <a:xfrm>
              <a:off x="4068720" y="23432760"/>
              <a:ext cx="196560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accent4">
                      <a:lumMod val="50000"/>
                    </a:schemeClr>
                  </a:solidFill>
                  <a:effectLst/>
                  <a:uFillTx/>
                  <a:latin typeface="Arial"/>
                </a:rPr>
                <a:t>Начало уборки: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73" name="Прямоугольник 138"/>
            <xdr:cNvSpPr/>
          </xdr:nvSpPr>
          <xdr:spPr>
            <a:xfrm>
              <a:off x="4042440" y="23882040"/>
              <a:ext cx="240444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800" strike="noStrike" u="none">
                  <a:solidFill>
                    <a:schemeClr val="accent4">
                      <a:lumMod val="50000"/>
                    </a:schemeClr>
                  </a:solidFill>
                  <a:effectLst/>
                  <a:uFillTx/>
                  <a:latin typeface="Arial"/>
                </a:rPr>
                <a:t>Окончание уборки: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74" name="Прямая соединительная линия 139"/>
            <xdr:cNvCxnSpPr/>
          </xdr:nvCxnSpPr>
          <xdr:spPr>
            <a:xfrm>
              <a:off x="5702040" y="23198400"/>
              <a:ext cx="1885320" cy="360"/>
            </a:xfrm>
            <a:prstGeom prst="straightConnector1">
              <a:avLst/>
            </a:prstGeom>
            <a:ln w="12700">
              <a:solidFill>
                <a:srgbClr val="a5a5a5"/>
              </a:solidFill>
              <a:miter/>
            </a:ln>
          </xdr:spPr>
        </xdr:cxnSp>
        <xdr:sp>
          <xdr:nvSpPr>
            <xdr:cNvPr id="75" name="Прямоугольник 140"/>
            <xdr:cNvSpPr/>
          </xdr:nvSpPr>
          <xdr:spPr>
            <a:xfrm>
              <a:off x="6274080" y="23392800"/>
              <a:ext cx="136692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</xdr:sp>
        <xdr:sp>
          <xdr:nvSpPr>
            <xdr:cNvPr id="76" name="Прямоугольник 141"/>
            <xdr:cNvSpPr/>
          </xdr:nvSpPr>
          <xdr:spPr>
            <a:xfrm>
              <a:off x="6287400" y="23855400"/>
              <a:ext cx="1340280" cy="48312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</xdr:sp>
      </xdr:grpSp>
    </xdr:grpSp>
    <xdr:clientData/>
  </xdr:twoCellAnchor>
  <xdr:twoCellAnchor editAs="twoCell">
    <xdr:from>
      <xdr:col>9</xdr:col>
      <xdr:colOff>484560</xdr:colOff>
      <xdr:row>19</xdr:row>
      <xdr:rowOff>189360</xdr:rowOff>
    </xdr:from>
    <xdr:to>
      <xdr:col>11</xdr:col>
      <xdr:colOff>571320</xdr:colOff>
      <xdr:row>22</xdr:row>
      <xdr:rowOff>121680</xdr:rowOff>
    </xdr:to>
    <xdr:sp textlink="'Озимая пшеница'!I7">
      <xdr:nvSpPr>
        <xdr:cNvPr id="77" name="Прямоугольник 3"/>
        <xdr:cNvSpPr/>
      </xdr:nvSpPr>
      <xdr:spPr>
        <a:xfrm>
          <a:off x="6262560" y="4568400"/>
          <a:ext cx="1370520" cy="53244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996600"/>
              </a:solidFill>
              <a:effectLst/>
              <a:uFillTx/>
              <a:latin typeface="Arial"/>
            </a:rPr>
            <a:t>19.07.2026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37080</xdr:colOff>
      <xdr:row>94</xdr:row>
      <xdr:rowOff>97920</xdr:rowOff>
    </xdr:from>
    <xdr:to>
      <xdr:col>12</xdr:col>
      <xdr:colOff>123480</xdr:colOff>
      <xdr:row>97</xdr:row>
      <xdr:rowOff>22320</xdr:rowOff>
    </xdr:to>
    <xdr:sp textlink="Подсолнечник!I6">
      <xdr:nvSpPr>
        <xdr:cNvPr id="78" name="Прямоугольник 4"/>
        <xdr:cNvSpPr/>
      </xdr:nvSpPr>
      <xdr:spPr>
        <a:xfrm>
          <a:off x="6456960" y="19250280"/>
          <a:ext cx="1370520" cy="52452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996600"/>
              </a:solidFill>
              <a:effectLst/>
              <a:uFillTx/>
              <a:latin typeface="Arial"/>
            </a:rPr>
            <a:t> 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472320</xdr:colOff>
      <xdr:row>141</xdr:row>
      <xdr:rowOff>2520</xdr:rowOff>
    </xdr:from>
    <xdr:to>
      <xdr:col>11</xdr:col>
      <xdr:colOff>552960</xdr:colOff>
      <xdr:row>143</xdr:row>
      <xdr:rowOff>115560</xdr:rowOff>
    </xdr:to>
    <xdr:sp textlink="'Кукуруза на зерно'!I6">
      <xdr:nvSpPr>
        <xdr:cNvPr id="79" name="Прямоугольник 5"/>
        <xdr:cNvSpPr/>
      </xdr:nvSpPr>
      <xdr:spPr>
        <a:xfrm>
          <a:off x="6250320" y="23469480"/>
          <a:ext cx="1364400" cy="45612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996600"/>
              </a:solidFill>
              <a:effectLst/>
              <a:uFillTx/>
              <a:latin typeface="Arial"/>
            </a:rPr>
            <a:t> 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37080</xdr:colOff>
      <xdr:row>96</xdr:row>
      <xdr:rowOff>158400</xdr:rowOff>
    </xdr:from>
    <xdr:to>
      <xdr:col>12</xdr:col>
      <xdr:colOff>123480</xdr:colOff>
      <xdr:row>99</xdr:row>
      <xdr:rowOff>82800</xdr:rowOff>
    </xdr:to>
    <xdr:sp textlink="Подсолнечник!I7">
      <xdr:nvSpPr>
        <xdr:cNvPr id="80" name="Прямоугольник 9"/>
        <xdr:cNvSpPr/>
      </xdr:nvSpPr>
      <xdr:spPr>
        <a:xfrm>
          <a:off x="6456960" y="19710720"/>
          <a:ext cx="1370520" cy="52452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996600"/>
              </a:solidFill>
              <a:effectLst/>
              <a:uFillTx/>
              <a:latin typeface="Arial"/>
            </a:rPr>
            <a:t> 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466560</xdr:colOff>
      <xdr:row>143</xdr:row>
      <xdr:rowOff>97920</xdr:rowOff>
    </xdr:from>
    <xdr:to>
      <xdr:col>11</xdr:col>
      <xdr:colOff>539640</xdr:colOff>
      <xdr:row>146</xdr:row>
      <xdr:rowOff>48960</xdr:rowOff>
    </xdr:to>
    <xdr:sp textlink="'Кукуруза на зерно'!I7">
      <xdr:nvSpPr>
        <xdr:cNvPr id="81" name="Прямоугольник 10"/>
        <xdr:cNvSpPr/>
      </xdr:nvSpPr>
      <xdr:spPr>
        <a:xfrm>
          <a:off x="6244560" y="23907960"/>
          <a:ext cx="1356840" cy="465480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996600"/>
              </a:solidFill>
              <a:effectLst/>
              <a:uFillTx/>
              <a:latin typeface="Arial"/>
            </a:rPr>
            <a:t> 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37800</xdr:colOff>
      <xdr:row>182</xdr:row>
      <xdr:rowOff>100800</xdr:rowOff>
    </xdr:from>
    <xdr:to>
      <xdr:col>11</xdr:col>
      <xdr:colOff>590040</xdr:colOff>
      <xdr:row>182</xdr:row>
      <xdr:rowOff>100800</xdr:rowOff>
    </xdr:to>
    <xdr:cxnSp>
      <xdr:nvCxnSpPr>
        <xdr:cNvPr id="82" name="Прямая соединительная линия 42"/>
        <xdr:cNvCxnSpPr/>
      </xdr:nvCxnSpPr>
      <xdr:spPr>
        <a:xfrm>
          <a:off x="3889800" y="25453800"/>
          <a:ext cx="3762360" cy="360"/>
        </a:xfrm>
        <a:prstGeom prst="straightConnector1">
          <a:avLst/>
        </a:prstGeom>
        <a:ln w="6350">
          <a:solidFill>
            <a:srgbClr val="a5a5a5"/>
          </a:solidFill>
          <a:miter/>
        </a:ln>
      </xdr:spPr>
    </xdr:cxnSp>
    <xdr:clientData/>
  </xdr:twoCellAnchor>
  <xdr:twoCellAnchor editAs="oneCell">
    <xdr:from>
      <xdr:col>0</xdr:col>
      <xdr:colOff>529920</xdr:colOff>
      <xdr:row>55</xdr:row>
      <xdr:rowOff>179640</xdr:rowOff>
    </xdr:from>
    <xdr:to>
      <xdr:col>6</xdr:col>
      <xdr:colOff>97560</xdr:colOff>
      <xdr:row>68</xdr:row>
      <xdr:rowOff>154440</xdr:rowOff>
    </xdr:to>
    <xdr:pic>
      <xdr:nvPicPr>
        <xdr:cNvPr id="83" name="Рисунок 43" descr=""/>
        <xdr:cNvPicPr/>
      </xdr:nvPicPr>
      <xdr:blipFill>
        <a:blip r:embed="rId8"/>
        <a:stretch/>
      </xdr:blipFill>
      <xdr:spPr>
        <a:xfrm>
          <a:off x="529920" y="11673720"/>
          <a:ext cx="3419640" cy="257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27360</xdr:colOff>
      <xdr:row>127</xdr:row>
      <xdr:rowOff>92520</xdr:rowOff>
    </xdr:from>
    <xdr:to>
      <xdr:col>38</xdr:col>
      <xdr:colOff>540360</xdr:colOff>
      <xdr:row>127</xdr:row>
      <xdr:rowOff>188280</xdr:rowOff>
    </xdr:to>
    <xdr:graphicFrame>
      <xdr:nvGraphicFramePr>
        <xdr:cNvPr id="84" name="Диаграмма 44"/>
        <xdr:cNvGraphicFramePr/>
      </xdr:nvGraphicFramePr>
      <xdr:xfrm>
        <a:off x="8373240" y="20845080"/>
        <a:ext cx="16562520" cy="9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14</xdr:col>
      <xdr:colOff>285840</xdr:colOff>
      <xdr:row>127</xdr:row>
      <xdr:rowOff>81000</xdr:rowOff>
    </xdr:from>
    <xdr:to>
      <xdr:col>14</xdr:col>
      <xdr:colOff>470160</xdr:colOff>
      <xdr:row>128</xdr:row>
      <xdr:rowOff>145440</xdr:rowOff>
    </xdr:to>
    <xdr:sp>
      <xdr:nvSpPr>
        <xdr:cNvPr id="85" name="TextBox 45"/>
        <xdr:cNvSpPr/>
      </xdr:nvSpPr>
      <xdr:spPr>
        <a:xfrm>
          <a:off x="9273600" y="2083356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32</xdr:col>
      <xdr:colOff>15120</xdr:colOff>
      <xdr:row>150</xdr:row>
      <xdr:rowOff>2160</xdr:rowOff>
    </xdr:from>
    <xdr:to>
      <xdr:col>34</xdr:col>
      <xdr:colOff>266400</xdr:colOff>
      <xdr:row>151</xdr:row>
      <xdr:rowOff>116280</xdr:rowOff>
    </xdr:to>
    <xdr:sp>
      <xdr:nvSpPr>
        <xdr:cNvPr id="86" name="Прямоугольник 32"/>
        <xdr:cNvSpPr/>
      </xdr:nvSpPr>
      <xdr:spPr>
        <a:xfrm>
          <a:off x="20558520" y="25012440"/>
          <a:ext cx="1535400" cy="2854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ru-RU" sz="1300" strike="noStrike" u="none">
              <a:solidFill>
                <a:schemeClr val="dk1"/>
              </a:solidFill>
              <a:effectLst/>
              <a:uFillTx/>
              <a:latin typeface="Calibri"/>
            </a:rPr>
            <a:t>богара + полив</a:t>
          </a:r>
          <a:endParaRPr b="0" lang="ru-RU" sz="13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186840</xdr:colOff>
      <xdr:row>25</xdr:row>
      <xdr:rowOff>179640</xdr:rowOff>
    </xdr:from>
    <xdr:to>
      <xdr:col>12</xdr:col>
      <xdr:colOff>38520</xdr:colOff>
      <xdr:row>44</xdr:row>
      <xdr:rowOff>176760</xdr:rowOff>
    </xdr:to>
    <xdr:grpSp>
      <xdr:nvGrpSpPr>
        <xdr:cNvPr id="87" name="Группа 50"/>
        <xdr:cNvGrpSpPr/>
      </xdr:nvGrpSpPr>
      <xdr:grpSpPr>
        <a:xfrm>
          <a:off x="186840" y="5758920"/>
          <a:ext cx="7555680" cy="3797280"/>
          <a:chOff x="186840" y="5758920"/>
          <a:chExt cx="7555680" cy="3797280"/>
        </a:xfrm>
      </xdr:grpSpPr>
      <xdr:sp>
        <xdr:nvSpPr>
          <xdr:cNvPr id="88" name="Прямоугольник 51"/>
          <xdr:cNvSpPr/>
        </xdr:nvSpPr>
        <xdr:spPr>
          <a:xfrm>
            <a:off x="186840" y="5758920"/>
            <a:ext cx="7555680" cy="379728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>
                <a:lumMod val="75000"/>
              </a:srgbClr>
            </a:solidFill>
            <a:miter/>
          </a:ln>
          <a:effectLst>
            <a:outerShdw algn="tl" blurRad="50760" dir="2700000" dist="37674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 algn="r"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ru-RU" sz="16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89" name="Прямоугольник 87"/>
          <xdr:cNvSpPr/>
        </xdr:nvSpPr>
        <xdr:spPr>
          <a:xfrm>
            <a:off x="3180240" y="5919480"/>
            <a:ext cx="4415760" cy="462240"/>
          </a:xfrm>
          <a:prstGeom prst="rect">
            <a:avLst/>
          </a:prstGeom>
          <a:solidFill>
            <a:srgbClr val="ffffff"/>
          </a:solidFill>
          <a:ln w="12700">
            <a:solidFill>
              <a:srgbClr val="ffffff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ru-RU" sz="2400" strike="noStrike" u="none">
                <a:solidFill>
                  <a:schemeClr val="lt2">
                    <a:lumMod val="50000"/>
                  </a:schemeClr>
                </a:solidFill>
                <a:effectLst/>
                <a:uFillTx/>
                <a:latin typeface="Arial"/>
              </a:rPr>
              <a:t>ОЗИМЫЙ РАПС</a:t>
            </a:r>
            <a:endParaRPr b="0" lang="ru-RU" sz="2400" strike="noStrike" u="none">
              <a:effectLst/>
              <a:uFillTx/>
              <a:latin typeface="Times New Roman"/>
            </a:endParaRPr>
          </a:p>
        </xdr:txBody>
      </xdr:sp>
      <xdr:grpSp>
        <xdr:nvGrpSpPr>
          <xdr:cNvPr id="90" name="Группа 90"/>
          <xdr:cNvGrpSpPr/>
        </xdr:nvGrpSpPr>
        <xdr:grpSpPr>
          <a:xfrm>
            <a:off x="3962520" y="6537240"/>
            <a:ext cx="3694320" cy="2909880"/>
            <a:chOff x="3962520" y="6537240"/>
            <a:chExt cx="3694320" cy="2909880"/>
          </a:xfrm>
        </xdr:grpSpPr>
        <xdr:sp textlink="'Озимый рапс'!C21">
          <xdr:nvSpPr>
            <xdr:cNvPr id="91" name="Прямоугольник 91"/>
            <xdr:cNvSpPr/>
          </xdr:nvSpPr>
          <xdr:spPr>
            <a:xfrm>
              <a:off x="5805360" y="6966360"/>
              <a:ext cx="1717560" cy="522360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ffffff"/>
              </a:solidFill>
              <a:miter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2000" strike="noStrike" u="none">
                  <a:solidFill>
                    <a:srgbClr val="000000"/>
                  </a:solidFill>
                  <a:effectLst/>
                  <a:uFillTx/>
                  <a:latin typeface="Arial"/>
                </a:rPr>
                <a:t>969 т</a:t>
              </a:r>
              <a:endParaRPr b="0" lang="ru-RU" sz="2000" strike="noStrike" u="none">
                <a:effectLst/>
                <a:uFillTx/>
                <a:latin typeface="Times New Roman"/>
              </a:endParaRPr>
            </a:p>
          </xdr:txBody>
        </xdr:sp>
        <xdr:grpSp>
          <xdr:nvGrpSpPr>
            <xdr:cNvPr id="92" name="Группа 92"/>
            <xdr:cNvGrpSpPr/>
          </xdr:nvGrpSpPr>
          <xdr:grpSpPr>
            <a:xfrm>
              <a:off x="3962520" y="6537240"/>
              <a:ext cx="3694320" cy="2909880"/>
              <a:chOff x="3962520" y="6537240"/>
              <a:chExt cx="3694320" cy="2909880"/>
            </a:xfrm>
          </xdr:grpSpPr>
          <xdr:sp>
            <xdr:nvSpPr>
              <xdr:cNvPr id="93" name="Прямоугольник 93"/>
              <xdr:cNvSpPr/>
            </xdr:nvSpPr>
            <xdr:spPr>
              <a:xfrm>
                <a:off x="4007160" y="6555960"/>
                <a:ext cx="126144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lt1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План: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94" name="Прямоугольник 94"/>
              <xdr:cNvSpPr/>
            </xdr:nvSpPr>
            <xdr:spPr>
              <a:xfrm>
                <a:off x="3989520" y="6980400"/>
                <a:ext cx="126144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lt1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Факт: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Озимый рапс'!C20">
            <xdr:nvSpPr>
              <xdr:cNvPr id="95" name="Прямоугольник 95"/>
              <xdr:cNvSpPr/>
            </xdr:nvSpPr>
            <xdr:spPr>
              <a:xfrm>
                <a:off x="5816520" y="6537240"/>
                <a:ext cx="171756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2000" strike="noStrike" u="none">
                    <a:solidFill>
                      <a:srgbClr val="757171"/>
                    </a:solidFill>
                    <a:effectLst/>
                    <a:uFillTx/>
                    <a:latin typeface="Arial"/>
                  </a:rPr>
                  <a:t>954 т</a:t>
                </a:r>
                <a:endParaRPr b="0" lang="ru-RU" sz="20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Озимый рапс'!C24">
            <xdr:nvSpPr>
              <xdr:cNvPr id="96" name="Прямоугольник 96"/>
              <xdr:cNvSpPr/>
            </xdr:nvSpPr>
            <xdr:spPr>
              <a:xfrm>
                <a:off x="6257160" y="7427880"/>
                <a:ext cx="1227960" cy="557280"/>
              </a:xfrm>
              <a:prstGeom prst="rect">
                <a:avLst/>
              </a:prstGeom>
              <a:solidFill>
                <a:srgbClr val="ffffff"/>
              </a:solidFill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1" lang="en-US" sz="2000" strike="noStrike" u="none">
                    <a:solidFill>
                      <a:srgbClr val="ff0000"/>
                    </a:solidFill>
                    <a:effectLst/>
                    <a:uFillTx/>
                    <a:latin typeface="Arial"/>
                  </a:rPr>
                  <a:t>101,6%</a:t>
                </a:r>
                <a:endParaRPr b="0" lang="ru-RU" sz="20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97" name="Прямоугольник 97"/>
              <xdr:cNvSpPr/>
            </xdr:nvSpPr>
            <xdr:spPr>
              <a:xfrm>
                <a:off x="3989520" y="7452360"/>
                <a:ext cx="177336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lt1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Выполнение: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98" name="Прямоугольник 98"/>
              <xdr:cNvSpPr/>
            </xdr:nvSpPr>
            <xdr:spPr>
              <a:xfrm>
                <a:off x="3989520" y="8438760"/>
                <a:ext cx="197352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accent4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Начало уборки: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99" name="Прямоугольник 99"/>
              <xdr:cNvSpPr/>
            </xdr:nvSpPr>
            <xdr:spPr>
              <a:xfrm>
                <a:off x="3962520" y="8924760"/>
                <a:ext cx="241416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800" strike="noStrike" u="none">
                    <a:solidFill>
                      <a:schemeClr val="accent4">
                        <a:lumMod val="50000"/>
                      </a:schemeClr>
                    </a:solidFill>
                    <a:effectLst/>
                    <a:uFillTx/>
                    <a:latin typeface="Arial"/>
                  </a:rPr>
                  <a:t>Окончание уборки: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100" name="Прямая соединительная линия 100"/>
              <xdr:cNvCxnSpPr/>
            </xdr:nvCxnSpPr>
            <xdr:spPr>
              <a:xfrm>
                <a:off x="5629320" y="8185320"/>
                <a:ext cx="1892880" cy="360"/>
              </a:xfrm>
              <a:prstGeom prst="straightConnector1">
                <a:avLst/>
              </a:prstGeom>
              <a:ln w="12700">
                <a:solidFill>
                  <a:srgbClr val="a5a5a5"/>
                </a:solidFill>
                <a:miter/>
              </a:ln>
            </xdr:spPr>
          </xdr:cxnSp>
          <xdr:sp textlink="'Озимый рапс'!I6">
            <xdr:nvSpPr>
              <xdr:cNvPr id="101" name="Прямоугольник 101"/>
              <xdr:cNvSpPr/>
            </xdr:nvSpPr>
            <xdr:spPr>
              <a:xfrm>
                <a:off x="6284160" y="8435880"/>
                <a:ext cx="137268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500" strike="noStrike" u="none">
                    <a:solidFill>
                      <a:srgbClr val="996600"/>
                    </a:solidFill>
                    <a:effectLst/>
                    <a:uFillTx/>
                    <a:latin typeface="Arial"/>
                  </a:rPr>
                  <a:t>10.07.2026</a:t>
                </a:r>
                <a:endParaRPr b="0" lang="ru-RU" sz="15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Озимый рапс'!I7">
            <xdr:nvSpPr>
              <xdr:cNvPr id="102" name="Прямоугольник 102"/>
              <xdr:cNvSpPr/>
            </xdr:nvSpPr>
            <xdr:spPr>
              <a:xfrm>
                <a:off x="6297480" y="8895960"/>
                <a:ext cx="1345680" cy="5223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ffffff"/>
                </a:solidFill>
                <a:miter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500" strike="noStrike" u="none">
                    <a:solidFill>
                      <a:srgbClr val="996600"/>
                    </a:solidFill>
                    <a:effectLst/>
                    <a:uFillTx/>
                    <a:latin typeface="Arial"/>
                  </a:rPr>
                  <a:t>19.07.2026</a:t>
                </a:r>
                <a:endParaRPr b="0" lang="ru-RU" sz="1500" strike="noStrike" u="none">
                  <a:effectLst/>
                  <a:uFillTx/>
                  <a:latin typeface="Times New Roman"/>
                </a:endParaRPr>
              </a:p>
            </xdr:txBody>
          </xdr:sp>
        </xdr:grpSp>
      </xdr:grpSp>
    </xdr:grpSp>
    <xdr:clientData/>
  </xdr:twoCellAnchor>
  <xdr:twoCellAnchor editAs="oneCell">
    <xdr:from>
      <xdr:col>13</xdr:col>
      <xdr:colOff>40680</xdr:colOff>
      <xdr:row>25</xdr:row>
      <xdr:rowOff>167760</xdr:rowOff>
    </xdr:from>
    <xdr:to>
      <xdr:col>38</xdr:col>
      <xdr:colOff>548280</xdr:colOff>
      <xdr:row>47</xdr:row>
      <xdr:rowOff>66960</xdr:rowOff>
    </xdr:to>
    <xdr:graphicFrame>
      <xdr:nvGraphicFramePr>
        <xdr:cNvPr id="103" name="Диаграмма 103"/>
        <xdr:cNvGraphicFramePr/>
      </xdr:nvGraphicFramePr>
      <xdr:xfrm>
        <a:off x="8386560" y="5747040"/>
        <a:ext cx="16557120" cy="429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twoCell">
    <xdr:from>
      <xdr:col>6</xdr:col>
      <xdr:colOff>37800</xdr:colOff>
      <xdr:row>29</xdr:row>
      <xdr:rowOff>100800</xdr:rowOff>
    </xdr:from>
    <xdr:to>
      <xdr:col>11</xdr:col>
      <xdr:colOff>590040</xdr:colOff>
      <xdr:row>29</xdr:row>
      <xdr:rowOff>100800</xdr:rowOff>
    </xdr:to>
    <xdr:cxnSp>
      <xdr:nvCxnSpPr>
        <xdr:cNvPr id="104" name="Прямая соединительная линия 104"/>
        <xdr:cNvCxnSpPr/>
      </xdr:nvCxnSpPr>
      <xdr:spPr>
        <a:xfrm>
          <a:off x="3889800" y="6480000"/>
          <a:ext cx="3762360" cy="360"/>
        </a:xfrm>
        <a:prstGeom prst="straightConnector1">
          <a:avLst/>
        </a:prstGeom>
        <a:ln w="6350">
          <a:solidFill>
            <a:srgbClr val="a5a5a5"/>
          </a:solidFill>
          <a:miter/>
        </a:ln>
      </xdr:spPr>
    </xdr:cxnSp>
    <xdr:clientData/>
  </xdr:twoCellAnchor>
  <xdr:twoCellAnchor editAs="oneCell">
    <xdr:from>
      <xdr:col>0</xdr:col>
      <xdr:colOff>320400</xdr:colOff>
      <xdr:row>29</xdr:row>
      <xdr:rowOff>17640</xdr:rowOff>
    </xdr:from>
    <xdr:to>
      <xdr:col>6</xdr:col>
      <xdr:colOff>25560</xdr:colOff>
      <xdr:row>39</xdr:row>
      <xdr:rowOff>154440</xdr:rowOff>
    </xdr:to>
    <xdr:pic>
      <xdr:nvPicPr>
        <xdr:cNvPr id="105" name="Рисунок 106" descr=""/>
        <xdr:cNvPicPr/>
      </xdr:nvPicPr>
      <xdr:blipFill>
        <a:blip r:embed="rId11"/>
        <a:stretch/>
      </xdr:blipFill>
      <xdr:spPr>
        <a:xfrm>
          <a:off x="320400" y="6396840"/>
          <a:ext cx="3557160" cy="213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38160</xdr:colOff>
      <xdr:row>0</xdr:row>
      <xdr:rowOff>9360</xdr:rowOff>
    </xdr:from>
    <xdr:to>
      <xdr:col>1</xdr:col>
      <xdr:colOff>952200</xdr:colOff>
      <xdr:row>4</xdr:row>
      <xdr:rowOff>360</xdr:rowOff>
    </xdr:to>
    <xdr:pic>
      <xdr:nvPicPr>
        <xdr:cNvPr id="106" name="Рисунок 1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218520" y="9360"/>
          <a:ext cx="914040" cy="905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38160</xdr:colOff>
      <xdr:row>0</xdr:row>
      <xdr:rowOff>9360</xdr:rowOff>
    </xdr:from>
    <xdr:to>
      <xdr:col>1</xdr:col>
      <xdr:colOff>952200</xdr:colOff>
      <xdr:row>4</xdr:row>
      <xdr:rowOff>360</xdr:rowOff>
    </xdr:to>
    <xdr:pic>
      <xdr:nvPicPr>
        <xdr:cNvPr id="107" name="Рисунок 1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218520" y="9360"/>
          <a:ext cx="914040" cy="905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85680</xdr:colOff>
      <xdr:row>0</xdr:row>
      <xdr:rowOff>0</xdr:rowOff>
    </xdr:from>
    <xdr:to>
      <xdr:col>1</xdr:col>
      <xdr:colOff>1005480</xdr:colOff>
      <xdr:row>3</xdr:row>
      <xdr:rowOff>148320</xdr:rowOff>
    </xdr:to>
    <xdr:pic>
      <xdr:nvPicPr>
        <xdr:cNvPr id="108" name="Рисунок 5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320760" y="0"/>
          <a:ext cx="919800" cy="89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162000</xdr:colOff>
      <xdr:row>0</xdr:row>
      <xdr:rowOff>19080</xdr:rowOff>
    </xdr:from>
    <xdr:to>
      <xdr:col>1</xdr:col>
      <xdr:colOff>1100880</xdr:colOff>
      <xdr:row>4</xdr:row>
      <xdr:rowOff>250200</xdr:rowOff>
    </xdr:to>
    <xdr:pic>
      <xdr:nvPicPr>
        <xdr:cNvPr id="109" name="Рисунок 1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326520" y="19080"/>
          <a:ext cx="938880" cy="108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0</xdr:row>
      <xdr:rowOff>9360</xdr:rowOff>
    </xdr:from>
    <xdr:to>
      <xdr:col>1</xdr:col>
      <xdr:colOff>970920</xdr:colOff>
      <xdr:row>4</xdr:row>
      <xdr:rowOff>360</xdr:rowOff>
    </xdr:to>
    <xdr:pic>
      <xdr:nvPicPr>
        <xdr:cNvPr id="110" name="Рисунок 5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235440" y="9360"/>
          <a:ext cx="923400" cy="905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162000</xdr:colOff>
      <xdr:row>0</xdr:row>
      <xdr:rowOff>19080</xdr:rowOff>
    </xdr:from>
    <xdr:to>
      <xdr:col>1</xdr:col>
      <xdr:colOff>1100880</xdr:colOff>
      <xdr:row>4</xdr:row>
      <xdr:rowOff>11520</xdr:rowOff>
    </xdr:to>
    <xdr:pic>
      <xdr:nvPicPr>
        <xdr:cNvPr id="111" name="Рисунок 1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326520" y="19080"/>
          <a:ext cx="938880" cy="90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162000</xdr:colOff>
      <xdr:row>0</xdr:row>
      <xdr:rowOff>19080</xdr:rowOff>
    </xdr:from>
    <xdr:to>
      <xdr:col>1</xdr:col>
      <xdr:colOff>1100880</xdr:colOff>
      <xdr:row>4</xdr:row>
      <xdr:rowOff>11520</xdr:rowOff>
    </xdr:to>
    <xdr:pic>
      <xdr:nvPicPr>
        <xdr:cNvPr id="112" name="Рисунок 5" descr="Презентация с линейчатой диаграммой">
          <a:hlinkClick r:id="rId1"/>
        </xdr:cNvPr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326520" y="19080"/>
          <a:ext cx="938880" cy="90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27</xdr:col>
      <xdr:colOff>289440</xdr:colOff>
      <xdr:row>56</xdr:row>
      <xdr:rowOff>7920</xdr:rowOff>
    </xdr:to>
    <xdr:pic>
      <xdr:nvPicPr>
        <xdr:cNvPr id="113" name="Рисунок 1" descr=""/>
        <xdr:cNvPicPr/>
      </xdr:nvPicPr>
      <xdr:blipFill>
        <a:blip r:embed="rId1"/>
        <a:stretch/>
      </xdr:blipFill>
      <xdr:spPr>
        <a:xfrm>
          <a:off x="0" y="723960"/>
          <a:ext cx="18544320" cy="941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12</xdr:col>
      <xdr:colOff>250200</xdr:colOff>
      <xdr:row>101</xdr:row>
      <xdr:rowOff>18000</xdr:rowOff>
    </xdr:to>
    <xdr:pic>
      <xdr:nvPicPr>
        <xdr:cNvPr id="114" name="Рисунок 2" descr=""/>
        <xdr:cNvPicPr/>
      </xdr:nvPicPr>
      <xdr:blipFill>
        <a:blip r:embed="rId2"/>
        <a:stretch/>
      </xdr:blipFill>
      <xdr:spPr>
        <a:xfrm>
          <a:off x="0" y="12668400"/>
          <a:ext cx="9332640" cy="562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455040</xdr:colOff>
      <xdr:row>102</xdr:row>
      <xdr:rowOff>42480</xdr:rowOff>
    </xdr:from>
    <xdr:to>
      <xdr:col>17</xdr:col>
      <xdr:colOff>426240</xdr:colOff>
      <xdr:row>137</xdr:row>
      <xdr:rowOff>22320</xdr:rowOff>
    </xdr:to>
    <xdr:pic>
      <xdr:nvPicPr>
        <xdr:cNvPr id="115" name="Рисунок 3" descr=""/>
        <xdr:cNvPicPr/>
      </xdr:nvPicPr>
      <xdr:blipFill>
        <a:blip r:embed="rId3"/>
        <a:stretch/>
      </xdr:blipFill>
      <xdr:spPr>
        <a:xfrm>
          <a:off x="5868360" y="18501840"/>
          <a:ext cx="6697800" cy="6314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Таблица1" displayName="Таблица1" ref="A59:C69" headerRowCount="1" totalsRowCount="0" totalsRowShown="0">
  <autoFilter ref="A59:C69"/>
  <tableColumns count="3">
    <tableColumn id="1" name="Хозяйство"/>
    <tableColumn id="2" name="Урожайность"/>
    <tableColumn id="3" name="Место"/>
  </tableColumns>
</table>
</file>

<file path=xl/tables/table2.xml><?xml version="1.0" encoding="utf-8"?>
<table xmlns="http://schemas.openxmlformats.org/spreadsheetml/2006/main" id="2" name="Таблица2" displayName="Таблица2" ref="A1:Q129" headerRowCount="1" totalsRowCount="0" totalsRowShown="0">
  <autoFilter ref="A1:Q129">
    <filterColumn colId="16">
      <filters>
        <dateGroupItem year="2025" month="06" day="28" dateTimeGrouping="day"/>
      </filters>
    </filterColumn>
  </autoFilter>
  <tableColumns count="17">
    <tableColumn id="1" name="№ п/п"/>
    <tableColumn id="2" name="Период"/>
    <tableColumn id="3" name="Столбец1"/>
    <tableColumn id="4" name="Столбец2"/>
    <tableColumn id="5" name="Номер документа"/>
    <tableColumn id="6" name="Водитель"/>
    <tableColumn id="7" name="№ машины"/>
    <tableColumn id="8" name="№ прицепа"/>
    <tableColumn id="9" name="Груз"/>
    <tableColumn id="10" name="Столбец3"/>
    <tableColumn id="11" name="Номера полей"/>
    <tableColumn id="12" name="Пункт назначения"/>
    <tableColumn id="13" name="Пункт отправления"/>
    <tableColumn id="14" name="Брутто"/>
    <tableColumn id="15" name="Тара"/>
    <tableColumn id="16" name="Нетто"/>
    <tableColumn id="17" name="Дата отчета"/>
  </tableColumns>
</table>
</file>

<file path=xl/tables/table3.xml><?xml version="1.0" encoding="utf-8"?>
<table xmlns="http://schemas.openxmlformats.org/spreadsheetml/2006/main" id="3" name="Таблица26" displayName="Таблица26" ref="A107:F118" headerRowCount="1" totalsRowCount="1" totalsRowShown="1">
  <autoFilter ref="A107:F118"/>
  <tableColumns count="6">
    <tableColumn id="1" name="Столбец1"/>
    <tableColumn id="2" name="Столбец2"/>
    <tableColumn id="3" name="Столбец3" totalsRowFunction="custom"/>
    <tableColumn id="4" name="Столбец4"/>
    <tableColumn id="5" name="Столбец5" totalsRowFunction="custom"/>
    <tableColumn id="6" name="место"/>
  </tableColumns>
</table>
</file>

<file path=xl/tables/table4.xml><?xml version="1.0" encoding="utf-8"?>
<table xmlns="http://schemas.openxmlformats.org/spreadsheetml/2006/main" id="4" name="Таблица3" displayName="Таблица3" ref="A1:H29" headerRowCount="1" totalsRowCount="1" totalsRowShown="1">
  <autoFilter ref="A1:H29">
    <filterColumn colId="0">
      <filters>
        <filter val="Подсолнечник кондитерский"/>
      </filters>
    </filterColumn>
  </autoFilter>
  <tableColumns count="8">
    <tableColumn id="1" name="Культура"/>
    <tableColumn id="2" name="Поле"/>
    <tableColumn id="3" name="Сорт семян"/>
    <tableColumn id="4" name="Площадь поля, га" totalsRowFunction="sum"/>
    <tableColumn id="5" name="Дата уборки"/>
    <tableColumn id="6" name="Площадь уборки, га" totalsRowFunction="sum"/>
    <tableColumn id="7" name="Валовый сбор, кг" totalsRowFunction="sum"/>
    <tableColumn id="8" name="Урожайность, ц/га" totalsRowFunction="custom"/>
  </tableColumns>
</table>
</file>

<file path=xl/tables/table5.xml><?xml version="1.0" encoding="utf-8"?>
<table xmlns="http://schemas.openxmlformats.org/spreadsheetml/2006/main" id="5" name="Таблица37" displayName="Таблица37" ref="A1:G6" headerRowCount="1" totalsRowCount="1" totalsRowShown="1">
  <autoFilter ref="A1:G6"/>
  <tableColumns count="7">
    <tableColumn id="1" name="Поле"/>
    <tableColumn id="2" name="Сорт семян"/>
    <tableColumn id="3" name="Площадь поля, га" totalsRowFunction="sum"/>
    <tableColumn id="4" name="Дата уборки"/>
    <tableColumn id="5" name="Площадь уборки, га" totalsRowFunction="sum"/>
    <tableColumn id="6" name="Валовый сбор, кг" totalsRowFunction="sum"/>
    <tableColumn id="7" name="Урожайность, ц/га" totalsRowFunction="custom"/>
  </tableColumns>
</table>
</file>

<file path=xl/tables/table6.xml><?xml version="1.0" encoding="utf-8"?>
<table xmlns="http://schemas.openxmlformats.org/spreadsheetml/2006/main" id="6" name="Таблица378" displayName="Таблица378" ref="A1:G3" headerRowCount="1" totalsRowCount="1" totalsRowShown="1">
  <autoFilter ref="A1:G3"/>
  <tableColumns count="7">
    <tableColumn id="1" name="Поле"/>
    <tableColumn id="2" name="Сорт семян"/>
    <tableColumn id="3" name="Площадь поля, га" totalsRowFunction="sum"/>
    <tableColumn id="4" name="Дата уборки"/>
    <tableColumn id="5" name="Площадь уборки, га" totalsRowFunction="sum"/>
    <tableColumn id="6" name="Валовый сбор, кг" totalsRowFunction="sum"/>
    <tableColumn id="7" name="Урожайность, ц/га" totalsRowFunction="custom"/>
  </tableColumns>
</table>
</file>

<file path=xl/tables/table7.xml><?xml version="1.0" encoding="utf-8"?>
<table xmlns="http://schemas.openxmlformats.org/spreadsheetml/2006/main" id="7" name="Таблица4" displayName="Таблица4" ref="A1:I28" headerRowCount="1" totalsRowCount="1" totalsRowShown="1">
  <autoFilter ref="A1:I28"/>
  <tableColumns count="9">
    <tableColumn id="1" name="Культура"/>
    <tableColumn id="2" name="Поле"/>
    <tableColumn id="3" name="Сорт семян"/>
    <tableColumn id="4" name="Площадь поля, га" totalsRowFunction="sum"/>
    <tableColumn id="5" name="Дата уборки"/>
    <tableColumn id="6" name="Площадь уборки, га" totalsRowFunction="sum"/>
    <tableColumn id="7" name="Валовый сбор, кг" totalsRowFunction="sum"/>
    <tableColumn id="8" name="Урожайность, ц/га" totalsRowFunction="custom"/>
    <tableColumn id="9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P186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2" topLeftCell="A3" activePane="bottomLeft" state="frozen"/>
      <selection pane="topLeft" activeCell="A1" activeCellId="0" sqref="A1"/>
      <selection pane="bottomLeft" activeCell="AX56" activeCellId="0" sqref="AX56"/>
    </sheetView>
  </sheetViews>
  <sheetFormatPr defaultColWidth="9.109375" defaultRowHeight="13.5" customHeight="true" zeroHeight="false" outlineLevelRow="1" outlineLevelCol="0"/>
  <cols>
    <col collapsed="false" customWidth="false" hidden="false" outlineLevel="0" max="39" min="1" style="1" width="9.11"/>
    <col collapsed="false" customWidth="true" hidden="false" outlineLevel="0" max="42" min="40" style="1" width="9.67"/>
    <col collapsed="false" customWidth="false" hidden="false" outlineLevel="0" max="16384" min="43" style="1" width="9.11"/>
  </cols>
  <sheetData>
    <row r="2" customFormat="false" ht="43.3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36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true" customHeight="true" outlineLevel="1" collapsed="false"/>
    <row r="104" customFormat="false" ht="15.75" hidden="true" customHeight="true" outlineLevel="1" collapsed="false"/>
    <row r="105" customFormat="false" ht="15.75" hidden="true" customHeight="true" outlineLevel="1" collapsed="false"/>
    <row r="106" customFormat="false" ht="15.75" hidden="true" customHeight="true" outlineLevel="1" collapsed="false"/>
    <row r="107" customFormat="false" ht="15.75" hidden="true" customHeight="true" outlineLevel="1" collapsed="false"/>
    <row r="108" customFormat="false" ht="15.75" hidden="true" customHeight="true" outlineLevel="1" collapsed="false"/>
    <row r="109" customFormat="false" ht="15.75" hidden="true" customHeight="true" outlineLevel="1" collapsed="false"/>
    <row r="110" customFormat="false" ht="15.75" hidden="true" customHeight="true" outlineLevel="1" collapsed="false"/>
    <row r="111" customFormat="false" ht="15.75" hidden="true" customHeight="true" outlineLevel="1" collapsed="false"/>
    <row r="112" customFormat="false" ht="15.75" hidden="true" customHeight="true" outlineLevel="1" collapsed="false"/>
    <row r="113" customFormat="false" ht="15.75" hidden="true" customHeight="true" outlineLevel="1" collapsed="false"/>
    <row r="114" customFormat="false" ht="15.75" hidden="true" customHeight="true" outlineLevel="1" collapsed="false"/>
    <row r="115" customFormat="false" ht="15.75" hidden="true" customHeight="true" outlineLevel="1" collapsed="false"/>
    <row r="116" customFormat="false" ht="15.75" hidden="true" customHeight="true" outlineLevel="1" collapsed="false"/>
    <row r="117" customFormat="false" ht="15.75" hidden="true" customHeight="true" outlineLevel="1" collapsed="false"/>
    <row r="118" customFormat="false" ht="15.75" hidden="true" customHeight="true" outlineLevel="1" collapsed="false"/>
    <row r="119" customFormat="false" ht="15.75" hidden="true" customHeight="true" outlineLevel="1" collapsed="false"/>
    <row r="120" customFormat="false" ht="15.75" hidden="true" customHeight="true" outlineLevel="1" collapsed="false"/>
    <row r="121" customFormat="false" ht="15.75" hidden="true" customHeight="true" outlineLevel="1" collapsed="false"/>
    <row r="122" customFormat="false" ht="15.75" hidden="true" customHeight="true" outlineLevel="1" collapsed="false"/>
    <row r="123" customFormat="false" ht="15.75" hidden="true" customHeight="true" outlineLevel="1" collapsed="false"/>
    <row r="124" customFormat="false" ht="15.75" hidden="true" customHeight="true" outlineLevel="1" collapsed="false"/>
    <row r="125" customFormat="false" ht="15.75" hidden="true" customHeight="true" outlineLevel="1" collapsed="false"/>
    <row r="126" customFormat="false" ht="15.75" hidden="true" customHeight="true" outlineLevel="1" collapsed="false"/>
    <row r="127" customFormat="false" ht="15.75" hidden="true" customHeight="true" outlineLevel="1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53" customFormat="false" ht="13.5" hidden="true" customHeight="false" outlineLevel="1" collapsed="false"/>
    <row r="154" customFormat="false" ht="13.5" hidden="true" customHeight="false" outlineLevel="1" collapsed="false"/>
    <row r="155" customFormat="false" ht="15.75" hidden="true" customHeight="true" outlineLevel="1" collapsed="false"/>
    <row r="156" customFormat="false" ht="15.75" hidden="true" customHeight="true" outlineLevel="1" collapsed="false"/>
    <row r="157" customFormat="false" ht="15.75" hidden="true" customHeight="true" outlineLevel="1" collapsed="false"/>
    <row r="158" customFormat="false" ht="15.75" hidden="true" customHeight="true" outlineLevel="1" collapsed="false"/>
    <row r="159" customFormat="false" ht="15.75" hidden="true" customHeight="true" outlineLevel="1" collapsed="false"/>
    <row r="160" customFormat="false" ht="15.75" hidden="true" customHeight="true" outlineLevel="1" collapsed="false"/>
    <row r="161" customFormat="false" ht="15.75" hidden="true" customHeight="true" outlineLevel="1" collapsed="false"/>
    <row r="162" customFormat="false" ht="15.75" hidden="true" customHeight="true" outlineLevel="1" collapsed="false"/>
    <row r="163" customFormat="false" ht="15.75" hidden="true" customHeight="true" outlineLevel="1" collapsed="false"/>
    <row r="164" customFormat="false" ht="15.75" hidden="true" customHeight="true" outlineLevel="1" collapsed="false"/>
    <row r="165" customFormat="false" ht="15.75" hidden="true" customHeight="true" outlineLevel="1" collapsed="false"/>
    <row r="166" customFormat="false" ht="15.75" hidden="true" customHeight="true" outlineLevel="1" collapsed="false"/>
    <row r="167" customFormat="false" ht="15.75" hidden="true" customHeight="true" outlineLevel="1" collapsed="false"/>
    <row r="168" customFormat="false" ht="15.75" hidden="true" customHeight="true" outlineLevel="1" collapsed="false"/>
    <row r="169" customFormat="false" ht="15.75" hidden="true" customHeight="true" outlineLevel="1" collapsed="false"/>
    <row r="170" customFormat="false" ht="15.75" hidden="true" customHeight="true" outlineLevel="1" collapsed="false"/>
    <row r="171" customFormat="false" ht="15.75" hidden="true" customHeight="true" outlineLevel="1" collapsed="false"/>
    <row r="172" customFormat="false" ht="15.75" hidden="true" customHeight="true" outlineLevel="1" collapsed="false"/>
    <row r="173" customFormat="false" ht="15.75" hidden="true" customHeight="true" outlineLevel="1" collapsed="false"/>
    <row r="174" customFormat="false" ht="15.75" hidden="true" customHeight="true" outlineLevel="1" collapsed="false"/>
    <row r="175" customFormat="false" ht="15.75" hidden="true" customHeight="true" outlineLevel="1" collapsed="false"/>
    <row r="176" customFormat="false" ht="15.75" hidden="true" customHeight="true" outlineLevel="1" collapsed="false"/>
    <row r="177" customFormat="false" ht="15.75" hidden="true" customHeight="true" outlineLevel="1" collapsed="false"/>
    <row r="178" customFormat="false" ht="13.5" hidden="true" customHeight="false" outlineLevel="1" collapsed="false"/>
    <row r="179" customFormat="false" ht="13.5" hidden="true" customHeight="false" outlineLevel="1" collapsed="false"/>
    <row r="180" customFormat="false" ht="13.5" hidden="true" customHeight="false" outlineLevel="1" collapsed="false"/>
    <row r="181" customFormat="false" ht="13.5" hidden="true" customHeight="false" outlineLevel="1" collapsed="false"/>
    <row r="182" customFormat="false" ht="13.5" hidden="true" customHeight="false" outlineLevel="1" collapsed="false"/>
    <row r="186" customFormat="false" ht="15.75" hidden="false" customHeight="true" outlineLevel="0" collapsed="false"/>
  </sheetData>
  <mergeCells count="1">
    <mergeCell ref="A2:A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E132" activeCellId="0" sqref="E13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9.67"/>
    <col collapsed="false" customWidth="true" hidden="true" outlineLevel="0" max="4" min="3" style="0" width="11.56"/>
    <col collapsed="false" customWidth="true" hidden="false" outlineLevel="0" max="5" min="5" style="0" width="18.88"/>
    <col collapsed="false" customWidth="true" hidden="false" outlineLevel="0" max="6" min="6" style="0" width="11.67"/>
    <col collapsed="false" customWidth="true" hidden="false" outlineLevel="0" max="7" min="7" style="0" width="12.88"/>
    <col collapsed="false" customWidth="true" hidden="false" outlineLevel="0" max="8" min="8" style="0" width="13.34"/>
    <col collapsed="false" customWidth="true" hidden="true" outlineLevel="0" max="10" min="10" style="0" width="11.56"/>
    <col collapsed="false" customWidth="true" hidden="false" outlineLevel="0" max="11" min="11" style="0" width="16"/>
    <col collapsed="false" customWidth="true" hidden="false" outlineLevel="0" max="12" min="12" style="0" width="19.56"/>
    <col collapsed="false" customWidth="true" hidden="false" outlineLevel="0" max="13" min="13" style="0" width="20.56"/>
    <col collapsed="false" customWidth="true" hidden="false" outlineLevel="0" max="14" min="14" style="0" width="9"/>
    <col collapsed="false" customWidth="true" hidden="false" outlineLevel="0" max="17" min="17" style="0" width="12.88"/>
  </cols>
  <sheetData>
    <row r="1" customFormat="false" ht="26.25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4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customFormat="false" ht="28.35" hidden="true" customHeight="false" outlineLevel="0" collapsed="false">
      <c r="A2" s="5" t="n">
        <v>1</v>
      </c>
      <c r="B2" s="6" t="s">
        <v>18</v>
      </c>
      <c r="C2" s="6"/>
      <c r="D2" s="6"/>
      <c r="E2" s="6" t="s">
        <v>19</v>
      </c>
      <c r="F2" s="6" t="s">
        <v>20</v>
      </c>
      <c r="G2" s="7" t="s">
        <v>21</v>
      </c>
      <c r="H2" s="6" t="s">
        <v>22</v>
      </c>
      <c r="I2" s="6" t="s">
        <v>23</v>
      </c>
      <c r="J2" s="6"/>
      <c r="K2" s="6"/>
      <c r="L2" s="8" t="s">
        <v>24</v>
      </c>
      <c r="M2" s="8" t="s">
        <v>24</v>
      </c>
      <c r="N2" s="9" t="n">
        <v>6280</v>
      </c>
      <c r="O2" s="9" t="n">
        <v>4580</v>
      </c>
      <c r="P2" s="10" t="n">
        <v>1700</v>
      </c>
      <c r="Q2" s="11" t="n">
        <v>45834</v>
      </c>
    </row>
    <row r="3" customFormat="false" ht="28.35" hidden="true" customHeight="false" outlineLevel="0" collapsed="false">
      <c r="A3" s="5" t="n">
        <v>2</v>
      </c>
      <c r="B3" s="6" t="s">
        <v>25</v>
      </c>
      <c r="C3" s="6"/>
      <c r="D3" s="6"/>
      <c r="E3" s="6" t="s">
        <v>26</v>
      </c>
      <c r="F3" s="6" t="s">
        <v>20</v>
      </c>
      <c r="G3" s="7" t="s">
        <v>21</v>
      </c>
      <c r="H3" s="6" t="s">
        <v>22</v>
      </c>
      <c r="I3" s="6" t="s">
        <v>23</v>
      </c>
      <c r="J3" s="6"/>
      <c r="K3" s="6"/>
      <c r="L3" s="8" t="s">
        <v>24</v>
      </c>
      <c r="M3" s="8" t="s">
        <v>24</v>
      </c>
      <c r="N3" s="9" t="n">
        <v>7240</v>
      </c>
      <c r="O3" s="9" t="n">
        <v>4580</v>
      </c>
      <c r="P3" s="10" t="n">
        <v>2660</v>
      </c>
      <c r="Q3" s="11" t="n">
        <v>45834</v>
      </c>
    </row>
    <row r="4" customFormat="false" ht="19.4" hidden="true" customHeight="false" outlineLevel="0" collapsed="false">
      <c r="A4" s="5" t="n">
        <v>3</v>
      </c>
      <c r="B4" s="6" t="s">
        <v>27</v>
      </c>
      <c r="C4" s="6"/>
      <c r="D4" s="6"/>
      <c r="E4" s="6" t="s">
        <v>28</v>
      </c>
      <c r="F4" s="6" t="s">
        <v>29</v>
      </c>
      <c r="G4" s="7" t="s">
        <v>30</v>
      </c>
      <c r="H4" s="6" t="s">
        <v>31</v>
      </c>
      <c r="I4" s="6" t="s">
        <v>23</v>
      </c>
      <c r="J4" s="6"/>
      <c r="K4" s="6"/>
      <c r="L4" s="8" t="s">
        <v>24</v>
      </c>
      <c r="M4" s="8" t="s">
        <v>24</v>
      </c>
      <c r="N4" s="9" t="n">
        <v>35000</v>
      </c>
      <c r="O4" s="9" t="n">
        <v>14160</v>
      </c>
      <c r="P4" s="10" t="n">
        <v>20840</v>
      </c>
      <c r="Q4" s="11" t="n">
        <v>45834</v>
      </c>
    </row>
    <row r="5" customFormat="false" ht="28.35" hidden="true" customHeight="false" outlineLevel="0" collapsed="false">
      <c r="A5" s="5" t="n">
        <v>4</v>
      </c>
      <c r="B5" s="6" t="s">
        <v>32</v>
      </c>
      <c r="C5" s="6"/>
      <c r="D5" s="6"/>
      <c r="E5" s="6" t="s">
        <v>33</v>
      </c>
      <c r="F5" s="6" t="s">
        <v>20</v>
      </c>
      <c r="G5" s="7" t="s">
        <v>21</v>
      </c>
      <c r="H5" s="6" t="s">
        <v>22</v>
      </c>
      <c r="I5" s="6" t="s">
        <v>23</v>
      </c>
      <c r="J5" s="6"/>
      <c r="K5" s="6"/>
      <c r="L5" s="8" t="s">
        <v>24</v>
      </c>
      <c r="M5" s="8" t="s">
        <v>24</v>
      </c>
      <c r="N5" s="9" t="n">
        <v>9540</v>
      </c>
      <c r="O5" s="9" t="n">
        <v>4600</v>
      </c>
      <c r="P5" s="10" t="n">
        <v>4940</v>
      </c>
      <c r="Q5" s="11" t="n">
        <v>45834</v>
      </c>
    </row>
    <row r="6" customFormat="false" ht="19.4" hidden="true" customHeight="false" outlineLevel="0" collapsed="false">
      <c r="A6" s="5" t="n">
        <v>5</v>
      </c>
      <c r="B6" s="6" t="s">
        <v>34</v>
      </c>
      <c r="C6" s="6"/>
      <c r="D6" s="6"/>
      <c r="E6" s="6" t="s">
        <v>35</v>
      </c>
      <c r="F6" s="6" t="s">
        <v>36</v>
      </c>
      <c r="G6" s="7" t="s">
        <v>37</v>
      </c>
      <c r="H6" s="6" t="s">
        <v>22</v>
      </c>
      <c r="I6" s="6" t="s">
        <v>23</v>
      </c>
      <c r="J6" s="6"/>
      <c r="K6" s="6"/>
      <c r="L6" s="8" t="s">
        <v>24</v>
      </c>
      <c r="M6" s="8" t="s">
        <v>24</v>
      </c>
      <c r="N6" s="9" t="n">
        <v>9920</v>
      </c>
      <c r="O6" s="9" t="n">
        <v>4620</v>
      </c>
      <c r="P6" s="10" t="n">
        <v>5300</v>
      </c>
      <c r="Q6" s="11" t="n">
        <v>45834</v>
      </c>
    </row>
    <row r="7" customFormat="false" ht="28.35" hidden="true" customHeight="false" outlineLevel="0" collapsed="false">
      <c r="A7" s="5" t="n">
        <v>6</v>
      </c>
      <c r="B7" s="6" t="s">
        <v>38</v>
      </c>
      <c r="C7" s="6"/>
      <c r="D7" s="6"/>
      <c r="E7" s="6" t="s">
        <v>39</v>
      </c>
      <c r="F7" s="6" t="s">
        <v>20</v>
      </c>
      <c r="G7" s="7" t="s">
        <v>21</v>
      </c>
      <c r="H7" s="6" t="s">
        <v>22</v>
      </c>
      <c r="I7" s="6" t="s">
        <v>23</v>
      </c>
      <c r="J7" s="6"/>
      <c r="K7" s="6"/>
      <c r="L7" s="8" t="s">
        <v>24</v>
      </c>
      <c r="M7" s="8" t="s">
        <v>24</v>
      </c>
      <c r="N7" s="9" t="n">
        <v>7740</v>
      </c>
      <c r="O7" s="9" t="n">
        <v>4600</v>
      </c>
      <c r="P7" s="10" t="n">
        <v>3140</v>
      </c>
      <c r="Q7" s="11" t="n">
        <v>45834</v>
      </c>
    </row>
    <row r="8" customFormat="false" ht="19.4" hidden="true" customHeight="false" outlineLevel="0" collapsed="false">
      <c r="A8" s="5" t="n">
        <v>7</v>
      </c>
      <c r="B8" s="6" t="s">
        <v>40</v>
      </c>
      <c r="C8" s="6"/>
      <c r="D8" s="6"/>
      <c r="E8" s="6" t="s">
        <v>41</v>
      </c>
      <c r="F8" s="6" t="s">
        <v>36</v>
      </c>
      <c r="G8" s="7" t="s">
        <v>37</v>
      </c>
      <c r="H8" s="6" t="s">
        <v>22</v>
      </c>
      <c r="I8" s="6" t="s">
        <v>23</v>
      </c>
      <c r="J8" s="6"/>
      <c r="K8" s="6"/>
      <c r="L8" s="8" t="s">
        <v>24</v>
      </c>
      <c r="M8" s="8" t="s">
        <v>24</v>
      </c>
      <c r="N8" s="9" t="n">
        <v>7160</v>
      </c>
      <c r="O8" s="9" t="n">
        <v>4620</v>
      </c>
      <c r="P8" s="10" t="n">
        <v>2540</v>
      </c>
      <c r="Q8" s="11" t="n">
        <v>45834</v>
      </c>
    </row>
    <row r="9" customFormat="false" ht="19.4" hidden="true" customHeight="false" outlineLevel="0" collapsed="false">
      <c r="A9" s="5" t="n">
        <v>8</v>
      </c>
      <c r="B9" s="6" t="s">
        <v>42</v>
      </c>
      <c r="C9" s="6"/>
      <c r="D9" s="6"/>
      <c r="E9" s="6" t="s">
        <v>43</v>
      </c>
      <c r="F9" s="6" t="s">
        <v>44</v>
      </c>
      <c r="G9" s="7" t="s">
        <v>45</v>
      </c>
      <c r="H9" s="6" t="s">
        <v>46</v>
      </c>
      <c r="I9" s="6" t="s">
        <v>23</v>
      </c>
      <c r="J9" s="6"/>
      <c r="K9" s="6"/>
      <c r="L9" s="8" t="s">
        <v>24</v>
      </c>
      <c r="M9" s="8" t="s">
        <v>24</v>
      </c>
      <c r="N9" s="9" t="n">
        <v>35100</v>
      </c>
      <c r="O9" s="9" t="n">
        <v>14340</v>
      </c>
      <c r="P9" s="10" t="n">
        <v>20760</v>
      </c>
      <c r="Q9" s="11" t="n">
        <v>45834</v>
      </c>
    </row>
    <row r="10" customFormat="false" ht="28.35" hidden="true" customHeight="false" outlineLevel="0" collapsed="false">
      <c r="A10" s="5" t="n">
        <v>9</v>
      </c>
      <c r="B10" s="6" t="s">
        <v>47</v>
      </c>
      <c r="C10" s="6"/>
      <c r="D10" s="6"/>
      <c r="E10" s="6" t="s">
        <v>48</v>
      </c>
      <c r="F10" s="6" t="s">
        <v>49</v>
      </c>
      <c r="G10" s="7" t="s">
        <v>50</v>
      </c>
      <c r="H10" s="6" t="s">
        <v>51</v>
      </c>
      <c r="I10" s="6" t="s">
        <v>23</v>
      </c>
      <c r="J10" s="6"/>
      <c r="K10" s="6"/>
      <c r="L10" s="8" t="s">
        <v>24</v>
      </c>
      <c r="M10" s="8" t="s">
        <v>24</v>
      </c>
      <c r="N10" s="9" t="n">
        <v>39360</v>
      </c>
      <c r="O10" s="9" t="n">
        <v>14400</v>
      </c>
      <c r="P10" s="10" t="n">
        <v>24960</v>
      </c>
      <c r="Q10" s="11" t="n">
        <v>45834</v>
      </c>
    </row>
    <row r="11" customFormat="false" ht="19.4" hidden="true" customHeight="false" outlineLevel="0" collapsed="false">
      <c r="A11" s="5" t="n">
        <v>10</v>
      </c>
      <c r="B11" s="6" t="s">
        <v>52</v>
      </c>
      <c r="C11" s="6"/>
      <c r="D11" s="6"/>
      <c r="E11" s="6" t="s">
        <v>53</v>
      </c>
      <c r="F11" s="6" t="s">
        <v>54</v>
      </c>
      <c r="G11" s="7" t="s">
        <v>55</v>
      </c>
      <c r="H11" s="6" t="s">
        <v>56</v>
      </c>
      <c r="I11" s="6" t="s">
        <v>23</v>
      </c>
      <c r="J11" s="6"/>
      <c r="K11" s="6"/>
      <c r="L11" s="8" t="s">
        <v>24</v>
      </c>
      <c r="M11" s="8" t="s">
        <v>24</v>
      </c>
      <c r="N11" s="9" t="n">
        <v>45400</v>
      </c>
      <c r="O11" s="9" t="n">
        <v>15140</v>
      </c>
      <c r="P11" s="10" t="n">
        <v>30260</v>
      </c>
      <c r="Q11" s="11" t="n">
        <v>45834</v>
      </c>
    </row>
    <row r="12" customFormat="false" ht="19.4" hidden="true" customHeight="false" outlineLevel="0" collapsed="false">
      <c r="A12" s="5" t="n">
        <v>11</v>
      </c>
      <c r="B12" s="6" t="s">
        <v>57</v>
      </c>
      <c r="C12" s="6"/>
      <c r="D12" s="6"/>
      <c r="E12" s="6" t="s">
        <v>58</v>
      </c>
      <c r="F12" s="6" t="s">
        <v>29</v>
      </c>
      <c r="G12" s="7" t="s">
        <v>30</v>
      </c>
      <c r="H12" s="6" t="s">
        <v>31</v>
      </c>
      <c r="I12" s="6" t="s">
        <v>23</v>
      </c>
      <c r="J12" s="6"/>
      <c r="K12" s="6"/>
      <c r="L12" s="8" t="s">
        <v>24</v>
      </c>
      <c r="M12" s="8" t="s">
        <v>24</v>
      </c>
      <c r="N12" s="9" t="n">
        <v>22640</v>
      </c>
      <c r="O12" s="9" t="n">
        <v>14160</v>
      </c>
      <c r="P12" s="10" t="n">
        <v>8480</v>
      </c>
      <c r="Q12" s="11" t="n">
        <v>45834</v>
      </c>
    </row>
    <row r="13" customFormat="false" ht="28.35" hidden="true" customHeight="false" outlineLevel="0" collapsed="false">
      <c r="A13" s="5" t="n">
        <v>12</v>
      </c>
      <c r="B13" s="6" t="s">
        <v>59</v>
      </c>
      <c r="C13" s="6"/>
      <c r="D13" s="6"/>
      <c r="E13" s="6" t="s">
        <v>60</v>
      </c>
      <c r="F13" s="6" t="s">
        <v>49</v>
      </c>
      <c r="G13" s="7" t="s">
        <v>50</v>
      </c>
      <c r="H13" s="6" t="s">
        <v>51</v>
      </c>
      <c r="I13" s="6" t="s">
        <v>23</v>
      </c>
      <c r="J13" s="6"/>
      <c r="K13" s="6"/>
      <c r="L13" s="8" t="s">
        <v>24</v>
      </c>
      <c r="M13" s="8" t="s">
        <v>24</v>
      </c>
      <c r="N13" s="9" t="n">
        <v>44920</v>
      </c>
      <c r="O13" s="9" t="n">
        <v>14380</v>
      </c>
      <c r="P13" s="10" t="n">
        <v>30540</v>
      </c>
      <c r="Q13" s="11" t="n">
        <v>45834</v>
      </c>
    </row>
    <row r="14" customFormat="false" ht="19.4" hidden="true" customHeight="false" outlineLevel="0" collapsed="false">
      <c r="A14" s="5" t="n">
        <v>13</v>
      </c>
      <c r="B14" s="6" t="s">
        <v>61</v>
      </c>
      <c r="C14" s="6"/>
      <c r="D14" s="6"/>
      <c r="E14" s="6" t="s">
        <v>62</v>
      </c>
      <c r="F14" s="6" t="s">
        <v>54</v>
      </c>
      <c r="G14" s="7" t="s">
        <v>55</v>
      </c>
      <c r="H14" s="6" t="s">
        <v>56</v>
      </c>
      <c r="I14" s="6" t="s">
        <v>23</v>
      </c>
      <c r="J14" s="6"/>
      <c r="K14" s="6"/>
      <c r="L14" s="8" t="s">
        <v>24</v>
      </c>
      <c r="M14" s="8" t="s">
        <v>24</v>
      </c>
      <c r="N14" s="9" t="n">
        <v>46000</v>
      </c>
      <c r="O14" s="9" t="n">
        <v>15080</v>
      </c>
      <c r="P14" s="10" t="n">
        <v>30920</v>
      </c>
      <c r="Q14" s="11" t="n">
        <v>45834</v>
      </c>
    </row>
    <row r="15" customFormat="false" ht="19.4" hidden="true" customHeight="false" outlineLevel="0" collapsed="false">
      <c r="A15" s="5" t="n">
        <v>14</v>
      </c>
      <c r="B15" s="6" t="s">
        <v>63</v>
      </c>
      <c r="C15" s="6"/>
      <c r="D15" s="6"/>
      <c r="E15" s="6" t="s">
        <v>64</v>
      </c>
      <c r="F15" s="6" t="s">
        <v>36</v>
      </c>
      <c r="G15" s="7" t="s">
        <v>37</v>
      </c>
      <c r="H15" s="6" t="s">
        <v>22</v>
      </c>
      <c r="I15" s="6" t="s">
        <v>23</v>
      </c>
      <c r="J15" s="6"/>
      <c r="K15" s="6"/>
      <c r="L15" s="8" t="s">
        <v>24</v>
      </c>
      <c r="M15" s="8" t="s">
        <v>24</v>
      </c>
      <c r="N15" s="9" t="n">
        <v>11100</v>
      </c>
      <c r="O15" s="9" t="n">
        <v>4600</v>
      </c>
      <c r="P15" s="10" t="n">
        <v>6500</v>
      </c>
      <c r="Q15" s="11" t="n">
        <v>45834</v>
      </c>
    </row>
    <row r="16" customFormat="false" ht="19.4" hidden="true" customHeight="false" outlineLevel="0" collapsed="false">
      <c r="A16" s="5" t="n">
        <v>15</v>
      </c>
      <c r="B16" s="6" t="s">
        <v>65</v>
      </c>
      <c r="C16" s="6"/>
      <c r="D16" s="6"/>
      <c r="E16" s="6" t="s">
        <v>66</v>
      </c>
      <c r="F16" s="6" t="s">
        <v>44</v>
      </c>
      <c r="G16" s="7" t="s">
        <v>45</v>
      </c>
      <c r="H16" s="6" t="s">
        <v>46</v>
      </c>
      <c r="I16" s="6" t="s">
        <v>23</v>
      </c>
      <c r="J16" s="6"/>
      <c r="K16" s="6"/>
      <c r="L16" s="8" t="s">
        <v>24</v>
      </c>
      <c r="M16" s="8" t="s">
        <v>24</v>
      </c>
      <c r="N16" s="9" t="n">
        <v>39900</v>
      </c>
      <c r="O16" s="9" t="n">
        <v>14420</v>
      </c>
      <c r="P16" s="10" t="n">
        <v>25480</v>
      </c>
      <c r="Q16" s="11" t="n">
        <v>45834</v>
      </c>
    </row>
    <row r="17" customFormat="false" ht="28.35" hidden="true" customHeight="false" outlineLevel="0" collapsed="false">
      <c r="A17" s="5" t="n">
        <v>16</v>
      </c>
      <c r="B17" s="6" t="s">
        <v>67</v>
      </c>
      <c r="C17" s="6"/>
      <c r="D17" s="6"/>
      <c r="E17" s="6" t="s">
        <v>68</v>
      </c>
      <c r="F17" s="6" t="s">
        <v>49</v>
      </c>
      <c r="G17" s="7" t="s">
        <v>50</v>
      </c>
      <c r="H17" s="6" t="s">
        <v>51</v>
      </c>
      <c r="I17" s="6" t="s">
        <v>23</v>
      </c>
      <c r="J17" s="6"/>
      <c r="K17" s="6"/>
      <c r="L17" s="8" t="s">
        <v>24</v>
      </c>
      <c r="M17" s="8" t="s">
        <v>24</v>
      </c>
      <c r="N17" s="9" t="n">
        <v>45480</v>
      </c>
      <c r="O17" s="9" t="n">
        <v>14360</v>
      </c>
      <c r="P17" s="10" t="n">
        <v>31120</v>
      </c>
      <c r="Q17" s="11" t="n">
        <v>45834</v>
      </c>
    </row>
    <row r="18" customFormat="false" ht="28.35" hidden="true" customHeight="false" outlineLevel="0" collapsed="false">
      <c r="A18" s="5" t="n">
        <v>17</v>
      </c>
      <c r="B18" s="6" t="s">
        <v>69</v>
      </c>
      <c r="C18" s="6"/>
      <c r="D18" s="6"/>
      <c r="E18" s="6" t="s">
        <v>70</v>
      </c>
      <c r="F18" s="6" t="s">
        <v>71</v>
      </c>
      <c r="G18" s="7" t="s">
        <v>72</v>
      </c>
      <c r="H18" s="6" t="s">
        <v>73</v>
      </c>
      <c r="I18" s="6" t="s">
        <v>23</v>
      </c>
      <c r="J18" s="6"/>
      <c r="K18" s="6"/>
      <c r="L18" s="8" t="s">
        <v>24</v>
      </c>
      <c r="M18" s="8" t="s">
        <v>24</v>
      </c>
      <c r="N18" s="9" t="n">
        <v>47440</v>
      </c>
      <c r="O18" s="9" t="n">
        <v>14740</v>
      </c>
      <c r="P18" s="10" t="n">
        <v>32700</v>
      </c>
      <c r="Q18" s="11" t="n">
        <v>45834</v>
      </c>
    </row>
    <row r="19" customFormat="false" ht="19.4" hidden="true" customHeight="false" outlineLevel="0" collapsed="false">
      <c r="A19" s="5" t="n">
        <v>18</v>
      </c>
      <c r="B19" s="6" t="s">
        <v>74</v>
      </c>
      <c r="C19" s="6"/>
      <c r="D19" s="6"/>
      <c r="E19" s="6" t="s">
        <v>75</v>
      </c>
      <c r="F19" s="6" t="s">
        <v>54</v>
      </c>
      <c r="G19" s="7" t="s">
        <v>55</v>
      </c>
      <c r="H19" s="6" t="s">
        <v>56</v>
      </c>
      <c r="I19" s="6" t="s">
        <v>23</v>
      </c>
      <c r="J19" s="6"/>
      <c r="K19" s="6"/>
      <c r="L19" s="8" t="s">
        <v>24</v>
      </c>
      <c r="M19" s="8" t="s">
        <v>24</v>
      </c>
      <c r="N19" s="9" t="n">
        <v>45880</v>
      </c>
      <c r="O19" s="9" t="n">
        <v>15080</v>
      </c>
      <c r="P19" s="10" t="n">
        <v>30800</v>
      </c>
      <c r="Q19" s="11" t="n">
        <v>45834</v>
      </c>
    </row>
    <row r="20" customFormat="false" ht="19.4" hidden="true" customHeight="false" outlineLevel="0" collapsed="false">
      <c r="A20" s="5" t="n">
        <v>19</v>
      </c>
      <c r="B20" s="6" t="s">
        <v>76</v>
      </c>
      <c r="C20" s="6"/>
      <c r="D20" s="6"/>
      <c r="E20" s="6" t="s">
        <v>77</v>
      </c>
      <c r="F20" s="6" t="s">
        <v>29</v>
      </c>
      <c r="G20" s="7" t="s">
        <v>30</v>
      </c>
      <c r="H20" s="6" t="s">
        <v>31</v>
      </c>
      <c r="I20" s="6" t="s">
        <v>23</v>
      </c>
      <c r="J20" s="6"/>
      <c r="K20" s="6"/>
      <c r="L20" s="8" t="s">
        <v>24</v>
      </c>
      <c r="M20" s="8" t="s">
        <v>24</v>
      </c>
      <c r="N20" s="9" t="n">
        <v>45520</v>
      </c>
      <c r="O20" s="9" t="n">
        <v>14140</v>
      </c>
      <c r="P20" s="10" t="n">
        <v>31380</v>
      </c>
      <c r="Q20" s="11" t="n">
        <v>45834</v>
      </c>
    </row>
    <row r="21" customFormat="false" ht="19.4" hidden="true" customHeight="false" outlineLevel="0" collapsed="false">
      <c r="A21" s="5" t="n">
        <v>20</v>
      </c>
      <c r="B21" s="6" t="s">
        <v>78</v>
      </c>
      <c r="C21" s="6"/>
      <c r="D21" s="6"/>
      <c r="E21" s="6" t="s">
        <v>79</v>
      </c>
      <c r="F21" s="6" t="s">
        <v>36</v>
      </c>
      <c r="G21" s="7" t="s">
        <v>37</v>
      </c>
      <c r="H21" s="6" t="s">
        <v>22</v>
      </c>
      <c r="I21" s="6" t="s">
        <v>23</v>
      </c>
      <c r="J21" s="6"/>
      <c r="K21" s="6"/>
      <c r="L21" s="8" t="s">
        <v>24</v>
      </c>
      <c r="M21" s="8" t="s">
        <v>24</v>
      </c>
      <c r="N21" s="9" t="n">
        <v>12540</v>
      </c>
      <c r="O21" s="9" t="n">
        <v>4620</v>
      </c>
      <c r="P21" s="10" t="n">
        <v>7920</v>
      </c>
      <c r="Q21" s="11" t="n">
        <v>45834</v>
      </c>
    </row>
    <row r="22" customFormat="false" ht="28.35" hidden="true" customHeight="false" outlineLevel="0" collapsed="false">
      <c r="A22" s="5" t="n">
        <v>21</v>
      </c>
      <c r="B22" s="6" t="s">
        <v>80</v>
      </c>
      <c r="C22" s="6"/>
      <c r="D22" s="6"/>
      <c r="E22" s="6" t="s">
        <v>81</v>
      </c>
      <c r="F22" s="6" t="s">
        <v>49</v>
      </c>
      <c r="G22" s="7" t="s">
        <v>50</v>
      </c>
      <c r="H22" s="6" t="s">
        <v>51</v>
      </c>
      <c r="I22" s="6" t="s">
        <v>23</v>
      </c>
      <c r="J22" s="6"/>
      <c r="K22" s="6"/>
      <c r="L22" s="8" t="s">
        <v>24</v>
      </c>
      <c r="M22" s="8" t="s">
        <v>24</v>
      </c>
      <c r="N22" s="9" t="n">
        <v>43960</v>
      </c>
      <c r="O22" s="9" t="n">
        <v>14360</v>
      </c>
      <c r="P22" s="10" t="n">
        <v>29600</v>
      </c>
      <c r="Q22" s="11" t="n">
        <v>45834</v>
      </c>
    </row>
    <row r="23" customFormat="false" ht="28.35" hidden="true" customHeight="false" outlineLevel="0" collapsed="false">
      <c r="A23" s="5" t="n">
        <v>22</v>
      </c>
      <c r="B23" s="6" t="s">
        <v>82</v>
      </c>
      <c r="C23" s="6"/>
      <c r="D23" s="6"/>
      <c r="E23" s="6" t="s">
        <v>83</v>
      </c>
      <c r="F23" s="6" t="s">
        <v>71</v>
      </c>
      <c r="G23" s="7" t="s">
        <v>72</v>
      </c>
      <c r="H23" s="6" t="s">
        <v>73</v>
      </c>
      <c r="I23" s="6" t="s">
        <v>23</v>
      </c>
      <c r="J23" s="6"/>
      <c r="K23" s="6"/>
      <c r="L23" s="8" t="s">
        <v>24</v>
      </c>
      <c r="M23" s="8" t="s">
        <v>24</v>
      </c>
      <c r="N23" s="9" t="n">
        <v>46240</v>
      </c>
      <c r="O23" s="9" t="n">
        <v>14740</v>
      </c>
      <c r="P23" s="10" t="n">
        <v>31500</v>
      </c>
      <c r="Q23" s="11" t="n">
        <v>45834</v>
      </c>
    </row>
    <row r="24" customFormat="false" ht="19.4" hidden="true" customHeight="false" outlineLevel="0" collapsed="false">
      <c r="A24" s="5" t="n">
        <v>23</v>
      </c>
      <c r="B24" s="6" t="s">
        <v>84</v>
      </c>
      <c r="C24" s="6"/>
      <c r="D24" s="6"/>
      <c r="E24" s="6" t="s">
        <v>85</v>
      </c>
      <c r="F24" s="6" t="s">
        <v>54</v>
      </c>
      <c r="G24" s="7" t="s">
        <v>55</v>
      </c>
      <c r="H24" s="6" t="s">
        <v>56</v>
      </c>
      <c r="I24" s="6" t="s">
        <v>23</v>
      </c>
      <c r="J24" s="6"/>
      <c r="K24" s="6"/>
      <c r="L24" s="8" t="s">
        <v>24</v>
      </c>
      <c r="M24" s="8" t="s">
        <v>24</v>
      </c>
      <c r="N24" s="9" t="n">
        <v>46440</v>
      </c>
      <c r="O24" s="9" t="n">
        <v>15060</v>
      </c>
      <c r="P24" s="10" t="n">
        <v>31380</v>
      </c>
      <c r="Q24" s="11" t="n">
        <v>45834</v>
      </c>
    </row>
    <row r="25" customFormat="false" ht="19.4" hidden="true" customHeight="false" outlineLevel="0" collapsed="false">
      <c r="A25" s="5" t="n">
        <v>24</v>
      </c>
      <c r="B25" s="6" t="s">
        <v>86</v>
      </c>
      <c r="C25" s="6"/>
      <c r="D25" s="6"/>
      <c r="E25" s="6" t="s">
        <v>87</v>
      </c>
      <c r="F25" s="6" t="s">
        <v>44</v>
      </c>
      <c r="G25" s="7" t="s">
        <v>45</v>
      </c>
      <c r="H25" s="6" t="s">
        <v>46</v>
      </c>
      <c r="I25" s="6" t="s">
        <v>23</v>
      </c>
      <c r="J25" s="6"/>
      <c r="K25" s="6"/>
      <c r="L25" s="8" t="s">
        <v>24</v>
      </c>
      <c r="M25" s="8" t="s">
        <v>24</v>
      </c>
      <c r="N25" s="9" t="n">
        <v>37420</v>
      </c>
      <c r="O25" s="9" t="n">
        <v>14400</v>
      </c>
      <c r="P25" s="10" t="n">
        <v>23020</v>
      </c>
      <c r="Q25" s="11" t="n">
        <v>45834</v>
      </c>
    </row>
    <row r="26" customFormat="false" ht="28.35" hidden="true" customHeight="false" outlineLevel="0" collapsed="false">
      <c r="A26" s="5" t="n">
        <v>25</v>
      </c>
      <c r="B26" s="6" t="s">
        <v>88</v>
      </c>
      <c r="C26" s="6"/>
      <c r="D26" s="6"/>
      <c r="E26" s="6" t="s">
        <v>89</v>
      </c>
      <c r="F26" s="6" t="s">
        <v>49</v>
      </c>
      <c r="G26" s="7" t="s">
        <v>50</v>
      </c>
      <c r="H26" s="6" t="s">
        <v>51</v>
      </c>
      <c r="I26" s="6" t="s">
        <v>23</v>
      </c>
      <c r="J26" s="6"/>
      <c r="K26" s="6"/>
      <c r="L26" s="8" t="s">
        <v>24</v>
      </c>
      <c r="M26" s="8" t="s">
        <v>24</v>
      </c>
      <c r="N26" s="9" t="n">
        <v>46420</v>
      </c>
      <c r="O26" s="9" t="n">
        <v>14420</v>
      </c>
      <c r="P26" s="10" t="n">
        <v>32000</v>
      </c>
      <c r="Q26" s="11" t="n">
        <v>45834</v>
      </c>
    </row>
    <row r="27" customFormat="false" ht="28.35" hidden="true" customHeight="false" outlineLevel="0" collapsed="false">
      <c r="A27" s="5" t="n">
        <v>26</v>
      </c>
      <c r="B27" s="6" t="s">
        <v>90</v>
      </c>
      <c r="C27" s="6"/>
      <c r="D27" s="6"/>
      <c r="E27" s="6" t="s">
        <v>91</v>
      </c>
      <c r="F27" s="6" t="s">
        <v>71</v>
      </c>
      <c r="G27" s="7" t="s">
        <v>72</v>
      </c>
      <c r="H27" s="6" t="s">
        <v>73</v>
      </c>
      <c r="I27" s="6" t="s">
        <v>23</v>
      </c>
      <c r="J27" s="6"/>
      <c r="K27" s="6"/>
      <c r="L27" s="8" t="s">
        <v>24</v>
      </c>
      <c r="M27" s="8" t="s">
        <v>24</v>
      </c>
      <c r="N27" s="9" t="n">
        <v>46180</v>
      </c>
      <c r="O27" s="9" t="n">
        <v>14720</v>
      </c>
      <c r="P27" s="10" t="n">
        <v>31460</v>
      </c>
      <c r="Q27" s="11" t="n">
        <v>45834</v>
      </c>
    </row>
    <row r="28" customFormat="false" ht="19.4" hidden="true" customHeight="false" outlineLevel="0" collapsed="false">
      <c r="A28" s="5" t="n">
        <v>27</v>
      </c>
      <c r="B28" s="6" t="s">
        <v>92</v>
      </c>
      <c r="C28" s="6"/>
      <c r="D28" s="6"/>
      <c r="E28" s="6" t="s">
        <v>93</v>
      </c>
      <c r="F28" s="6" t="s">
        <v>54</v>
      </c>
      <c r="G28" s="7" t="s">
        <v>55</v>
      </c>
      <c r="H28" s="6" t="s">
        <v>56</v>
      </c>
      <c r="I28" s="6" t="s">
        <v>23</v>
      </c>
      <c r="J28" s="6"/>
      <c r="K28" s="6"/>
      <c r="L28" s="8" t="s">
        <v>24</v>
      </c>
      <c r="M28" s="8" t="s">
        <v>24</v>
      </c>
      <c r="N28" s="9" t="n">
        <v>46900</v>
      </c>
      <c r="O28" s="9" t="n">
        <v>15040</v>
      </c>
      <c r="P28" s="10" t="n">
        <v>31860</v>
      </c>
      <c r="Q28" s="11" t="n">
        <v>45834</v>
      </c>
    </row>
    <row r="29" customFormat="false" ht="19.4" hidden="true" customHeight="false" outlineLevel="0" collapsed="false">
      <c r="A29" s="5" t="n">
        <v>28</v>
      </c>
      <c r="B29" s="6" t="s">
        <v>94</v>
      </c>
      <c r="C29" s="6"/>
      <c r="D29" s="6"/>
      <c r="E29" s="6" t="s">
        <v>95</v>
      </c>
      <c r="F29" s="6" t="s">
        <v>44</v>
      </c>
      <c r="G29" s="7" t="s">
        <v>45</v>
      </c>
      <c r="H29" s="6" t="s">
        <v>46</v>
      </c>
      <c r="I29" s="6" t="s">
        <v>23</v>
      </c>
      <c r="J29" s="6"/>
      <c r="K29" s="6"/>
      <c r="L29" s="8" t="s">
        <v>24</v>
      </c>
      <c r="M29" s="8" t="s">
        <v>24</v>
      </c>
      <c r="N29" s="9" t="n">
        <v>37680</v>
      </c>
      <c r="O29" s="9" t="n">
        <v>14400</v>
      </c>
      <c r="P29" s="10" t="n">
        <v>23280</v>
      </c>
      <c r="Q29" s="11" t="n">
        <v>45834</v>
      </c>
    </row>
    <row r="30" customFormat="false" ht="19.4" hidden="true" customHeight="false" outlineLevel="0" collapsed="false">
      <c r="A30" s="5" t="n">
        <v>29</v>
      </c>
      <c r="B30" s="6" t="s">
        <v>96</v>
      </c>
      <c r="C30" s="6"/>
      <c r="D30" s="6"/>
      <c r="E30" s="6" t="s">
        <v>97</v>
      </c>
      <c r="F30" s="6" t="s">
        <v>44</v>
      </c>
      <c r="G30" s="7" t="s">
        <v>45</v>
      </c>
      <c r="H30" s="6" t="s">
        <v>46</v>
      </c>
      <c r="I30" s="6" t="s">
        <v>23</v>
      </c>
      <c r="J30" s="6"/>
      <c r="K30" s="6"/>
      <c r="L30" s="8" t="s">
        <v>24</v>
      </c>
      <c r="M30" s="8" t="s">
        <v>24</v>
      </c>
      <c r="N30" s="9" t="n">
        <v>38480</v>
      </c>
      <c r="O30" s="9" t="n">
        <v>14380</v>
      </c>
      <c r="P30" s="10" t="n">
        <v>24100</v>
      </c>
      <c r="Q30" s="11" t="n">
        <v>45834</v>
      </c>
    </row>
    <row r="31" customFormat="false" ht="28.35" hidden="true" customHeight="false" outlineLevel="0" collapsed="false">
      <c r="A31" s="5" t="n">
        <v>30</v>
      </c>
      <c r="B31" s="6" t="s">
        <v>98</v>
      </c>
      <c r="C31" s="6"/>
      <c r="D31" s="6"/>
      <c r="E31" s="6" t="s">
        <v>99</v>
      </c>
      <c r="F31" s="6" t="s">
        <v>71</v>
      </c>
      <c r="G31" s="7" t="s">
        <v>72</v>
      </c>
      <c r="H31" s="6" t="s">
        <v>73</v>
      </c>
      <c r="I31" s="6" t="s">
        <v>23</v>
      </c>
      <c r="J31" s="6"/>
      <c r="K31" s="6"/>
      <c r="L31" s="8" t="s">
        <v>24</v>
      </c>
      <c r="M31" s="8" t="s">
        <v>24</v>
      </c>
      <c r="N31" s="9" t="n">
        <v>30160</v>
      </c>
      <c r="O31" s="9" t="n">
        <v>14720</v>
      </c>
      <c r="P31" s="10" t="n">
        <v>15440</v>
      </c>
      <c r="Q31" s="11" t="n">
        <v>45834</v>
      </c>
    </row>
    <row r="32" customFormat="false" ht="28.35" hidden="true" customHeight="false" outlineLevel="0" collapsed="false">
      <c r="A32" s="5" t="n">
        <v>31</v>
      </c>
      <c r="B32" s="6" t="s">
        <v>100</v>
      </c>
      <c r="C32" s="6"/>
      <c r="D32" s="6"/>
      <c r="E32" s="6" t="s">
        <v>101</v>
      </c>
      <c r="F32" s="6" t="s">
        <v>49</v>
      </c>
      <c r="G32" s="7" t="s">
        <v>50</v>
      </c>
      <c r="H32" s="6" t="s">
        <v>51</v>
      </c>
      <c r="I32" s="6" t="s">
        <v>23</v>
      </c>
      <c r="J32" s="6"/>
      <c r="K32" s="6"/>
      <c r="L32" s="8" t="s">
        <v>24</v>
      </c>
      <c r="M32" s="8" t="s">
        <v>24</v>
      </c>
      <c r="N32" s="9" t="n">
        <v>45320</v>
      </c>
      <c r="O32" s="9" t="n">
        <v>14420</v>
      </c>
      <c r="P32" s="10" t="n">
        <v>30900</v>
      </c>
      <c r="Q32" s="11" t="n">
        <v>45834</v>
      </c>
    </row>
    <row r="33" customFormat="false" ht="19.4" hidden="true" customHeight="false" outlineLevel="0" collapsed="false">
      <c r="A33" s="5" t="n">
        <v>32</v>
      </c>
      <c r="B33" s="6" t="s">
        <v>102</v>
      </c>
      <c r="C33" s="6"/>
      <c r="D33" s="6"/>
      <c r="E33" s="6" t="s">
        <v>103</v>
      </c>
      <c r="F33" s="6" t="s">
        <v>29</v>
      </c>
      <c r="G33" s="7" t="s">
        <v>30</v>
      </c>
      <c r="H33" s="6" t="s">
        <v>31</v>
      </c>
      <c r="I33" s="6" t="s">
        <v>23</v>
      </c>
      <c r="J33" s="6"/>
      <c r="K33" s="6"/>
      <c r="L33" s="8" t="s">
        <v>24</v>
      </c>
      <c r="M33" s="8" t="s">
        <v>24</v>
      </c>
      <c r="N33" s="9" t="n">
        <v>44900</v>
      </c>
      <c r="O33" s="9" t="n">
        <v>14120</v>
      </c>
      <c r="P33" s="10" t="n">
        <v>30780</v>
      </c>
      <c r="Q33" s="11" t="n">
        <v>45834</v>
      </c>
    </row>
    <row r="34" customFormat="false" ht="19.4" hidden="true" customHeight="false" outlineLevel="0" collapsed="false">
      <c r="A34" s="5" t="n">
        <v>33</v>
      </c>
      <c r="B34" s="6" t="s">
        <v>104</v>
      </c>
      <c r="C34" s="6"/>
      <c r="D34" s="6"/>
      <c r="E34" s="6" t="s">
        <v>105</v>
      </c>
      <c r="F34" s="6" t="s">
        <v>29</v>
      </c>
      <c r="G34" s="7" t="s">
        <v>30</v>
      </c>
      <c r="H34" s="6" t="s">
        <v>31</v>
      </c>
      <c r="I34" s="6" t="s">
        <v>23</v>
      </c>
      <c r="J34" s="6"/>
      <c r="K34" s="6"/>
      <c r="L34" s="8" t="s">
        <v>24</v>
      </c>
      <c r="M34" s="8" t="s">
        <v>24</v>
      </c>
      <c r="N34" s="9" t="n">
        <v>45500</v>
      </c>
      <c r="O34" s="9" t="n">
        <v>14120</v>
      </c>
      <c r="P34" s="10" t="n">
        <v>31380</v>
      </c>
      <c r="Q34" s="11" t="n">
        <v>45834</v>
      </c>
    </row>
    <row r="35" customFormat="false" ht="30" hidden="true" customHeight="true" outlineLevel="0" collapsed="false">
      <c r="A35" s="5" t="n">
        <v>34</v>
      </c>
      <c r="B35" s="6" t="s">
        <v>106</v>
      </c>
      <c r="C35" s="6"/>
      <c r="D35" s="6"/>
      <c r="E35" s="6" t="s">
        <v>107</v>
      </c>
      <c r="F35" s="6" t="s">
        <v>108</v>
      </c>
      <c r="G35" s="7" t="s">
        <v>109</v>
      </c>
      <c r="H35" s="6" t="s">
        <v>110</v>
      </c>
      <c r="I35" s="6" t="s">
        <v>23</v>
      </c>
      <c r="J35" s="6"/>
      <c r="K35" s="6" t="s">
        <v>111</v>
      </c>
      <c r="L35" s="8" t="s">
        <v>24</v>
      </c>
      <c r="M35" s="8" t="s">
        <v>24</v>
      </c>
      <c r="N35" s="9" t="n">
        <v>46380</v>
      </c>
      <c r="O35" s="9" t="n">
        <v>15320</v>
      </c>
      <c r="P35" s="10" t="n">
        <v>31060</v>
      </c>
      <c r="Q35" s="11" t="n">
        <v>45835</v>
      </c>
    </row>
    <row r="36" customFormat="false" ht="19.4" hidden="true" customHeight="false" outlineLevel="0" collapsed="false">
      <c r="A36" s="5" t="n">
        <v>35</v>
      </c>
      <c r="B36" s="6" t="s">
        <v>112</v>
      </c>
      <c r="C36" s="6"/>
      <c r="D36" s="6"/>
      <c r="E36" s="6" t="s">
        <v>113</v>
      </c>
      <c r="F36" s="6" t="s">
        <v>114</v>
      </c>
      <c r="G36" s="7" t="s">
        <v>115</v>
      </c>
      <c r="H36" s="6" t="s">
        <v>116</v>
      </c>
      <c r="I36" s="6" t="s">
        <v>23</v>
      </c>
      <c r="J36" s="6"/>
      <c r="K36" s="6" t="s">
        <v>111</v>
      </c>
      <c r="L36" s="8" t="s">
        <v>24</v>
      </c>
      <c r="M36" s="8" t="s">
        <v>24</v>
      </c>
      <c r="N36" s="9" t="n">
        <v>47300</v>
      </c>
      <c r="O36" s="9" t="n">
        <v>15800</v>
      </c>
      <c r="P36" s="10" t="n">
        <v>31500</v>
      </c>
      <c r="Q36" s="11" t="n">
        <v>45835</v>
      </c>
    </row>
    <row r="37" customFormat="false" ht="19.4" hidden="true" customHeight="false" outlineLevel="0" collapsed="false">
      <c r="A37" s="5" t="n">
        <v>36</v>
      </c>
      <c r="B37" s="6" t="s">
        <v>117</v>
      </c>
      <c r="C37" s="6"/>
      <c r="D37" s="6"/>
      <c r="E37" s="6" t="s">
        <v>118</v>
      </c>
      <c r="F37" s="6" t="s">
        <v>54</v>
      </c>
      <c r="G37" s="7" t="s">
        <v>55</v>
      </c>
      <c r="H37" s="6" t="s">
        <v>56</v>
      </c>
      <c r="I37" s="6" t="s">
        <v>23</v>
      </c>
      <c r="J37" s="6"/>
      <c r="K37" s="6" t="s">
        <v>111</v>
      </c>
      <c r="L37" s="8" t="s">
        <v>24</v>
      </c>
      <c r="M37" s="8" t="s">
        <v>24</v>
      </c>
      <c r="N37" s="9" t="n">
        <v>47280</v>
      </c>
      <c r="O37" s="9" t="n">
        <v>15160</v>
      </c>
      <c r="P37" s="10" t="n">
        <v>32120</v>
      </c>
      <c r="Q37" s="11" t="n">
        <v>45835</v>
      </c>
    </row>
    <row r="38" customFormat="false" ht="28.35" hidden="true" customHeight="false" outlineLevel="0" collapsed="false">
      <c r="A38" s="5" t="n">
        <v>37</v>
      </c>
      <c r="B38" s="6" t="s">
        <v>119</v>
      </c>
      <c r="C38" s="6"/>
      <c r="D38" s="6"/>
      <c r="E38" s="6" t="s">
        <v>120</v>
      </c>
      <c r="F38" s="6" t="s">
        <v>49</v>
      </c>
      <c r="G38" s="7" t="s">
        <v>50</v>
      </c>
      <c r="H38" s="6" t="s">
        <v>51</v>
      </c>
      <c r="I38" s="6" t="s">
        <v>23</v>
      </c>
      <c r="J38" s="6"/>
      <c r="K38" s="6" t="s">
        <v>111</v>
      </c>
      <c r="L38" s="8" t="s">
        <v>24</v>
      </c>
      <c r="M38" s="8" t="s">
        <v>24</v>
      </c>
      <c r="N38" s="9" t="n">
        <v>45560</v>
      </c>
      <c r="O38" s="9" t="n">
        <v>14400</v>
      </c>
      <c r="P38" s="10" t="n">
        <v>31160</v>
      </c>
      <c r="Q38" s="11" t="n">
        <v>45835</v>
      </c>
    </row>
    <row r="39" customFormat="false" ht="19.4" hidden="true" customHeight="false" outlineLevel="0" collapsed="false">
      <c r="A39" s="5" t="n">
        <v>38</v>
      </c>
      <c r="B39" s="6" t="s">
        <v>121</v>
      </c>
      <c r="C39" s="6"/>
      <c r="D39" s="6"/>
      <c r="E39" s="6" t="s">
        <v>122</v>
      </c>
      <c r="F39" s="6" t="s">
        <v>29</v>
      </c>
      <c r="G39" s="7" t="s">
        <v>30</v>
      </c>
      <c r="H39" s="6" t="s">
        <v>31</v>
      </c>
      <c r="I39" s="6" t="s">
        <v>23</v>
      </c>
      <c r="J39" s="6"/>
      <c r="K39" s="6" t="s">
        <v>111</v>
      </c>
      <c r="L39" s="8" t="s">
        <v>24</v>
      </c>
      <c r="M39" s="8" t="s">
        <v>24</v>
      </c>
      <c r="N39" s="9" t="n">
        <v>25540</v>
      </c>
      <c r="O39" s="9" t="n">
        <v>14100</v>
      </c>
      <c r="P39" s="10" t="n">
        <v>11440</v>
      </c>
      <c r="Q39" s="11" t="n">
        <v>45835</v>
      </c>
    </row>
    <row r="40" customFormat="false" ht="19.4" hidden="true" customHeight="false" outlineLevel="0" collapsed="false">
      <c r="A40" s="5" t="n">
        <v>39</v>
      </c>
      <c r="B40" s="6" t="s">
        <v>123</v>
      </c>
      <c r="C40" s="6"/>
      <c r="D40" s="6"/>
      <c r="E40" s="6" t="s">
        <v>124</v>
      </c>
      <c r="F40" s="6" t="s">
        <v>44</v>
      </c>
      <c r="G40" s="7" t="s">
        <v>45</v>
      </c>
      <c r="H40" s="6" t="s">
        <v>46</v>
      </c>
      <c r="I40" s="6" t="s">
        <v>23</v>
      </c>
      <c r="J40" s="6"/>
      <c r="K40" s="6" t="s">
        <v>111</v>
      </c>
      <c r="L40" s="8" t="s">
        <v>24</v>
      </c>
      <c r="M40" s="8" t="s">
        <v>24</v>
      </c>
      <c r="N40" s="9" t="n">
        <v>38520</v>
      </c>
      <c r="O40" s="9" t="n">
        <v>14360</v>
      </c>
      <c r="P40" s="10" t="n">
        <v>24160</v>
      </c>
      <c r="Q40" s="11" t="n">
        <v>45835</v>
      </c>
    </row>
    <row r="41" customFormat="false" ht="28.35" hidden="true" customHeight="false" outlineLevel="0" collapsed="false">
      <c r="A41" s="5" t="n">
        <v>40</v>
      </c>
      <c r="B41" s="6" t="s">
        <v>125</v>
      </c>
      <c r="C41" s="6"/>
      <c r="D41" s="6"/>
      <c r="E41" s="6" t="s">
        <v>126</v>
      </c>
      <c r="F41" s="6" t="s">
        <v>71</v>
      </c>
      <c r="G41" s="7" t="s">
        <v>72</v>
      </c>
      <c r="H41" s="6" t="s">
        <v>73</v>
      </c>
      <c r="I41" s="6" t="s">
        <v>23</v>
      </c>
      <c r="J41" s="6"/>
      <c r="K41" s="6" t="s">
        <v>111</v>
      </c>
      <c r="L41" s="8" t="s">
        <v>24</v>
      </c>
      <c r="M41" s="8" t="s">
        <v>24</v>
      </c>
      <c r="N41" s="9" t="n">
        <v>46280</v>
      </c>
      <c r="O41" s="9" t="n">
        <v>14700</v>
      </c>
      <c r="P41" s="10" t="n">
        <v>31580</v>
      </c>
      <c r="Q41" s="11" t="n">
        <v>45835</v>
      </c>
    </row>
    <row r="42" customFormat="false" ht="30" hidden="true" customHeight="true" outlineLevel="0" collapsed="false">
      <c r="A42" s="5" t="n">
        <v>41</v>
      </c>
      <c r="B42" s="6" t="s">
        <v>127</v>
      </c>
      <c r="C42" s="6"/>
      <c r="D42" s="6"/>
      <c r="E42" s="6" t="s">
        <v>128</v>
      </c>
      <c r="F42" s="6" t="s">
        <v>108</v>
      </c>
      <c r="G42" s="7" t="s">
        <v>109</v>
      </c>
      <c r="H42" s="6" t="s">
        <v>110</v>
      </c>
      <c r="I42" s="6" t="s">
        <v>23</v>
      </c>
      <c r="J42" s="6"/>
      <c r="K42" s="6" t="s">
        <v>111</v>
      </c>
      <c r="L42" s="8" t="s">
        <v>24</v>
      </c>
      <c r="M42" s="8" t="s">
        <v>24</v>
      </c>
      <c r="N42" s="9" t="n">
        <v>46500</v>
      </c>
      <c r="O42" s="9" t="n">
        <v>15300</v>
      </c>
      <c r="P42" s="10" t="n">
        <v>31200</v>
      </c>
      <c r="Q42" s="11" t="n">
        <v>45835</v>
      </c>
    </row>
    <row r="43" customFormat="false" ht="19.4" hidden="true" customHeight="false" outlineLevel="0" collapsed="false">
      <c r="A43" s="5" t="n">
        <v>42</v>
      </c>
      <c r="B43" s="6" t="s">
        <v>129</v>
      </c>
      <c r="C43" s="6"/>
      <c r="D43" s="6"/>
      <c r="E43" s="6" t="s">
        <v>130</v>
      </c>
      <c r="F43" s="6" t="s">
        <v>54</v>
      </c>
      <c r="G43" s="7" t="s">
        <v>55</v>
      </c>
      <c r="H43" s="6" t="s">
        <v>56</v>
      </c>
      <c r="I43" s="6" t="s">
        <v>23</v>
      </c>
      <c r="J43" s="6"/>
      <c r="K43" s="6" t="s">
        <v>111</v>
      </c>
      <c r="L43" s="8" t="s">
        <v>24</v>
      </c>
      <c r="M43" s="8" t="s">
        <v>24</v>
      </c>
      <c r="N43" s="9" t="n">
        <v>46520</v>
      </c>
      <c r="O43" s="9" t="n">
        <v>15140</v>
      </c>
      <c r="P43" s="10" t="n">
        <v>31380</v>
      </c>
      <c r="Q43" s="11" t="n">
        <v>45835</v>
      </c>
    </row>
    <row r="44" customFormat="false" ht="19.4" hidden="true" customHeight="false" outlineLevel="0" collapsed="false">
      <c r="A44" s="5" t="n">
        <v>43</v>
      </c>
      <c r="B44" s="6" t="s">
        <v>131</v>
      </c>
      <c r="C44" s="6"/>
      <c r="D44" s="6"/>
      <c r="E44" s="6" t="s">
        <v>132</v>
      </c>
      <c r="F44" s="6" t="s">
        <v>114</v>
      </c>
      <c r="G44" s="7" t="s">
        <v>115</v>
      </c>
      <c r="H44" s="6" t="s">
        <v>116</v>
      </c>
      <c r="I44" s="6" t="s">
        <v>23</v>
      </c>
      <c r="J44" s="6"/>
      <c r="K44" s="6" t="s">
        <v>111</v>
      </c>
      <c r="L44" s="8" t="s">
        <v>24</v>
      </c>
      <c r="M44" s="8" t="s">
        <v>24</v>
      </c>
      <c r="N44" s="9" t="n">
        <v>47420</v>
      </c>
      <c r="O44" s="9" t="n">
        <v>15800</v>
      </c>
      <c r="P44" s="10" t="n">
        <v>31620</v>
      </c>
      <c r="Q44" s="11" t="n">
        <v>45835</v>
      </c>
    </row>
    <row r="45" customFormat="false" ht="28.35" hidden="true" customHeight="false" outlineLevel="0" collapsed="false">
      <c r="A45" s="5" t="n">
        <v>44</v>
      </c>
      <c r="B45" s="6" t="s">
        <v>133</v>
      </c>
      <c r="C45" s="6"/>
      <c r="D45" s="6"/>
      <c r="E45" s="6" t="s">
        <v>134</v>
      </c>
      <c r="F45" s="6" t="s">
        <v>49</v>
      </c>
      <c r="G45" s="7" t="s">
        <v>50</v>
      </c>
      <c r="H45" s="6" t="s">
        <v>51</v>
      </c>
      <c r="I45" s="6" t="s">
        <v>23</v>
      </c>
      <c r="J45" s="6"/>
      <c r="K45" s="6" t="s">
        <v>111</v>
      </c>
      <c r="L45" s="8" t="s">
        <v>24</v>
      </c>
      <c r="M45" s="8" t="s">
        <v>24</v>
      </c>
      <c r="N45" s="9" t="n">
        <v>46320</v>
      </c>
      <c r="O45" s="9" t="n">
        <v>14380</v>
      </c>
      <c r="P45" s="10" t="n">
        <v>31940</v>
      </c>
      <c r="Q45" s="11" t="n">
        <v>45835</v>
      </c>
    </row>
    <row r="46" customFormat="false" ht="19.4" hidden="true" customHeight="false" outlineLevel="0" collapsed="false">
      <c r="A46" s="5" t="n">
        <v>45</v>
      </c>
      <c r="B46" s="6" t="s">
        <v>135</v>
      </c>
      <c r="C46" s="6"/>
      <c r="D46" s="6"/>
      <c r="E46" s="6" t="s">
        <v>136</v>
      </c>
      <c r="F46" s="6" t="s">
        <v>44</v>
      </c>
      <c r="G46" s="7" t="s">
        <v>45</v>
      </c>
      <c r="H46" s="6" t="s">
        <v>46</v>
      </c>
      <c r="I46" s="6" t="s">
        <v>23</v>
      </c>
      <c r="J46" s="6"/>
      <c r="K46" s="6" t="s">
        <v>111</v>
      </c>
      <c r="L46" s="8" t="s">
        <v>24</v>
      </c>
      <c r="M46" s="8" t="s">
        <v>24</v>
      </c>
      <c r="N46" s="9" t="n">
        <v>36940</v>
      </c>
      <c r="O46" s="9" t="n">
        <v>14340</v>
      </c>
      <c r="P46" s="10" t="n">
        <v>22600</v>
      </c>
      <c r="Q46" s="11" t="n">
        <v>45835</v>
      </c>
    </row>
    <row r="47" customFormat="false" ht="28.35" hidden="true" customHeight="false" outlineLevel="0" collapsed="false">
      <c r="A47" s="5" t="n">
        <v>46</v>
      </c>
      <c r="B47" s="6" t="s">
        <v>137</v>
      </c>
      <c r="C47" s="6"/>
      <c r="D47" s="6"/>
      <c r="E47" s="6" t="s">
        <v>138</v>
      </c>
      <c r="F47" s="6" t="s">
        <v>71</v>
      </c>
      <c r="G47" s="7" t="s">
        <v>72</v>
      </c>
      <c r="H47" s="6" t="s">
        <v>73</v>
      </c>
      <c r="I47" s="6" t="s">
        <v>23</v>
      </c>
      <c r="J47" s="6"/>
      <c r="K47" s="6" t="s">
        <v>111</v>
      </c>
      <c r="L47" s="8" t="s">
        <v>24</v>
      </c>
      <c r="M47" s="8" t="s">
        <v>24</v>
      </c>
      <c r="N47" s="9" t="n">
        <v>46360</v>
      </c>
      <c r="O47" s="9" t="n">
        <v>14680</v>
      </c>
      <c r="P47" s="10" t="n">
        <v>31680</v>
      </c>
      <c r="Q47" s="11" t="n">
        <v>45835</v>
      </c>
    </row>
    <row r="48" customFormat="false" ht="30" hidden="true" customHeight="true" outlineLevel="0" collapsed="false">
      <c r="A48" s="5" t="n">
        <v>47</v>
      </c>
      <c r="B48" s="6" t="s">
        <v>139</v>
      </c>
      <c r="C48" s="6"/>
      <c r="D48" s="6"/>
      <c r="E48" s="6" t="s">
        <v>140</v>
      </c>
      <c r="F48" s="6" t="s">
        <v>108</v>
      </c>
      <c r="G48" s="7" t="s">
        <v>109</v>
      </c>
      <c r="H48" s="6" t="s">
        <v>110</v>
      </c>
      <c r="I48" s="6" t="s">
        <v>23</v>
      </c>
      <c r="J48" s="6"/>
      <c r="K48" s="6" t="s">
        <v>111</v>
      </c>
      <c r="L48" s="8" t="s">
        <v>24</v>
      </c>
      <c r="M48" s="8" t="s">
        <v>24</v>
      </c>
      <c r="N48" s="9" t="n">
        <v>47300</v>
      </c>
      <c r="O48" s="9" t="n">
        <v>15280</v>
      </c>
      <c r="P48" s="10" t="n">
        <v>32020</v>
      </c>
      <c r="Q48" s="11" t="n">
        <v>45835</v>
      </c>
    </row>
    <row r="49" customFormat="false" ht="19.4" hidden="true" customHeight="false" outlineLevel="0" collapsed="false">
      <c r="A49" s="5" t="n">
        <v>48</v>
      </c>
      <c r="B49" s="6" t="s">
        <v>141</v>
      </c>
      <c r="C49" s="6"/>
      <c r="D49" s="6"/>
      <c r="E49" s="6" t="s">
        <v>142</v>
      </c>
      <c r="F49" s="6" t="s">
        <v>54</v>
      </c>
      <c r="G49" s="7" t="s">
        <v>55</v>
      </c>
      <c r="H49" s="6" t="s">
        <v>56</v>
      </c>
      <c r="I49" s="6" t="s">
        <v>23</v>
      </c>
      <c r="J49" s="6"/>
      <c r="K49" s="6" t="s">
        <v>111</v>
      </c>
      <c r="L49" s="8" t="s">
        <v>24</v>
      </c>
      <c r="M49" s="8" t="s">
        <v>24</v>
      </c>
      <c r="N49" s="9" t="n">
        <v>47140</v>
      </c>
      <c r="O49" s="9" t="n">
        <v>15120</v>
      </c>
      <c r="P49" s="10" t="n">
        <v>32020</v>
      </c>
      <c r="Q49" s="11" t="n">
        <v>45835</v>
      </c>
    </row>
    <row r="50" customFormat="false" ht="19.4" hidden="true" customHeight="false" outlineLevel="0" collapsed="false">
      <c r="A50" s="5" t="n">
        <v>49</v>
      </c>
      <c r="B50" s="6" t="s">
        <v>143</v>
      </c>
      <c r="C50" s="6"/>
      <c r="D50" s="6"/>
      <c r="E50" s="6" t="s">
        <v>144</v>
      </c>
      <c r="F50" s="6" t="s">
        <v>114</v>
      </c>
      <c r="G50" s="7" t="s">
        <v>115</v>
      </c>
      <c r="H50" s="6" t="s">
        <v>116</v>
      </c>
      <c r="I50" s="6" t="s">
        <v>23</v>
      </c>
      <c r="J50" s="6"/>
      <c r="K50" s="6" t="s">
        <v>111</v>
      </c>
      <c r="L50" s="8" t="s">
        <v>24</v>
      </c>
      <c r="M50" s="8" t="s">
        <v>24</v>
      </c>
      <c r="N50" s="9" t="n">
        <v>47460</v>
      </c>
      <c r="O50" s="9" t="n">
        <v>15760</v>
      </c>
      <c r="P50" s="10" t="n">
        <v>31700</v>
      </c>
      <c r="Q50" s="11" t="n">
        <v>45835</v>
      </c>
    </row>
    <row r="51" customFormat="false" ht="19.4" hidden="true" customHeight="false" outlineLevel="0" collapsed="false">
      <c r="A51" s="5" t="n">
        <v>50</v>
      </c>
      <c r="B51" s="6" t="s">
        <v>145</v>
      </c>
      <c r="C51" s="6"/>
      <c r="D51" s="6"/>
      <c r="E51" s="6" t="s">
        <v>146</v>
      </c>
      <c r="F51" s="6" t="s">
        <v>29</v>
      </c>
      <c r="G51" s="7" t="s">
        <v>30</v>
      </c>
      <c r="H51" s="6" t="s">
        <v>31</v>
      </c>
      <c r="I51" s="6" t="s">
        <v>23</v>
      </c>
      <c r="J51" s="6"/>
      <c r="K51" s="6" t="s">
        <v>147</v>
      </c>
      <c r="L51" s="8" t="s">
        <v>24</v>
      </c>
      <c r="M51" s="8" t="s">
        <v>24</v>
      </c>
      <c r="N51" s="9" t="n">
        <v>39080</v>
      </c>
      <c r="O51" s="9" t="n">
        <v>14100</v>
      </c>
      <c r="P51" s="10" t="n">
        <v>24980</v>
      </c>
      <c r="Q51" s="11" t="n">
        <v>45835</v>
      </c>
    </row>
    <row r="52" customFormat="false" ht="28.35" hidden="true" customHeight="false" outlineLevel="0" collapsed="false">
      <c r="A52" s="5" t="n">
        <v>51</v>
      </c>
      <c r="B52" s="6" t="s">
        <v>148</v>
      </c>
      <c r="C52" s="6"/>
      <c r="D52" s="6"/>
      <c r="E52" s="6" t="s">
        <v>149</v>
      </c>
      <c r="F52" s="6" t="s">
        <v>49</v>
      </c>
      <c r="G52" s="7" t="s">
        <v>50</v>
      </c>
      <c r="H52" s="6" t="s">
        <v>51</v>
      </c>
      <c r="I52" s="6" t="s">
        <v>23</v>
      </c>
      <c r="J52" s="6"/>
      <c r="K52" s="6" t="s">
        <v>111</v>
      </c>
      <c r="L52" s="8" t="s">
        <v>24</v>
      </c>
      <c r="M52" s="8" t="s">
        <v>24</v>
      </c>
      <c r="N52" s="9" t="n">
        <v>46200</v>
      </c>
      <c r="O52" s="9" t="n">
        <v>14360</v>
      </c>
      <c r="P52" s="10" t="n">
        <v>31840</v>
      </c>
      <c r="Q52" s="11" t="n">
        <v>45835</v>
      </c>
    </row>
    <row r="53" customFormat="false" ht="19.4" hidden="true" customHeight="false" outlineLevel="0" collapsed="false">
      <c r="A53" s="5" t="n">
        <v>52</v>
      </c>
      <c r="B53" s="6" t="s">
        <v>150</v>
      </c>
      <c r="C53" s="6"/>
      <c r="D53" s="6"/>
      <c r="E53" s="6" t="s">
        <v>151</v>
      </c>
      <c r="F53" s="6" t="s">
        <v>44</v>
      </c>
      <c r="G53" s="7" t="s">
        <v>45</v>
      </c>
      <c r="H53" s="6" t="s">
        <v>46</v>
      </c>
      <c r="I53" s="6" t="s">
        <v>23</v>
      </c>
      <c r="J53" s="6"/>
      <c r="K53" s="6" t="s">
        <v>111</v>
      </c>
      <c r="L53" s="8" t="s">
        <v>24</v>
      </c>
      <c r="M53" s="8" t="s">
        <v>24</v>
      </c>
      <c r="N53" s="9" t="n">
        <v>37620</v>
      </c>
      <c r="O53" s="9" t="n">
        <v>14340</v>
      </c>
      <c r="P53" s="10" t="n">
        <v>23280</v>
      </c>
      <c r="Q53" s="11" t="n">
        <v>45835</v>
      </c>
    </row>
    <row r="54" customFormat="false" ht="28.35" hidden="true" customHeight="false" outlineLevel="0" collapsed="false">
      <c r="A54" s="5" t="n">
        <v>53</v>
      </c>
      <c r="B54" s="6" t="s">
        <v>152</v>
      </c>
      <c r="C54" s="6"/>
      <c r="D54" s="6"/>
      <c r="E54" s="6" t="s">
        <v>153</v>
      </c>
      <c r="F54" s="6" t="s">
        <v>71</v>
      </c>
      <c r="G54" s="7" t="s">
        <v>72</v>
      </c>
      <c r="H54" s="6" t="s">
        <v>73</v>
      </c>
      <c r="I54" s="6" t="s">
        <v>23</v>
      </c>
      <c r="J54" s="6"/>
      <c r="K54" s="6" t="s">
        <v>111</v>
      </c>
      <c r="L54" s="8" t="s">
        <v>24</v>
      </c>
      <c r="M54" s="8" t="s">
        <v>24</v>
      </c>
      <c r="N54" s="9" t="n">
        <v>46180</v>
      </c>
      <c r="O54" s="9" t="n">
        <v>14660</v>
      </c>
      <c r="P54" s="10" t="n">
        <v>31520</v>
      </c>
      <c r="Q54" s="11" t="n">
        <v>45835</v>
      </c>
    </row>
    <row r="55" customFormat="false" ht="30" hidden="true" customHeight="true" outlineLevel="0" collapsed="false">
      <c r="A55" s="5" t="n">
        <v>54</v>
      </c>
      <c r="B55" s="6" t="s">
        <v>154</v>
      </c>
      <c r="C55" s="6"/>
      <c r="D55" s="6"/>
      <c r="E55" s="6" t="s">
        <v>155</v>
      </c>
      <c r="F55" s="6" t="s">
        <v>108</v>
      </c>
      <c r="G55" s="7" t="s">
        <v>109</v>
      </c>
      <c r="H55" s="6" t="s">
        <v>110</v>
      </c>
      <c r="I55" s="6" t="s">
        <v>23</v>
      </c>
      <c r="J55" s="6"/>
      <c r="K55" s="6" t="s">
        <v>111</v>
      </c>
      <c r="L55" s="8" t="s">
        <v>24</v>
      </c>
      <c r="M55" s="8" t="s">
        <v>24</v>
      </c>
      <c r="N55" s="9" t="n">
        <v>47160</v>
      </c>
      <c r="O55" s="9" t="n">
        <v>15280</v>
      </c>
      <c r="P55" s="10" t="n">
        <v>31880</v>
      </c>
      <c r="Q55" s="11" t="n">
        <v>45835</v>
      </c>
    </row>
    <row r="56" customFormat="false" ht="19.4" hidden="true" customHeight="false" outlineLevel="0" collapsed="false">
      <c r="A56" s="5" t="n">
        <v>55</v>
      </c>
      <c r="B56" s="6" t="s">
        <v>156</v>
      </c>
      <c r="C56" s="6"/>
      <c r="D56" s="6"/>
      <c r="E56" s="6" t="s">
        <v>157</v>
      </c>
      <c r="F56" s="6" t="s">
        <v>158</v>
      </c>
      <c r="G56" s="7" t="s">
        <v>159</v>
      </c>
      <c r="H56" s="6" t="s">
        <v>160</v>
      </c>
      <c r="I56" s="6" t="s">
        <v>23</v>
      </c>
      <c r="J56" s="6"/>
      <c r="K56" s="6" t="s">
        <v>111</v>
      </c>
      <c r="L56" s="8" t="s">
        <v>24</v>
      </c>
      <c r="M56" s="8" t="s">
        <v>24</v>
      </c>
      <c r="N56" s="9" t="n">
        <v>46500</v>
      </c>
      <c r="O56" s="9" t="n">
        <v>15120</v>
      </c>
      <c r="P56" s="10" t="n">
        <v>31380</v>
      </c>
      <c r="Q56" s="11" t="n">
        <v>45835</v>
      </c>
    </row>
    <row r="57" customFormat="false" ht="19.4" hidden="true" customHeight="false" outlineLevel="0" collapsed="false">
      <c r="A57" s="5" t="n">
        <v>56</v>
      </c>
      <c r="B57" s="6" t="s">
        <v>161</v>
      </c>
      <c r="C57" s="6"/>
      <c r="D57" s="6"/>
      <c r="E57" s="6" t="s">
        <v>162</v>
      </c>
      <c r="F57" s="6" t="s">
        <v>54</v>
      </c>
      <c r="G57" s="7" t="s">
        <v>55</v>
      </c>
      <c r="H57" s="6" t="s">
        <v>56</v>
      </c>
      <c r="I57" s="6" t="s">
        <v>23</v>
      </c>
      <c r="J57" s="6"/>
      <c r="K57" s="6" t="s">
        <v>111</v>
      </c>
      <c r="L57" s="8" t="s">
        <v>24</v>
      </c>
      <c r="M57" s="8" t="s">
        <v>24</v>
      </c>
      <c r="N57" s="9" t="n">
        <v>46820</v>
      </c>
      <c r="O57" s="9" t="n">
        <v>15100</v>
      </c>
      <c r="P57" s="10" t="n">
        <v>31720</v>
      </c>
      <c r="Q57" s="11" t="n">
        <v>45835</v>
      </c>
    </row>
    <row r="58" customFormat="false" ht="19.4" hidden="true" customHeight="false" outlineLevel="0" collapsed="false">
      <c r="A58" s="5" t="n">
        <v>57</v>
      </c>
      <c r="B58" s="6" t="s">
        <v>163</v>
      </c>
      <c r="C58" s="6"/>
      <c r="D58" s="6"/>
      <c r="E58" s="6" t="s">
        <v>164</v>
      </c>
      <c r="F58" s="6" t="s">
        <v>29</v>
      </c>
      <c r="G58" s="7" t="s">
        <v>30</v>
      </c>
      <c r="H58" s="6" t="s">
        <v>31</v>
      </c>
      <c r="I58" s="6" t="s">
        <v>23</v>
      </c>
      <c r="J58" s="6"/>
      <c r="K58" s="6" t="s">
        <v>147</v>
      </c>
      <c r="L58" s="8" t="s">
        <v>24</v>
      </c>
      <c r="M58" s="8" t="s">
        <v>24</v>
      </c>
      <c r="N58" s="9" t="n">
        <v>39000</v>
      </c>
      <c r="O58" s="9" t="n">
        <v>14100</v>
      </c>
      <c r="P58" s="10" t="n">
        <v>24900</v>
      </c>
      <c r="Q58" s="11" t="n">
        <v>45835</v>
      </c>
    </row>
    <row r="59" customFormat="false" ht="19.4" hidden="true" customHeight="false" outlineLevel="0" collapsed="false">
      <c r="A59" s="5" t="n">
        <v>58</v>
      </c>
      <c r="B59" s="6" t="s">
        <v>165</v>
      </c>
      <c r="C59" s="6"/>
      <c r="D59" s="6"/>
      <c r="E59" s="6" t="s">
        <v>166</v>
      </c>
      <c r="F59" s="6" t="s">
        <v>114</v>
      </c>
      <c r="G59" s="7" t="s">
        <v>115</v>
      </c>
      <c r="H59" s="6" t="s">
        <v>116</v>
      </c>
      <c r="I59" s="6" t="s">
        <v>23</v>
      </c>
      <c r="J59" s="6"/>
      <c r="K59" s="6" t="s">
        <v>111</v>
      </c>
      <c r="L59" s="8" t="s">
        <v>24</v>
      </c>
      <c r="M59" s="8" t="s">
        <v>24</v>
      </c>
      <c r="N59" s="9" t="n">
        <v>47620</v>
      </c>
      <c r="O59" s="9" t="n">
        <v>15760</v>
      </c>
      <c r="P59" s="10" t="n">
        <v>31860</v>
      </c>
      <c r="Q59" s="11" t="n">
        <v>45835</v>
      </c>
    </row>
    <row r="60" customFormat="false" ht="28.35" hidden="true" customHeight="false" outlineLevel="0" collapsed="false">
      <c r="A60" s="5" t="n">
        <v>59</v>
      </c>
      <c r="B60" s="6" t="s">
        <v>167</v>
      </c>
      <c r="C60" s="6"/>
      <c r="D60" s="6"/>
      <c r="E60" s="6" t="s">
        <v>168</v>
      </c>
      <c r="F60" s="6" t="s">
        <v>49</v>
      </c>
      <c r="G60" s="7" t="s">
        <v>50</v>
      </c>
      <c r="H60" s="6" t="s">
        <v>51</v>
      </c>
      <c r="I60" s="6" t="s">
        <v>23</v>
      </c>
      <c r="J60" s="6"/>
      <c r="K60" s="6" t="s">
        <v>111</v>
      </c>
      <c r="L60" s="8" t="s">
        <v>24</v>
      </c>
      <c r="M60" s="8" t="s">
        <v>24</v>
      </c>
      <c r="N60" s="9" t="n">
        <v>45900</v>
      </c>
      <c r="O60" s="9" t="n">
        <v>14360</v>
      </c>
      <c r="P60" s="10" t="n">
        <v>31540</v>
      </c>
      <c r="Q60" s="11" t="n">
        <v>45835</v>
      </c>
    </row>
    <row r="61" customFormat="false" ht="19.4" hidden="true" customHeight="false" outlineLevel="0" collapsed="false">
      <c r="A61" s="5" t="n">
        <v>60</v>
      </c>
      <c r="B61" s="6" t="s">
        <v>169</v>
      </c>
      <c r="C61" s="6"/>
      <c r="D61" s="6"/>
      <c r="E61" s="6" t="s">
        <v>170</v>
      </c>
      <c r="F61" s="6" t="s">
        <v>44</v>
      </c>
      <c r="G61" s="7" t="s">
        <v>45</v>
      </c>
      <c r="H61" s="6" t="s">
        <v>46</v>
      </c>
      <c r="I61" s="6" t="s">
        <v>23</v>
      </c>
      <c r="J61" s="6"/>
      <c r="K61" s="6" t="s">
        <v>111</v>
      </c>
      <c r="L61" s="8" t="s">
        <v>24</v>
      </c>
      <c r="M61" s="8" t="s">
        <v>24</v>
      </c>
      <c r="N61" s="9" t="n">
        <v>42960</v>
      </c>
      <c r="O61" s="9" t="n">
        <v>14320</v>
      </c>
      <c r="P61" s="10" t="n">
        <v>28640</v>
      </c>
      <c r="Q61" s="11" t="n">
        <v>45835</v>
      </c>
    </row>
    <row r="62" customFormat="false" ht="28.35" hidden="true" customHeight="false" outlineLevel="0" collapsed="false">
      <c r="A62" s="5" t="n">
        <v>61</v>
      </c>
      <c r="B62" s="6" t="s">
        <v>171</v>
      </c>
      <c r="C62" s="6"/>
      <c r="D62" s="6"/>
      <c r="E62" s="6" t="s">
        <v>172</v>
      </c>
      <c r="F62" s="6" t="s">
        <v>71</v>
      </c>
      <c r="G62" s="7" t="s">
        <v>72</v>
      </c>
      <c r="H62" s="6" t="s">
        <v>73</v>
      </c>
      <c r="I62" s="6" t="s">
        <v>23</v>
      </c>
      <c r="J62" s="6"/>
      <c r="K62" s="6" t="s">
        <v>111</v>
      </c>
      <c r="L62" s="8" t="s">
        <v>24</v>
      </c>
      <c r="M62" s="8" t="s">
        <v>24</v>
      </c>
      <c r="N62" s="9" t="n">
        <v>44280</v>
      </c>
      <c r="O62" s="9" t="n">
        <v>14640</v>
      </c>
      <c r="P62" s="10" t="n">
        <v>29640</v>
      </c>
      <c r="Q62" s="11" t="n">
        <v>45835</v>
      </c>
    </row>
    <row r="63" customFormat="false" ht="19.4" hidden="true" customHeight="false" outlineLevel="0" collapsed="false">
      <c r="A63" s="5" t="n">
        <v>62</v>
      </c>
      <c r="B63" s="6" t="s">
        <v>173</v>
      </c>
      <c r="C63" s="6"/>
      <c r="D63" s="6"/>
      <c r="E63" s="6" t="s">
        <v>174</v>
      </c>
      <c r="F63" s="6" t="s">
        <v>158</v>
      </c>
      <c r="G63" s="7" t="s">
        <v>159</v>
      </c>
      <c r="H63" s="6" t="s">
        <v>160</v>
      </c>
      <c r="I63" s="6" t="s">
        <v>23</v>
      </c>
      <c r="J63" s="6"/>
      <c r="K63" s="6" t="s">
        <v>111</v>
      </c>
      <c r="L63" s="8" t="s">
        <v>24</v>
      </c>
      <c r="M63" s="8" t="s">
        <v>24</v>
      </c>
      <c r="N63" s="9" t="n">
        <v>39180</v>
      </c>
      <c r="O63" s="9" t="n">
        <v>15100</v>
      </c>
      <c r="P63" s="10" t="n">
        <v>24080</v>
      </c>
      <c r="Q63" s="11" t="n">
        <v>45835</v>
      </c>
    </row>
    <row r="64" customFormat="false" ht="19.4" hidden="true" customHeight="false" outlineLevel="0" collapsed="false">
      <c r="A64" s="5" t="n">
        <v>63</v>
      </c>
      <c r="B64" s="6" t="s">
        <v>175</v>
      </c>
      <c r="C64" s="6"/>
      <c r="D64" s="6"/>
      <c r="E64" s="6" t="s">
        <v>176</v>
      </c>
      <c r="F64" s="6" t="s">
        <v>29</v>
      </c>
      <c r="G64" s="7" t="s">
        <v>30</v>
      </c>
      <c r="H64" s="6" t="s">
        <v>31</v>
      </c>
      <c r="I64" s="6" t="s">
        <v>23</v>
      </c>
      <c r="J64" s="6"/>
      <c r="K64" s="6" t="s">
        <v>147</v>
      </c>
      <c r="L64" s="8" t="s">
        <v>24</v>
      </c>
      <c r="M64" s="8" t="s">
        <v>24</v>
      </c>
      <c r="N64" s="9" t="n">
        <v>40300</v>
      </c>
      <c r="O64" s="9" t="n">
        <v>14080</v>
      </c>
      <c r="P64" s="10" t="n">
        <v>26220</v>
      </c>
      <c r="Q64" s="11" t="n">
        <v>45835</v>
      </c>
    </row>
    <row r="65" customFormat="false" ht="30" hidden="true" customHeight="true" outlineLevel="0" collapsed="false">
      <c r="A65" s="5" t="n">
        <v>64</v>
      </c>
      <c r="B65" s="6" t="s">
        <v>177</v>
      </c>
      <c r="C65" s="6"/>
      <c r="D65" s="6"/>
      <c r="E65" s="6" t="s">
        <v>178</v>
      </c>
      <c r="F65" s="6" t="s">
        <v>108</v>
      </c>
      <c r="G65" s="7" t="s">
        <v>109</v>
      </c>
      <c r="H65" s="6" t="s">
        <v>110</v>
      </c>
      <c r="I65" s="6" t="s">
        <v>23</v>
      </c>
      <c r="J65" s="6"/>
      <c r="K65" s="6" t="s">
        <v>179</v>
      </c>
      <c r="L65" s="8" t="s">
        <v>24</v>
      </c>
      <c r="M65" s="8" t="s">
        <v>24</v>
      </c>
      <c r="N65" s="9" t="n">
        <v>46560</v>
      </c>
      <c r="O65" s="9" t="n">
        <v>15260</v>
      </c>
      <c r="P65" s="10" t="n">
        <v>31300</v>
      </c>
      <c r="Q65" s="11" t="n">
        <v>45835</v>
      </c>
    </row>
    <row r="66" customFormat="false" ht="19.4" hidden="true" customHeight="false" outlineLevel="0" collapsed="false">
      <c r="A66" s="5" t="n">
        <v>65</v>
      </c>
      <c r="B66" s="6" t="s">
        <v>180</v>
      </c>
      <c r="C66" s="6"/>
      <c r="D66" s="6"/>
      <c r="E66" s="6" t="s">
        <v>181</v>
      </c>
      <c r="F66" s="6" t="s">
        <v>54</v>
      </c>
      <c r="G66" s="7" t="s">
        <v>55</v>
      </c>
      <c r="H66" s="6" t="s">
        <v>56</v>
      </c>
      <c r="I66" s="6" t="s">
        <v>23</v>
      </c>
      <c r="J66" s="6"/>
      <c r="K66" s="6" t="s">
        <v>179</v>
      </c>
      <c r="L66" s="8" t="s">
        <v>24</v>
      </c>
      <c r="M66" s="8" t="s">
        <v>24</v>
      </c>
      <c r="N66" s="9" t="n">
        <v>46880</v>
      </c>
      <c r="O66" s="9" t="n">
        <v>15100</v>
      </c>
      <c r="P66" s="10" t="n">
        <v>31780</v>
      </c>
      <c r="Q66" s="11" t="n">
        <v>45835</v>
      </c>
    </row>
    <row r="67" customFormat="false" ht="19.4" hidden="true" customHeight="false" outlineLevel="0" collapsed="false">
      <c r="A67" s="5" t="n">
        <v>66</v>
      </c>
      <c r="B67" s="6" t="s">
        <v>182</v>
      </c>
      <c r="C67" s="6"/>
      <c r="D67" s="6"/>
      <c r="E67" s="6" t="s">
        <v>183</v>
      </c>
      <c r="F67" s="6" t="s">
        <v>114</v>
      </c>
      <c r="G67" s="7" t="s">
        <v>115</v>
      </c>
      <c r="H67" s="6" t="s">
        <v>116</v>
      </c>
      <c r="I67" s="6" t="s">
        <v>23</v>
      </c>
      <c r="J67" s="6"/>
      <c r="K67" s="6" t="s">
        <v>179</v>
      </c>
      <c r="L67" s="8" t="s">
        <v>24</v>
      </c>
      <c r="M67" s="8" t="s">
        <v>24</v>
      </c>
      <c r="N67" s="9" t="n">
        <v>47380</v>
      </c>
      <c r="O67" s="9" t="n">
        <v>15720</v>
      </c>
      <c r="P67" s="10" t="n">
        <v>31660</v>
      </c>
      <c r="Q67" s="11" t="n">
        <v>45835</v>
      </c>
    </row>
    <row r="68" customFormat="false" ht="28.35" hidden="true" customHeight="false" outlineLevel="0" collapsed="false">
      <c r="A68" s="5" t="n">
        <v>67</v>
      </c>
      <c r="B68" s="6" t="s">
        <v>184</v>
      </c>
      <c r="C68" s="6"/>
      <c r="D68" s="6"/>
      <c r="E68" s="6" t="s">
        <v>185</v>
      </c>
      <c r="F68" s="6" t="s">
        <v>49</v>
      </c>
      <c r="G68" s="7" t="s">
        <v>50</v>
      </c>
      <c r="H68" s="6" t="s">
        <v>51</v>
      </c>
      <c r="I68" s="6" t="s">
        <v>23</v>
      </c>
      <c r="J68" s="6"/>
      <c r="K68" s="6" t="s">
        <v>179</v>
      </c>
      <c r="L68" s="8" t="s">
        <v>24</v>
      </c>
      <c r="M68" s="8" t="s">
        <v>24</v>
      </c>
      <c r="N68" s="9" t="n">
        <v>45920</v>
      </c>
      <c r="O68" s="9" t="n">
        <v>14460</v>
      </c>
      <c r="P68" s="10" t="n">
        <v>31460</v>
      </c>
      <c r="Q68" s="11" t="n">
        <v>45835</v>
      </c>
    </row>
    <row r="69" customFormat="false" ht="19.4" hidden="true" customHeight="false" outlineLevel="0" collapsed="false">
      <c r="A69" s="5" t="n">
        <v>68</v>
      </c>
      <c r="B69" s="6" t="s">
        <v>186</v>
      </c>
      <c r="C69" s="6"/>
      <c r="D69" s="6"/>
      <c r="E69" s="6" t="s">
        <v>187</v>
      </c>
      <c r="F69" s="6" t="s">
        <v>44</v>
      </c>
      <c r="G69" s="7" t="s">
        <v>45</v>
      </c>
      <c r="H69" s="6" t="s">
        <v>46</v>
      </c>
      <c r="I69" s="6" t="s">
        <v>23</v>
      </c>
      <c r="J69" s="6"/>
      <c r="K69" s="6" t="s">
        <v>179</v>
      </c>
      <c r="L69" s="8" t="s">
        <v>24</v>
      </c>
      <c r="M69" s="8" t="s">
        <v>24</v>
      </c>
      <c r="N69" s="9" t="n">
        <v>38040</v>
      </c>
      <c r="O69" s="9" t="n">
        <v>14320</v>
      </c>
      <c r="P69" s="10" t="n">
        <v>23720</v>
      </c>
      <c r="Q69" s="11" t="n">
        <v>45835</v>
      </c>
    </row>
    <row r="70" customFormat="false" ht="28.35" hidden="true" customHeight="false" outlineLevel="0" collapsed="false">
      <c r="A70" s="5" t="n">
        <v>69</v>
      </c>
      <c r="B70" s="6" t="s">
        <v>188</v>
      </c>
      <c r="C70" s="6"/>
      <c r="D70" s="6"/>
      <c r="E70" s="6" t="s">
        <v>189</v>
      </c>
      <c r="F70" s="6" t="s">
        <v>71</v>
      </c>
      <c r="G70" s="7" t="s">
        <v>72</v>
      </c>
      <c r="H70" s="6" t="s">
        <v>73</v>
      </c>
      <c r="I70" s="6" t="s">
        <v>23</v>
      </c>
      <c r="J70" s="6"/>
      <c r="K70" s="6" t="s">
        <v>179</v>
      </c>
      <c r="L70" s="8" t="s">
        <v>24</v>
      </c>
      <c r="M70" s="8" t="s">
        <v>24</v>
      </c>
      <c r="N70" s="9" t="n">
        <v>45900</v>
      </c>
      <c r="O70" s="9" t="n">
        <v>14640</v>
      </c>
      <c r="P70" s="10" t="n">
        <v>31260</v>
      </c>
      <c r="Q70" s="11" t="n">
        <v>45835</v>
      </c>
    </row>
    <row r="71" customFormat="false" ht="19.4" hidden="true" customHeight="false" outlineLevel="0" collapsed="false">
      <c r="A71" s="5" t="n">
        <v>70</v>
      </c>
      <c r="B71" s="6" t="s">
        <v>190</v>
      </c>
      <c r="C71" s="6"/>
      <c r="D71" s="6"/>
      <c r="E71" s="6" t="s">
        <v>191</v>
      </c>
      <c r="F71" s="6" t="s">
        <v>158</v>
      </c>
      <c r="G71" s="7" t="s">
        <v>159</v>
      </c>
      <c r="H71" s="6" t="s">
        <v>160</v>
      </c>
      <c r="I71" s="6" t="s">
        <v>23</v>
      </c>
      <c r="J71" s="6"/>
      <c r="K71" s="6" t="s">
        <v>179</v>
      </c>
      <c r="L71" s="8" t="s">
        <v>24</v>
      </c>
      <c r="M71" s="8" t="s">
        <v>24</v>
      </c>
      <c r="N71" s="9" t="n">
        <v>46920</v>
      </c>
      <c r="O71" s="9" t="n">
        <v>15080</v>
      </c>
      <c r="P71" s="10" t="n">
        <v>31840</v>
      </c>
      <c r="Q71" s="11" t="n">
        <v>45835</v>
      </c>
    </row>
    <row r="72" customFormat="false" ht="19.4" hidden="true" customHeight="false" outlineLevel="0" collapsed="false">
      <c r="A72" s="5" t="n">
        <v>71</v>
      </c>
      <c r="B72" s="6" t="s">
        <v>192</v>
      </c>
      <c r="C72" s="6"/>
      <c r="D72" s="6"/>
      <c r="E72" s="6" t="s">
        <v>193</v>
      </c>
      <c r="F72" s="6" t="s">
        <v>54</v>
      </c>
      <c r="G72" s="7" t="s">
        <v>55</v>
      </c>
      <c r="H72" s="6" t="s">
        <v>56</v>
      </c>
      <c r="I72" s="6" t="s">
        <v>23</v>
      </c>
      <c r="J72" s="6"/>
      <c r="K72" s="6" t="s">
        <v>179</v>
      </c>
      <c r="L72" s="8" t="s">
        <v>24</v>
      </c>
      <c r="M72" s="8" t="s">
        <v>24</v>
      </c>
      <c r="N72" s="9" t="n">
        <v>46500</v>
      </c>
      <c r="O72" s="9" t="n">
        <v>15080</v>
      </c>
      <c r="P72" s="10" t="n">
        <v>31420</v>
      </c>
      <c r="Q72" s="11" t="n">
        <v>45835</v>
      </c>
    </row>
    <row r="73" customFormat="false" ht="19.4" hidden="true" customHeight="false" outlineLevel="0" collapsed="false">
      <c r="A73" s="5" t="n">
        <v>72</v>
      </c>
      <c r="B73" s="6" t="s">
        <v>194</v>
      </c>
      <c r="C73" s="6"/>
      <c r="D73" s="6"/>
      <c r="E73" s="6" t="s">
        <v>195</v>
      </c>
      <c r="F73" s="6" t="s">
        <v>29</v>
      </c>
      <c r="G73" s="7" t="s">
        <v>30</v>
      </c>
      <c r="H73" s="6" t="s">
        <v>31</v>
      </c>
      <c r="I73" s="6" t="s">
        <v>23</v>
      </c>
      <c r="J73" s="6"/>
      <c r="K73" s="6" t="s">
        <v>179</v>
      </c>
      <c r="L73" s="8" t="s">
        <v>24</v>
      </c>
      <c r="M73" s="8" t="s">
        <v>24</v>
      </c>
      <c r="N73" s="9" t="n">
        <v>42060</v>
      </c>
      <c r="O73" s="9" t="n">
        <v>14180</v>
      </c>
      <c r="P73" s="10" t="n">
        <v>27880</v>
      </c>
      <c r="Q73" s="11" t="n">
        <v>45835</v>
      </c>
    </row>
    <row r="74" customFormat="false" ht="30" hidden="true" customHeight="true" outlineLevel="0" collapsed="false">
      <c r="A74" s="5" t="n">
        <v>73</v>
      </c>
      <c r="B74" s="6" t="s">
        <v>196</v>
      </c>
      <c r="C74" s="6"/>
      <c r="D74" s="6"/>
      <c r="E74" s="6" t="s">
        <v>197</v>
      </c>
      <c r="F74" s="6" t="s">
        <v>108</v>
      </c>
      <c r="G74" s="7" t="s">
        <v>109</v>
      </c>
      <c r="H74" s="6" t="s">
        <v>110</v>
      </c>
      <c r="I74" s="6" t="s">
        <v>23</v>
      </c>
      <c r="J74" s="6"/>
      <c r="K74" s="6" t="s">
        <v>179</v>
      </c>
      <c r="L74" s="8" t="s">
        <v>24</v>
      </c>
      <c r="M74" s="8" t="s">
        <v>24</v>
      </c>
      <c r="N74" s="9" t="n">
        <v>46940</v>
      </c>
      <c r="O74" s="9" t="n">
        <v>15280</v>
      </c>
      <c r="P74" s="10" t="n">
        <v>31660</v>
      </c>
      <c r="Q74" s="11" t="n">
        <v>45835</v>
      </c>
    </row>
    <row r="75" customFormat="false" ht="19.4" hidden="true" customHeight="false" outlineLevel="0" collapsed="false">
      <c r="A75" s="5" t="n">
        <v>74</v>
      </c>
      <c r="B75" s="6" t="s">
        <v>198</v>
      </c>
      <c r="C75" s="6"/>
      <c r="D75" s="6"/>
      <c r="E75" s="6" t="s">
        <v>199</v>
      </c>
      <c r="F75" s="6" t="s">
        <v>114</v>
      </c>
      <c r="G75" s="7" t="s">
        <v>115</v>
      </c>
      <c r="H75" s="6" t="s">
        <v>116</v>
      </c>
      <c r="I75" s="6" t="s">
        <v>23</v>
      </c>
      <c r="J75" s="6"/>
      <c r="K75" s="6" t="s">
        <v>179</v>
      </c>
      <c r="L75" s="8" t="s">
        <v>24</v>
      </c>
      <c r="M75" s="8" t="s">
        <v>24</v>
      </c>
      <c r="N75" s="9" t="n">
        <v>51500</v>
      </c>
      <c r="O75" s="9" t="n">
        <v>15700</v>
      </c>
      <c r="P75" s="10" t="n">
        <v>35800</v>
      </c>
      <c r="Q75" s="11" t="n">
        <v>45835</v>
      </c>
    </row>
    <row r="76" customFormat="false" ht="28.35" hidden="true" customHeight="false" outlineLevel="0" collapsed="false">
      <c r="A76" s="5" t="n">
        <v>75</v>
      </c>
      <c r="B76" s="6" t="s">
        <v>200</v>
      </c>
      <c r="C76" s="6"/>
      <c r="D76" s="6"/>
      <c r="E76" s="6" t="s">
        <v>201</v>
      </c>
      <c r="F76" s="6" t="s">
        <v>49</v>
      </c>
      <c r="G76" s="7" t="s">
        <v>50</v>
      </c>
      <c r="H76" s="6" t="s">
        <v>51</v>
      </c>
      <c r="I76" s="6" t="s">
        <v>23</v>
      </c>
      <c r="J76" s="6"/>
      <c r="K76" s="6" t="s">
        <v>202</v>
      </c>
      <c r="L76" s="8" t="s">
        <v>24</v>
      </c>
      <c r="M76" s="8" t="s">
        <v>24</v>
      </c>
      <c r="N76" s="9" t="n">
        <v>45580</v>
      </c>
      <c r="O76" s="9" t="n">
        <v>14440</v>
      </c>
      <c r="P76" s="10" t="n">
        <v>31140</v>
      </c>
      <c r="Q76" s="11" t="n">
        <v>45835</v>
      </c>
    </row>
    <row r="77" customFormat="false" ht="19.4" hidden="true" customHeight="false" outlineLevel="0" collapsed="false">
      <c r="A77" s="5" t="n">
        <v>76</v>
      </c>
      <c r="B77" s="6" t="s">
        <v>203</v>
      </c>
      <c r="C77" s="6"/>
      <c r="D77" s="6"/>
      <c r="E77" s="6" t="s">
        <v>204</v>
      </c>
      <c r="F77" s="6" t="s">
        <v>158</v>
      </c>
      <c r="G77" s="7" t="s">
        <v>159</v>
      </c>
      <c r="H77" s="6" t="s">
        <v>160</v>
      </c>
      <c r="I77" s="6" t="s">
        <v>23</v>
      </c>
      <c r="J77" s="6"/>
      <c r="K77" s="6" t="s">
        <v>202</v>
      </c>
      <c r="L77" s="8" t="s">
        <v>24</v>
      </c>
      <c r="M77" s="8" t="s">
        <v>24</v>
      </c>
      <c r="N77" s="9" t="n">
        <v>43120</v>
      </c>
      <c r="O77" s="9" t="n">
        <v>15060</v>
      </c>
      <c r="P77" s="10" t="n">
        <v>28060</v>
      </c>
      <c r="Q77" s="11" t="n">
        <v>45835</v>
      </c>
    </row>
    <row r="78" customFormat="false" ht="19.4" hidden="true" customHeight="false" outlineLevel="0" collapsed="false">
      <c r="A78" s="5" t="n">
        <v>77</v>
      </c>
      <c r="B78" s="6" t="s">
        <v>205</v>
      </c>
      <c r="C78" s="6"/>
      <c r="D78" s="6"/>
      <c r="E78" s="6" t="s">
        <v>206</v>
      </c>
      <c r="F78" s="6" t="s">
        <v>114</v>
      </c>
      <c r="G78" s="7" t="s">
        <v>115</v>
      </c>
      <c r="H78" s="6" t="s">
        <v>116</v>
      </c>
      <c r="I78" s="6" t="s">
        <v>23</v>
      </c>
      <c r="J78" s="6"/>
      <c r="K78" s="6" t="s">
        <v>202</v>
      </c>
      <c r="L78" s="8" t="s">
        <v>24</v>
      </c>
      <c r="M78" s="8" t="s">
        <v>24</v>
      </c>
      <c r="N78" s="9" t="n">
        <v>46160</v>
      </c>
      <c r="O78" s="9" t="n">
        <v>15700</v>
      </c>
      <c r="P78" s="10" t="n">
        <v>30460</v>
      </c>
      <c r="Q78" s="11" t="n">
        <v>45835</v>
      </c>
    </row>
    <row r="79" customFormat="false" ht="28.35" hidden="true" customHeight="false" outlineLevel="0" collapsed="false">
      <c r="A79" s="5" t="n">
        <v>78</v>
      </c>
      <c r="B79" s="6" t="s">
        <v>207</v>
      </c>
      <c r="C79" s="6"/>
      <c r="D79" s="6"/>
      <c r="E79" s="6" t="s">
        <v>208</v>
      </c>
      <c r="F79" s="6" t="s">
        <v>71</v>
      </c>
      <c r="G79" s="7" t="s">
        <v>72</v>
      </c>
      <c r="H79" s="6" t="s">
        <v>73</v>
      </c>
      <c r="I79" s="6" t="s">
        <v>23</v>
      </c>
      <c r="J79" s="6"/>
      <c r="K79" s="6" t="s">
        <v>202</v>
      </c>
      <c r="L79" s="8" t="s">
        <v>24</v>
      </c>
      <c r="M79" s="8" t="s">
        <v>24</v>
      </c>
      <c r="N79" s="9" t="n">
        <v>43940</v>
      </c>
      <c r="O79" s="9" t="n">
        <v>14640</v>
      </c>
      <c r="P79" s="10" t="n">
        <v>29300</v>
      </c>
      <c r="Q79" s="11" t="n">
        <v>45835</v>
      </c>
    </row>
    <row r="80" customFormat="false" ht="19.4" hidden="true" customHeight="false" outlineLevel="0" collapsed="false">
      <c r="A80" s="5" t="n">
        <v>79</v>
      </c>
      <c r="B80" s="6" t="s">
        <v>209</v>
      </c>
      <c r="C80" s="6"/>
      <c r="D80" s="6"/>
      <c r="E80" s="6" t="s">
        <v>210</v>
      </c>
      <c r="F80" s="6" t="s">
        <v>54</v>
      </c>
      <c r="G80" s="7" t="s">
        <v>55</v>
      </c>
      <c r="H80" s="6" t="s">
        <v>56</v>
      </c>
      <c r="I80" s="6" t="s">
        <v>23</v>
      </c>
      <c r="J80" s="6"/>
      <c r="K80" s="6" t="s">
        <v>202</v>
      </c>
      <c r="L80" s="8" t="s">
        <v>24</v>
      </c>
      <c r="M80" s="8" t="s">
        <v>24</v>
      </c>
      <c r="N80" s="9" t="n">
        <v>46300</v>
      </c>
      <c r="O80" s="9" t="n">
        <v>15060</v>
      </c>
      <c r="P80" s="10" t="n">
        <v>31240</v>
      </c>
      <c r="Q80" s="11" t="n">
        <v>45835</v>
      </c>
    </row>
    <row r="81" customFormat="false" ht="30" hidden="true" customHeight="true" outlineLevel="0" collapsed="false">
      <c r="A81" s="5" t="n">
        <v>80</v>
      </c>
      <c r="B81" s="6" t="s">
        <v>211</v>
      </c>
      <c r="C81" s="6"/>
      <c r="D81" s="6"/>
      <c r="E81" s="6" t="s">
        <v>212</v>
      </c>
      <c r="F81" s="6" t="s">
        <v>108</v>
      </c>
      <c r="G81" s="7" t="s">
        <v>109</v>
      </c>
      <c r="H81" s="6" t="s">
        <v>110</v>
      </c>
      <c r="I81" s="6" t="s">
        <v>23</v>
      </c>
      <c r="J81" s="6"/>
      <c r="K81" s="6" t="s">
        <v>202</v>
      </c>
      <c r="L81" s="8" t="s">
        <v>24</v>
      </c>
      <c r="M81" s="8" t="s">
        <v>24</v>
      </c>
      <c r="N81" s="9" t="n">
        <v>44800</v>
      </c>
      <c r="O81" s="9" t="n">
        <v>15500</v>
      </c>
      <c r="P81" s="10" t="n">
        <v>29300</v>
      </c>
      <c r="Q81" s="11" t="n">
        <v>45835</v>
      </c>
    </row>
    <row r="82" customFormat="false" ht="28.35" hidden="true" customHeight="false" outlineLevel="0" collapsed="false">
      <c r="A82" s="5" t="n">
        <v>81</v>
      </c>
      <c r="B82" s="6" t="s">
        <v>213</v>
      </c>
      <c r="C82" s="6"/>
      <c r="D82" s="6"/>
      <c r="E82" s="6" t="s">
        <v>214</v>
      </c>
      <c r="F82" s="6" t="s">
        <v>49</v>
      </c>
      <c r="G82" s="7" t="s">
        <v>50</v>
      </c>
      <c r="H82" s="6" t="s">
        <v>51</v>
      </c>
      <c r="I82" s="6" t="s">
        <v>23</v>
      </c>
      <c r="J82" s="6"/>
      <c r="K82" s="6" t="s">
        <v>202</v>
      </c>
      <c r="L82" s="8" t="s">
        <v>24</v>
      </c>
      <c r="M82" s="8" t="s">
        <v>24</v>
      </c>
      <c r="N82" s="9" t="n">
        <v>43380</v>
      </c>
      <c r="O82" s="9" t="n">
        <v>14440</v>
      </c>
      <c r="P82" s="10" t="n">
        <v>28940</v>
      </c>
      <c r="Q82" s="11" t="n">
        <v>45835</v>
      </c>
    </row>
    <row r="83" customFormat="false" ht="19.4" hidden="true" customHeight="false" outlineLevel="0" collapsed="false">
      <c r="A83" s="5" t="n">
        <v>82</v>
      </c>
      <c r="B83" s="6" t="s">
        <v>215</v>
      </c>
      <c r="C83" s="6"/>
      <c r="D83" s="6"/>
      <c r="E83" s="6" t="s">
        <v>216</v>
      </c>
      <c r="F83" s="6" t="s">
        <v>158</v>
      </c>
      <c r="G83" s="7" t="s">
        <v>159</v>
      </c>
      <c r="H83" s="6" t="s">
        <v>160</v>
      </c>
      <c r="I83" s="6" t="s">
        <v>23</v>
      </c>
      <c r="J83" s="6"/>
      <c r="K83" s="6" t="s">
        <v>202</v>
      </c>
      <c r="L83" s="8" t="s">
        <v>24</v>
      </c>
      <c r="M83" s="8" t="s">
        <v>24</v>
      </c>
      <c r="N83" s="9" t="n">
        <v>44620</v>
      </c>
      <c r="O83" s="9" t="n">
        <v>15060</v>
      </c>
      <c r="P83" s="10" t="n">
        <v>29560</v>
      </c>
      <c r="Q83" s="11" t="n">
        <v>45835</v>
      </c>
    </row>
    <row r="84" customFormat="false" ht="28.35" hidden="true" customHeight="false" outlineLevel="0" collapsed="false">
      <c r="A84" s="5" t="n">
        <v>83</v>
      </c>
      <c r="B84" s="6" t="s">
        <v>217</v>
      </c>
      <c r="C84" s="6"/>
      <c r="D84" s="6"/>
      <c r="E84" s="6" t="s">
        <v>218</v>
      </c>
      <c r="F84" s="6" t="s">
        <v>71</v>
      </c>
      <c r="G84" s="7" t="s">
        <v>72</v>
      </c>
      <c r="H84" s="6" t="s">
        <v>73</v>
      </c>
      <c r="I84" s="6" t="s">
        <v>23</v>
      </c>
      <c r="J84" s="6"/>
      <c r="K84" s="6" t="s">
        <v>202</v>
      </c>
      <c r="L84" s="8" t="s">
        <v>24</v>
      </c>
      <c r="M84" s="8" t="s">
        <v>24</v>
      </c>
      <c r="N84" s="9" t="n">
        <v>28680</v>
      </c>
      <c r="O84" s="9" t="n">
        <v>14620</v>
      </c>
      <c r="P84" s="10" t="n">
        <v>14060</v>
      </c>
      <c r="Q84" s="11" t="n">
        <v>45835</v>
      </c>
    </row>
    <row r="85" customFormat="false" ht="19.4" hidden="true" customHeight="false" outlineLevel="0" collapsed="false">
      <c r="A85" s="5" t="n">
        <v>84</v>
      </c>
      <c r="B85" s="6" t="s">
        <v>219</v>
      </c>
      <c r="C85" s="6"/>
      <c r="D85" s="6"/>
      <c r="E85" s="6" t="s">
        <v>220</v>
      </c>
      <c r="F85" s="6" t="s">
        <v>114</v>
      </c>
      <c r="G85" s="7" t="s">
        <v>115</v>
      </c>
      <c r="H85" s="6" t="s">
        <v>116</v>
      </c>
      <c r="I85" s="6" t="s">
        <v>23</v>
      </c>
      <c r="J85" s="6"/>
      <c r="K85" s="6" t="s">
        <v>202</v>
      </c>
      <c r="L85" s="8" t="s">
        <v>24</v>
      </c>
      <c r="M85" s="8" t="s">
        <v>24</v>
      </c>
      <c r="N85" s="9" t="n">
        <v>48160</v>
      </c>
      <c r="O85" s="9" t="n">
        <v>15680</v>
      </c>
      <c r="P85" s="10" t="n">
        <v>32480</v>
      </c>
      <c r="Q85" s="11" t="n">
        <v>45835</v>
      </c>
    </row>
    <row r="86" customFormat="false" ht="28.35" hidden="false" customHeight="false" outlineLevel="0" collapsed="false">
      <c r="A86" s="5" t="n">
        <v>85</v>
      </c>
      <c r="B86" s="6" t="s">
        <v>221</v>
      </c>
      <c r="C86" s="6"/>
      <c r="D86" s="6"/>
      <c r="E86" s="6" t="s">
        <v>222</v>
      </c>
      <c r="F86" s="6" t="s">
        <v>71</v>
      </c>
      <c r="G86" s="7" t="s">
        <v>72</v>
      </c>
      <c r="H86" s="6" t="s">
        <v>73</v>
      </c>
      <c r="I86" s="6" t="s">
        <v>23</v>
      </c>
      <c r="J86" s="6"/>
      <c r="K86" s="6" t="s">
        <v>223</v>
      </c>
      <c r="L86" s="8" t="s">
        <v>24</v>
      </c>
      <c r="M86" s="8" t="s">
        <v>24</v>
      </c>
      <c r="N86" s="9" t="n">
        <v>45480</v>
      </c>
      <c r="O86" s="9" t="n">
        <v>14760</v>
      </c>
      <c r="P86" s="10" t="n">
        <v>30720</v>
      </c>
      <c r="Q86" s="11" t="n">
        <v>45836</v>
      </c>
    </row>
    <row r="87" customFormat="false" ht="19.4" hidden="false" customHeight="false" outlineLevel="0" collapsed="false">
      <c r="A87" s="5" t="n">
        <v>86</v>
      </c>
      <c r="B87" s="6" t="s">
        <v>224</v>
      </c>
      <c r="C87" s="6"/>
      <c r="D87" s="6"/>
      <c r="E87" s="6" t="s">
        <v>225</v>
      </c>
      <c r="F87" s="6" t="s">
        <v>54</v>
      </c>
      <c r="G87" s="7" t="s">
        <v>55</v>
      </c>
      <c r="H87" s="6" t="s">
        <v>56</v>
      </c>
      <c r="I87" s="6" t="s">
        <v>23</v>
      </c>
      <c r="J87" s="6"/>
      <c r="K87" s="6" t="s">
        <v>223</v>
      </c>
      <c r="L87" s="8" t="s">
        <v>24</v>
      </c>
      <c r="M87" s="8" t="s">
        <v>24</v>
      </c>
      <c r="N87" s="9" t="n">
        <v>46020</v>
      </c>
      <c r="O87" s="9" t="n">
        <v>15160</v>
      </c>
      <c r="P87" s="10" t="n">
        <v>30860</v>
      </c>
      <c r="Q87" s="11" t="n">
        <v>45836</v>
      </c>
    </row>
    <row r="88" customFormat="false" ht="19.4" hidden="false" customHeight="false" outlineLevel="0" collapsed="false">
      <c r="A88" s="5" t="n">
        <v>87</v>
      </c>
      <c r="B88" s="6" t="s">
        <v>226</v>
      </c>
      <c r="C88" s="6"/>
      <c r="D88" s="6"/>
      <c r="E88" s="6" t="s">
        <v>227</v>
      </c>
      <c r="F88" s="6" t="s">
        <v>114</v>
      </c>
      <c r="G88" s="7" t="s">
        <v>115</v>
      </c>
      <c r="H88" s="6" t="s">
        <v>116</v>
      </c>
      <c r="I88" s="6" t="s">
        <v>23</v>
      </c>
      <c r="J88" s="6"/>
      <c r="K88" s="6" t="s">
        <v>223</v>
      </c>
      <c r="L88" s="8" t="s">
        <v>24</v>
      </c>
      <c r="M88" s="8" t="s">
        <v>24</v>
      </c>
      <c r="N88" s="9" t="n">
        <v>46500</v>
      </c>
      <c r="O88" s="9" t="n">
        <v>15780</v>
      </c>
      <c r="P88" s="10" t="n">
        <v>30720</v>
      </c>
      <c r="Q88" s="11" t="n">
        <v>45836</v>
      </c>
    </row>
    <row r="89" customFormat="false" ht="28.35" hidden="false" customHeight="false" outlineLevel="0" collapsed="false">
      <c r="A89" s="5" t="n">
        <v>88</v>
      </c>
      <c r="B89" s="6" t="s">
        <v>228</v>
      </c>
      <c r="C89" s="6"/>
      <c r="D89" s="6"/>
      <c r="E89" s="6" t="s">
        <v>229</v>
      </c>
      <c r="F89" s="6" t="s">
        <v>49</v>
      </c>
      <c r="G89" s="7" t="s">
        <v>50</v>
      </c>
      <c r="H89" s="6" t="s">
        <v>51</v>
      </c>
      <c r="I89" s="6" t="s">
        <v>23</v>
      </c>
      <c r="J89" s="6"/>
      <c r="K89" s="6" t="s">
        <v>223</v>
      </c>
      <c r="L89" s="8" t="s">
        <v>24</v>
      </c>
      <c r="M89" s="8" t="s">
        <v>24</v>
      </c>
      <c r="N89" s="9" t="n">
        <v>43680</v>
      </c>
      <c r="O89" s="9" t="n">
        <v>14420</v>
      </c>
      <c r="P89" s="10" t="n">
        <v>29260</v>
      </c>
      <c r="Q89" s="11" t="n">
        <v>45836</v>
      </c>
    </row>
    <row r="90" customFormat="false" ht="19.4" hidden="false" customHeight="false" outlineLevel="0" collapsed="false">
      <c r="A90" s="5" t="n">
        <v>89</v>
      </c>
      <c r="B90" s="6" t="s">
        <v>230</v>
      </c>
      <c r="C90" s="6"/>
      <c r="D90" s="6"/>
      <c r="E90" s="6" t="s">
        <v>231</v>
      </c>
      <c r="F90" s="6" t="s">
        <v>232</v>
      </c>
      <c r="G90" s="7" t="s">
        <v>233</v>
      </c>
      <c r="H90" s="6" t="s">
        <v>234</v>
      </c>
      <c r="I90" s="6" t="s">
        <v>23</v>
      </c>
      <c r="J90" s="6"/>
      <c r="K90" s="6" t="s">
        <v>223</v>
      </c>
      <c r="L90" s="8" t="s">
        <v>24</v>
      </c>
      <c r="M90" s="8" t="s">
        <v>24</v>
      </c>
      <c r="N90" s="9" t="n">
        <v>45600</v>
      </c>
      <c r="O90" s="9" t="n">
        <v>14900</v>
      </c>
      <c r="P90" s="10" t="n">
        <v>30700</v>
      </c>
      <c r="Q90" s="11" t="n">
        <v>45836</v>
      </c>
    </row>
    <row r="91" customFormat="false" ht="19.4" hidden="false" customHeight="false" outlineLevel="0" collapsed="false">
      <c r="A91" s="5" t="n">
        <v>90</v>
      </c>
      <c r="B91" s="6" t="s">
        <v>235</v>
      </c>
      <c r="C91" s="6"/>
      <c r="D91" s="6"/>
      <c r="E91" s="6" t="s">
        <v>236</v>
      </c>
      <c r="F91" s="6" t="s">
        <v>158</v>
      </c>
      <c r="G91" s="7" t="s">
        <v>159</v>
      </c>
      <c r="H91" s="6" t="s">
        <v>160</v>
      </c>
      <c r="I91" s="6" t="s">
        <v>23</v>
      </c>
      <c r="J91" s="6"/>
      <c r="K91" s="6" t="s">
        <v>223</v>
      </c>
      <c r="L91" s="8" t="s">
        <v>24</v>
      </c>
      <c r="M91" s="8" t="s">
        <v>24</v>
      </c>
      <c r="N91" s="9" t="n">
        <v>47000</v>
      </c>
      <c r="O91" s="9" t="n">
        <v>15140</v>
      </c>
      <c r="P91" s="10" t="n">
        <v>31860</v>
      </c>
      <c r="Q91" s="11" t="n">
        <v>45836</v>
      </c>
    </row>
    <row r="92" customFormat="false" ht="30" hidden="false" customHeight="true" outlineLevel="0" collapsed="false">
      <c r="A92" s="5" t="n">
        <v>91</v>
      </c>
      <c r="B92" s="6" t="s">
        <v>237</v>
      </c>
      <c r="C92" s="6"/>
      <c r="D92" s="6"/>
      <c r="E92" s="6" t="s">
        <v>238</v>
      </c>
      <c r="F92" s="6" t="s">
        <v>108</v>
      </c>
      <c r="G92" s="7" t="s">
        <v>109</v>
      </c>
      <c r="H92" s="6" t="s">
        <v>110</v>
      </c>
      <c r="I92" s="6" t="s">
        <v>23</v>
      </c>
      <c r="J92" s="6"/>
      <c r="K92" s="6" t="s">
        <v>223</v>
      </c>
      <c r="L92" s="8" t="s">
        <v>24</v>
      </c>
      <c r="M92" s="8" t="s">
        <v>24</v>
      </c>
      <c r="N92" s="9" t="n">
        <v>46260</v>
      </c>
      <c r="O92" s="9" t="n">
        <v>15440</v>
      </c>
      <c r="P92" s="10" t="n">
        <v>30820</v>
      </c>
      <c r="Q92" s="11" t="n">
        <v>45836</v>
      </c>
    </row>
    <row r="93" customFormat="false" ht="19.4" hidden="false" customHeight="false" outlineLevel="0" collapsed="false">
      <c r="A93" s="5" t="n">
        <v>92</v>
      </c>
      <c r="B93" s="6" t="s">
        <v>239</v>
      </c>
      <c r="C93" s="6"/>
      <c r="D93" s="6"/>
      <c r="E93" s="6" t="s">
        <v>240</v>
      </c>
      <c r="F93" s="6" t="s">
        <v>241</v>
      </c>
      <c r="G93" s="7" t="s">
        <v>242</v>
      </c>
      <c r="H93" s="6" t="s">
        <v>243</v>
      </c>
      <c r="I93" s="6" t="s">
        <v>23</v>
      </c>
      <c r="J93" s="6"/>
      <c r="K93" s="6" t="s">
        <v>223</v>
      </c>
      <c r="L93" s="8" t="s">
        <v>24</v>
      </c>
      <c r="M93" s="8" t="s">
        <v>24</v>
      </c>
      <c r="N93" s="9" t="n">
        <v>47940</v>
      </c>
      <c r="O93" s="9" t="n">
        <v>15580</v>
      </c>
      <c r="P93" s="10" t="n">
        <v>32360</v>
      </c>
      <c r="Q93" s="11" t="n">
        <v>45836</v>
      </c>
    </row>
    <row r="94" customFormat="false" ht="28.35" hidden="false" customHeight="false" outlineLevel="0" collapsed="false">
      <c r="A94" s="5" t="n">
        <v>93</v>
      </c>
      <c r="B94" s="6" t="s">
        <v>244</v>
      </c>
      <c r="C94" s="6"/>
      <c r="D94" s="6"/>
      <c r="E94" s="6" t="s">
        <v>245</v>
      </c>
      <c r="F94" s="6" t="s">
        <v>71</v>
      </c>
      <c r="G94" s="7" t="s">
        <v>72</v>
      </c>
      <c r="H94" s="6" t="s">
        <v>73</v>
      </c>
      <c r="I94" s="6" t="s">
        <v>23</v>
      </c>
      <c r="J94" s="6"/>
      <c r="K94" s="6" t="s">
        <v>223</v>
      </c>
      <c r="L94" s="8" t="s">
        <v>24</v>
      </c>
      <c r="M94" s="8" t="s">
        <v>24</v>
      </c>
      <c r="N94" s="9" t="n">
        <v>45480</v>
      </c>
      <c r="O94" s="9" t="n">
        <v>14740</v>
      </c>
      <c r="P94" s="10" t="n">
        <v>30740</v>
      </c>
      <c r="Q94" s="11" t="n">
        <v>45836</v>
      </c>
    </row>
    <row r="95" customFormat="false" ht="19.4" hidden="false" customHeight="false" outlineLevel="0" collapsed="false">
      <c r="A95" s="5" t="n">
        <v>94</v>
      </c>
      <c r="B95" s="6" t="s">
        <v>246</v>
      </c>
      <c r="C95" s="6"/>
      <c r="D95" s="6"/>
      <c r="E95" s="6" t="s">
        <v>247</v>
      </c>
      <c r="F95" s="6" t="s">
        <v>54</v>
      </c>
      <c r="G95" s="7" t="s">
        <v>55</v>
      </c>
      <c r="H95" s="6" t="s">
        <v>56</v>
      </c>
      <c r="I95" s="6" t="s">
        <v>23</v>
      </c>
      <c r="J95" s="6"/>
      <c r="K95" s="6" t="s">
        <v>223</v>
      </c>
      <c r="L95" s="8" t="s">
        <v>24</v>
      </c>
      <c r="M95" s="8" t="s">
        <v>24</v>
      </c>
      <c r="N95" s="9" t="n">
        <v>44740</v>
      </c>
      <c r="O95" s="9" t="n">
        <v>15140</v>
      </c>
      <c r="P95" s="10" t="n">
        <v>29600</v>
      </c>
      <c r="Q95" s="11" t="n">
        <v>45836</v>
      </c>
    </row>
    <row r="96" customFormat="false" ht="19.4" hidden="false" customHeight="false" outlineLevel="0" collapsed="false">
      <c r="A96" s="5" t="n">
        <v>95</v>
      </c>
      <c r="B96" s="6" t="s">
        <v>248</v>
      </c>
      <c r="C96" s="6"/>
      <c r="D96" s="6"/>
      <c r="E96" s="6" t="s">
        <v>249</v>
      </c>
      <c r="F96" s="6" t="s">
        <v>250</v>
      </c>
      <c r="G96" s="7" t="s">
        <v>251</v>
      </c>
      <c r="H96" s="6" t="s">
        <v>252</v>
      </c>
      <c r="I96" s="6" t="s">
        <v>23</v>
      </c>
      <c r="J96" s="6"/>
      <c r="K96" s="6"/>
      <c r="L96" s="8" t="s">
        <v>24</v>
      </c>
      <c r="M96" s="8" t="s">
        <v>24</v>
      </c>
      <c r="N96" s="9" t="n">
        <v>47700</v>
      </c>
      <c r="O96" s="9" t="n">
        <v>15680</v>
      </c>
      <c r="P96" s="10" t="n">
        <v>32020</v>
      </c>
      <c r="Q96" s="11" t="n">
        <v>45836</v>
      </c>
    </row>
    <row r="97" customFormat="false" ht="19.4" hidden="false" customHeight="false" outlineLevel="0" collapsed="false">
      <c r="A97" s="5" t="n">
        <v>96</v>
      </c>
      <c r="B97" s="6" t="s">
        <v>253</v>
      </c>
      <c r="C97" s="6"/>
      <c r="D97" s="6"/>
      <c r="E97" s="6" t="s">
        <v>254</v>
      </c>
      <c r="F97" s="6" t="s">
        <v>114</v>
      </c>
      <c r="G97" s="7" t="s">
        <v>115</v>
      </c>
      <c r="H97" s="6" t="s">
        <v>116</v>
      </c>
      <c r="I97" s="6" t="s">
        <v>23</v>
      </c>
      <c r="J97" s="6"/>
      <c r="K97" s="6" t="s">
        <v>255</v>
      </c>
      <c r="L97" s="8" t="s">
        <v>24</v>
      </c>
      <c r="M97" s="8" t="s">
        <v>24</v>
      </c>
      <c r="N97" s="9" t="n">
        <v>42720</v>
      </c>
      <c r="O97" s="9" t="n">
        <v>15780</v>
      </c>
      <c r="P97" s="10" t="n">
        <v>26940</v>
      </c>
      <c r="Q97" s="11" t="n">
        <v>45836</v>
      </c>
    </row>
    <row r="98" customFormat="false" ht="19.4" hidden="false" customHeight="false" outlineLevel="0" collapsed="false">
      <c r="A98" s="5" t="n">
        <v>97</v>
      </c>
      <c r="B98" s="6" t="s">
        <v>256</v>
      </c>
      <c r="C98" s="6"/>
      <c r="D98" s="6"/>
      <c r="E98" s="6" t="s">
        <v>257</v>
      </c>
      <c r="F98" s="6" t="s">
        <v>241</v>
      </c>
      <c r="G98" s="7" t="s">
        <v>242</v>
      </c>
      <c r="H98" s="6" t="s">
        <v>243</v>
      </c>
      <c r="I98" s="6" t="s">
        <v>23</v>
      </c>
      <c r="J98" s="6"/>
      <c r="K98" s="6" t="s">
        <v>255</v>
      </c>
      <c r="L98" s="8" t="s">
        <v>24</v>
      </c>
      <c r="M98" s="8" t="s">
        <v>24</v>
      </c>
      <c r="N98" s="9" t="n">
        <v>44960</v>
      </c>
      <c r="O98" s="9" t="n">
        <v>15580</v>
      </c>
      <c r="P98" s="10" t="n">
        <v>29380</v>
      </c>
      <c r="Q98" s="11" t="n">
        <v>45836</v>
      </c>
    </row>
    <row r="99" customFormat="false" ht="19.4" hidden="false" customHeight="false" outlineLevel="0" collapsed="false">
      <c r="A99" s="5" t="n">
        <v>98</v>
      </c>
      <c r="B99" s="6" t="s">
        <v>258</v>
      </c>
      <c r="C99" s="6"/>
      <c r="D99" s="6"/>
      <c r="E99" s="6" t="s">
        <v>259</v>
      </c>
      <c r="F99" s="6" t="s">
        <v>232</v>
      </c>
      <c r="G99" s="7" t="s">
        <v>233</v>
      </c>
      <c r="H99" s="6" t="s">
        <v>234</v>
      </c>
      <c r="I99" s="6" t="s">
        <v>23</v>
      </c>
      <c r="J99" s="6"/>
      <c r="K99" s="6" t="s">
        <v>260</v>
      </c>
      <c r="L99" s="8" t="s">
        <v>24</v>
      </c>
      <c r="M99" s="8" t="s">
        <v>24</v>
      </c>
      <c r="N99" s="9" t="n">
        <v>45960</v>
      </c>
      <c r="O99" s="9" t="n">
        <v>15000</v>
      </c>
      <c r="P99" s="10" t="n">
        <v>30960</v>
      </c>
      <c r="Q99" s="11" t="n">
        <v>45836</v>
      </c>
    </row>
    <row r="100" customFormat="false" ht="28.35" hidden="false" customHeight="false" outlineLevel="0" collapsed="false">
      <c r="A100" s="5" t="n">
        <v>99</v>
      </c>
      <c r="B100" s="6" t="s">
        <v>261</v>
      </c>
      <c r="C100" s="6"/>
      <c r="D100" s="6"/>
      <c r="E100" s="6" t="s">
        <v>262</v>
      </c>
      <c r="F100" s="6" t="s">
        <v>49</v>
      </c>
      <c r="G100" s="7" t="s">
        <v>50</v>
      </c>
      <c r="H100" s="6" t="s">
        <v>51</v>
      </c>
      <c r="I100" s="6" t="s">
        <v>23</v>
      </c>
      <c r="J100" s="6"/>
      <c r="K100" s="6" t="s">
        <v>260</v>
      </c>
      <c r="L100" s="8" t="s">
        <v>24</v>
      </c>
      <c r="M100" s="8" t="s">
        <v>24</v>
      </c>
      <c r="N100" s="9" t="n">
        <v>45180</v>
      </c>
      <c r="O100" s="9" t="n">
        <v>14380</v>
      </c>
      <c r="P100" s="10" t="n">
        <v>30800</v>
      </c>
      <c r="Q100" s="11" t="n">
        <v>45836</v>
      </c>
    </row>
    <row r="101" customFormat="false" ht="19.4" hidden="false" customHeight="false" outlineLevel="0" collapsed="false">
      <c r="A101" s="5" t="n">
        <v>100</v>
      </c>
      <c r="B101" s="6" t="s">
        <v>263</v>
      </c>
      <c r="C101" s="6"/>
      <c r="D101" s="6"/>
      <c r="E101" s="6" t="s">
        <v>264</v>
      </c>
      <c r="F101" s="6" t="s">
        <v>158</v>
      </c>
      <c r="G101" s="7" t="s">
        <v>159</v>
      </c>
      <c r="H101" s="6" t="s">
        <v>160</v>
      </c>
      <c r="I101" s="6" t="s">
        <v>23</v>
      </c>
      <c r="J101" s="6"/>
      <c r="K101" s="6" t="s">
        <v>260</v>
      </c>
      <c r="L101" s="8" t="s">
        <v>24</v>
      </c>
      <c r="M101" s="8" t="s">
        <v>24</v>
      </c>
      <c r="N101" s="9" t="n">
        <v>46000</v>
      </c>
      <c r="O101" s="9" t="n">
        <v>15120</v>
      </c>
      <c r="P101" s="10" t="n">
        <v>30880</v>
      </c>
      <c r="Q101" s="11" t="n">
        <v>45836</v>
      </c>
    </row>
    <row r="102" customFormat="false" ht="30" hidden="false" customHeight="true" outlineLevel="0" collapsed="false">
      <c r="A102" s="5" t="n">
        <v>101</v>
      </c>
      <c r="B102" s="6" t="s">
        <v>265</v>
      </c>
      <c r="C102" s="6"/>
      <c r="D102" s="6"/>
      <c r="E102" s="6" t="s">
        <v>266</v>
      </c>
      <c r="F102" s="6" t="s">
        <v>108</v>
      </c>
      <c r="G102" s="7" t="s">
        <v>109</v>
      </c>
      <c r="H102" s="6" t="s">
        <v>110</v>
      </c>
      <c r="I102" s="6" t="s">
        <v>23</v>
      </c>
      <c r="J102" s="6"/>
      <c r="K102" s="6" t="s">
        <v>260</v>
      </c>
      <c r="L102" s="8" t="s">
        <v>24</v>
      </c>
      <c r="M102" s="8" t="s">
        <v>24</v>
      </c>
      <c r="N102" s="9" t="n">
        <v>46180</v>
      </c>
      <c r="O102" s="9" t="n">
        <v>15420</v>
      </c>
      <c r="P102" s="10" t="n">
        <v>30760</v>
      </c>
      <c r="Q102" s="11" t="n">
        <v>45836</v>
      </c>
    </row>
    <row r="103" customFormat="false" ht="28.35" hidden="false" customHeight="false" outlineLevel="0" collapsed="false">
      <c r="A103" s="5" t="n">
        <v>102</v>
      </c>
      <c r="B103" s="6" t="s">
        <v>267</v>
      </c>
      <c r="C103" s="6"/>
      <c r="D103" s="6"/>
      <c r="E103" s="6" t="s">
        <v>268</v>
      </c>
      <c r="F103" s="6" t="s">
        <v>71</v>
      </c>
      <c r="G103" s="7" t="s">
        <v>72</v>
      </c>
      <c r="H103" s="6" t="s">
        <v>73</v>
      </c>
      <c r="I103" s="6" t="s">
        <v>23</v>
      </c>
      <c r="J103" s="6"/>
      <c r="K103" s="6" t="s">
        <v>260</v>
      </c>
      <c r="L103" s="8" t="s">
        <v>24</v>
      </c>
      <c r="M103" s="8" t="s">
        <v>24</v>
      </c>
      <c r="N103" s="9" t="n">
        <v>45460</v>
      </c>
      <c r="O103" s="9" t="n">
        <v>14720</v>
      </c>
      <c r="P103" s="10" t="n">
        <v>30740</v>
      </c>
      <c r="Q103" s="11" t="n">
        <v>45836</v>
      </c>
    </row>
    <row r="104" customFormat="false" ht="19.4" hidden="false" customHeight="false" outlineLevel="0" collapsed="false">
      <c r="A104" s="5" t="n">
        <v>103</v>
      </c>
      <c r="B104" s="6" t="s">
        <v>269</v>
      </c>
      <c r="C104" s="6"/>
      <c r="D104" s="6"/>
      <c r="E104" s="6" t="s">
        <v>270</v>
      </c>
      <c r="F104" s="6" t="s">
        <v>54</v>
      </c>
      <c r="G104" s="7" t="s">
        <v>55</v>
      </c>
      <c r="H104" s="6" t="s">
        <v>56</v>
      </c>
      <c r="I104" s="6" t="s">
        <v>23</v>
      </c>
      <c r="J104" s="6"/>
      <c r="K104" s="6" t="s">
        <v>260</v>
      </c>
      <c r="L104" s="8" t="s">
        <v>24</v>
      </c>
      <c r="M104" s="8" t="s">
        <v>24</v>
      </c>
      <c r="N104" s="9" t="n">
        <v>47080</v>
      </c>
      <c r="O104" s="9" t="n">
        <v>15140</v>
      </c>
      <c r="P104" s="10" t="n">
        <v>31940</v>
      </c>
      <c r="Q104" s="11" t="n">
        <v>45836</v>
      </c>
    </row>
    <row r="105" customFormat="false" ht="19.4" hidden="false" customHeight="false" outlineLevel="0" collapsed="false">
      <c r="A105" s="5" t="n">
        <v>104</v>
      </c>
      <c r="B105" s="6" t="s">
        <v>271</v>
      </c>
      <c r="C105" s="6"/>
      <c r="D105" s="6"/>
      <c r="E105" s="6" t="s">
        <v>272</v>
      </c>
      <c r="F105" s="6" t="s">
        <v>250</v>
      </c>
      <c r="G105" s="7" t="s">
        <v>251</v>
      </c>
      <c r="H105" s="6" t="s">
        <v>252</v>
      </c>
      <c r="I105" s="6" t="s">
        <v>23</v>
      </c>
      <c r="J105" s="6"/>
      <c r="K105" s="6" t="s">
        <v>260</v>
      </c>
      <c r="L105" s="8" t="s">
        <v>24</v>
      </c>
      <c r="M105" s="8" t="s">
        <v>24</v>
      </c>
      <c r="N105" s="9" t="n">
        <v>45020</v>
      </c>
      <c r="O105" s="9" t="n">
        <v>15660</v>
      </c>
      <c r="P105" s="10" t="n">
        <v>29360</v>
      </c>
      <c r="Q105" s="11" t="n">
        <v>45836</v>
      </c>
    </row>
    <row r="106" customFormat="false" ht="19.4" hidden="false" customHeight="false" outlineLevel="0" collapsed="false">
      <c r="A106" s="5" t="n">
        <v>105</v>
      </c>
      <c r="B106" s="6" t="s">
        <v>273</v>
      </c>
      <c r="C106" s="6"/>
      <c r="D106" s="6"/>
      <c r="E106" s="6" t="s">
        <v>274</v>
      </c>
      <c r="F106" s="6" t="s">
        <v>114</v>
      </c>
      <c r="G106" s="7" t="s">
        <v>115</v>
      </c>
      <c r="H106" s="6" t="s">
        <v>116</v>
      </c>
      <c r="I106" s="6" t="s">
        <v>23</v>
      </c>
      <c r="J106" s="6"/>
      <c r="K106" s="6" t="s">
        <v>260</v>
      </c>
      <c r="L106" s="8" t="s">
        <v>24</v>
      </c>
      <c r="M106" s="8" t="s">
        <v>24</v>
      </c>
      <c r="N106" s="9" t="n">
        <v>49320</v>
      </c>
      <c r="O106" s="9" t="n">
        <v>15760</v>
      </c>
      <c r="P106" s="10" t="n">
        <v>33560</v>
      </c>
      <c r="Q106" s="11" t="n">
        <v>45836</v>
      </c>
    </row>
    <row r="107" customFormat="false" ht="19.4" hidden="false" customHeight="false" outlineLevel="0" collapsed="false">
      <c r="A107" s="5" t="n">
        <v>106</v>
      </c>
      <c r="B107" s="6" t="s">
        <v>275</v>
      </c>
      <c r="C107" s="6"/>
      <c r="D107" s="6"/>
      <c r="E107" s="6" t="s">
        <v>276</v>
      </c>
      <c r="F107" s="6" t="s">
        <v>241</v>
      </c>
      <c r="G107" s="7" t="s">
        <v>242</v>
      </c>
      <c r="H107" s="6" t="s">
        <v>243</v>
      </c>
      <c r="I107" s="6" t="s">
        <v>23</v>
      </c>
      <c r="J107" s="6"/>
      <c r="K107" s="6" t="s">
        <v>260</v>
      </c>
      <c r="L107" s="8" t="s">
        <v>24</v>
      </c>
      <c r="M107" s="8" t="s">
        <v>24</v>
      </c>
      <c r="N107" s="9" t="n">
        <v>46020</v>
      </c>
      <c r="O107" s="9" t="n">
        <v>15540</v>
      </c>
      <c r="P107" s="10" t="n">
        <v>30480</v>
      </c>
      <c r="Q107" s="11" t="n">
        <v>45836</v>
      </c>
    </row>
    <row r="108" customFormat="false" ht="28.35" hidden="false" customHeight="false" outlineLevel="0" collapsed="false">
      <c r="A108" s="5" t="n">
        <v>107</v>
      </c>
      <c r="B108" s="6" t="s">
        <v>277</v>
      </c>
      <c r="C108" s="6"/>
      <c r="D108" s="6"/>
      <c r="E108" s="6" t="s">
        <v>278</v>
      </c>
      <c r="F108" s="6" t="s">
        <v>49</v>
      </c>
      <c r="G108" s="7" t="s">
        <v>50</v>
      </c>
      <c r="H108" s="6" t="s">
        <v>51</v>
      </c>
      <c r="I108" s="6" t="s">
        <v>23</v>
      </c>
      <c r="J108" s="6"/>
      <c r="K108" s="6" t="s">
        <v>279</v>
      </c>
      <c r="L108" s="8" t="s">
        <v>24</v>
      </c>
      <c r="M108" s="8" t="s">
        <v>24</v>
      </c>
      <c r="N108" s="9" t="n">
        <v>46260</v>
      </c>
      <c r="O108" s="9" t="n">
        <v>14380</v>
      </c>
      <c r="P108" s="10" t="n">
        <v>31880</v>
      </c>
      <c r="Q108" s="11" t="n">
        <v>45836</v>
      </c>
    </row>
    <row r="109" customFormat="false" ht="19.4" hidden="false" customHeight="false" outlineLevel="0" collapsed="false">
      <c r="A109" s="5" t="n">
        <v>108</v>
      </c>
      <c r="B109" s="6" t="s">
        <v>280</v>
      </c>
      <c r="C109" s="6"/>
      <c r="D109" s="6"/>
      <c r="E109" s="6" t="s">
        <v>281</v>
      </c>
      <c r="F109" s="6" t="s">
        <v>158</v>
      </c>
      <c r="G109" s="7" t="s">
        <v>159</v>
      </c>
      <c r="H109" s="6" t="s">
        <v>160</v>
      </c>
      <c r="I109" s="6" t="s">
        <v>23</v>
      </c>
      <c r="J109" s="6"/>
      <c r="K109" s="6" t="s">
        <v>279</v>
      </c>
      <c r="L109" s="8" t="s">
        <v>24</v>
      </c>
      <c r="M109" s="8" t="s">
        <v>24</v>
      </c>
      <c r="N109" s="9" t="n">
        <v>45600</v>
      </c>
      <c r="O109" s="9" t="n">
        <v>15120</v>
      </c>
      <c r="P109" s="10" t="n">
        <v>30480</v>
      </c>
      <c r="Q109" s="11" t="n">
        <v>45836</v>
      </c>
    </row>
    <row r="110" customFormat="false" ht="19.4" hidden="false" customHeight="false" outlineLevel="0" collapsed="false">
      <c r="A110" s="5" t="n">
        <v>109</v>
      </c>
      <c r="B110" s="6" t="s">
        <v>282</v>
      </c>
      <c r="C110" s="6"/>
      <c r="D110" s="6"/>
      <c r="E110" s="6" t="s">
        <v>283</v>
      </c>
      <c r="F110" s="6" t="s">
        <v>54</v>
      </c>
      <c r="G110" s="7" t="s">
        <v>55</v>
      </c>
      <c r="H110" s="6" t="s">
        <v>56</v>
      </c>
      <c r="I110" s="6" t="s">
        <v>23</v>
      </c>
      <c r="J110" s="6"/>
      <c r="K110" s="6" t="s">
        <v>279</v>
      </c>
      <c r="L110" s="8" t="s">
        <v>24</v>
      </c>
      <c r="M110" s="8" t="s">
        <v>24</v>
      </c>
      <c r="N110" s="9" t="n">
        <v>44860</v>
      </c>
      <c r="O110" s="9" t="n">
        <v>15140</v>
      </c>
      <c r="P110" s="10" t="n">
        <v>29720</v>
      </c>
      <c r="Q110" s="11" t="n">
        <v>45836</v>
      </c>
    </row>
    <row r="111" customFormat="false" ht="30" hidden="false" customHeight="true" outlineLevel="0" collapsed="false">
      <c r="A111" s="5" t="n">
        <v>110</v>
      </c>
      <c r="B111" s="6" t="s">
        <v>284</v>
      </c>
      <c r="C111" s="6"/>
      <c r="D111" s="6"/>
      <c r="E111" s="6" t="s">
        <v>285</v>
      </c>
      <c r="F111" s="6" t="s">
        <v>108</v>
      </c>
      <c r="G111" s="7" t="s">
        <v>109</v>
      </c>
      <c r="H111" s="6" t="s">
        <v>110</v>
      </c>
      <c r="I111" s="6" t="s">
        <v>23</v>
      </c>
      <c r="J111" s="6"/>
      <c r="K111" s="6" t="s">
        <v>279</v>
      </c>
      <c r="L111" s="8" t="s">
        <v>24</v>
      </c>
      <c r="M111" s="8" t="s">
        <v>24</v>
      </c>
      <c r="N111" s="9" t="n">
        <v>46040</v>
      </c>
      <c r="O111" s="9" t="n">
        <v>15400</v>
      </c>
      <c r="P111" s="10" t="n">
        <v>30640</v>
      </c>
      <c r="Q111" s="11" t="n">
        <v>45836</v>
      </c>
    </row>
    <row r="112" customFormat="false" ht="19.4" hidden="false" customHeight="false" outlineLevel="0" collapsed="false">
      <c r="A112" s="5" t="n">
        <v>111</v>
      </c>
      <c r="B112" s="6" t="s">
        <v>286</v>
      </c>
      <c r="C112" s="6"/>
      <c r="D112" s="6"/>
      <c r="E112" s="6" t="s">
        <v>287</v>
      </c>
      <c r="F112" s="6" t="s">
        <v>232</v>
      </c>
      <c r="G112" s="7" t="s">
        <v>233</v>
      </c>
      <c r="H112" s="6" t="s">
        <v>234</v>
      </c>
      <c r="I112" s="6" t="s">
        <v>23</v>
      </c>
      <c r="J112" s="6"/>
      <c r="K112" s="6" t="s">
        <v>279</v>
      </c>
      <c r="L112" s="8" t="s">
        <v>24</v>
      </c>
      <c r="M112" s="8" t="s">
        <v>24</v>
      </c>
      <c r="N112" s="9" t="n">
        <v>45520</v>
      </c>
      <c r="O112" s="9" t="n">
        <v>14860</v>
      </c>
      <c r="P112" s="10" t="n">
        <v>30660</v>
      </c>
      <c r="Q112" s="11" t="n">
        <v>45836</v>
      </c>
    </row>
    <row r="113" customFormat="false" ht="28.35" hidden="false" customHeight="false" outlineLevel="0" collapsed="false">
      <c r="A113" s="5" t="n">
        <v>112</v>
      </c>
      <c r="B113" s="6" t="s">
        <v>288</v>
      </c>
      <c r="C113" s="6"/>
      <c r="D113" s="6"/>
      <c r="E113" s="6" t="s">
        <v>289</v>
      </c>
      <c r="F113" s="6" t="s">
        <v>71</v>
      </c>
      <c r="G113" s="7" t="s">
        <v>72</v>
      </c>
      <c r="H113" s="6" t="s">
        <v>73</v>
      </c>
      <c r="I113" s="6" t="s">
        <v>23</v>
      </c>
      <c r="J113" s="6"/>
      <c r="K113" s="6" t="s">
        <v>279</v>
      </c>
      <c r="L113" s="8" t="s">
        <v>24</v>
      </c>
      <c r="M113" s="8" t="s">
        <v>24</v>
      </c>
      <c r="N113" s="9" t="n">
        <v>38120</v>
      </c>
      <c r="O113" s="9" t="n">
        <v>14720</v>
      </c>
      <c r="P113" s="10" t="n">
        <v>23400</v>
      </c>
      <c r="Q113" s="11" t="n">
        <v>45836</v>
      </c>
    </row>
    <row r="114" customFormat="false" ht="19.4" hidden="false" customHeight="false" outlineLevel="0" collapsed="false">
      <c r="A114" s="5" t="n">
        <v>113</v>
      </c>
      <c r="B114" s="6" t="s">
        <v>290</v>
      </c>
      <c r="C114" s="6"/>
      <c r="D114" s="6"/>
      <c r="E114" s="6" t="s">
        <v>291</v>
      </c>
      <c r="F114" s="6" t="s">
        <v>250</v>
      </c>
      <c r="G114" s="7" t="s">
        <v>251</v>
      </c>
      <c r="H114" s="6" t="s">
        <v>252</v>
      </c>
      <c r="I114" s="6" t="s">
        <v>23</v>
      </c>
      <c r="J114" s="6"/>
      <c r="K114" s="6" t="s">
        <v>279</v>
      </c>
      <c r="L114" s="8" t="s">
        <v>24</v>
      </c>
      <c r="M114" s="8" t="s">
        <v>24</v>
      </c>
      <c r="N114" s="9" t="n">
        <v>45980</v>
      </c>
      <c r="O114" s="9" t="n">
        <v>15640</v>
      </c>
      <c r="P114" s="10" t="n">
        <v>30340</v>
      </c>
      <c r="Q114" s="11" t="n">
        <v>45836</v>
      </c>
    </row>
    <row r="115" customFormat="false" ht="19.4" hidden="false" customHeight="false" outlineLevel="0" collapsed="false">
      <c r="A115" s="5" t="n">
        <v>114</v>
      </c>
      <c r="B115" s="6" t="s">
        <v>292</v>
      </c>
      <c r="C115" s="6"/>
      <c r="D115" s="6"/>
      <c r="E115" s="6" t="s">
        <v>293</v>
      </c>
      <c r="F115" s="6" t="s">
        <v>114</v>
      </c>
      <c r="G115" s="7" t="s">
        <v>115</v>
      </c>
      <c r="H115" s="6" t="s">
        <v>116</v>
      </c>
      <c r="I115" s="6" t="s">
        <v>23</v>
      </c>
      <c r="J115" s="6"/>
      <c r="K115" s="6" t="s">
        <v>279</v>
      </c>
      <c r="L115" s="8" t="s">
        <v>24</v>
      </c>
      <c r="M115" s="8" t="s">
        <v>24</v>
      </c>
      <c r="N115" s="9" t="n">
        <v>46200</v>
      </c>
      <c r="O115" s="9" t="n">
        <v>15740</v>
      </c>
      <c r="P115" s="10" t="n">
        <v>30460</v>
      </c>
      <c r="Q115" s="11" t="n">
        <v>45836</v>
      </c>
    </row>
    <row r="116" customFormat="false" ht="19.4" hidden="false" customHeight="false" outlineLevel="0" collapsed="false">
      <c r="A116" s="5" t="n">
        <v>115</v>
      </c>
      <c r="B116" s="6" t="s">
        <v>294</v>
      </c>
      <c r="C116" s="6"/>
      <c r="D116" s="6"/>
      <c r="E116" s="6" t="s">
        <v>295</v>
      </c>
      <c r="F116" s="6" t="s">
        <v>241</v>
      </c>
      <c r="G116" s="7" t="s">
        <v>242</v>
      </c>
      <c r="H116" s="6" t="s">
        <v>243</v>
      </c>
      <c r="I116" s="6" t="s">
        <v>23</v>
      </c>
      <c r="J116" s="6"/>
      <c r="K116" s="6" t="s">
        <v>279</v>
      </c>
      <c r="L116" s="8" t="s">
        <v>24</v>
      </c>
      <c r="M116" s="8" t="s">
        <v>24</v>
      </c>
      <c r="N116" s="9" t="n">
        <v>46820</v>
      </c>
      <c r="O116" s="9" t="n">
        <v>15520</v>
      </c>
      <c r="P116" s="10" t="n">
        <v>31300</v>
      </c>
      <c r="Q116" s="11" t="n">
        <v>45836</v>
      </c>
    </row>
    <row r="117" customFormat="false" ht="28.35" hidden="false" customHeight="false" outlineLevel="0" collapsed="false">
      <c r="A117" s="5" t="n">
        <v>116</v>
      </c>
      <c r="B117" s="6" t="s">
        <v>296</v>
      </c>
      <c r="C117" s="6"/>
      <c r="D117" s="6"/>
      <c r="E117" s="6" t="s">
        <v>297</v>
      </c>
      <c r="F117" s="6" t="s">
        <v>49</v>
      </c>
      <c r="G117" s="7" t="s">
        <v>50</v>
      </c>
      <c r="H117" s="6" t="s">
        <v>51</v>
      </c>
      <c r="I117" s="6" t="s">
        <v>23</v>
      </c>
      <c r="J117" s="6"/>
      <c r="K117" s="6" t="s">
        <v>279</v>
      </c>
      <c r="L117" s="8" t="s">
        <v>24</v>
      </c>
      <c r="M117" s="8" t="s">
        <v>24</v>
      </c>
      <c r="N117" s="9" t="n">
        <v>42560</v>
      </c>
      <c r="O117" s="9" t="n">
        <v>14360</v>
      </c>
      <c r="P117" s="10" t="n">
        <v>28200</v>
      </c>
      <c r="Q117" s="11" t="n">
        <v>45836</v>
      </c>
    </row>
    <row r="118" customFormat="false" ht="19.4" hidden="false" customHeight="false" outlineLevel="0" collapsed="false">
      <c r="A118" s="5" t="n">
        <v>117</v>
      </c>
      <c r="B118" s="6" t="s">
        <v>298</v>
      </c>
      <c r="C118" s="6"/>
      <c r="D118" s="6"/>
      <c r="E118" s="6" t="s">
        <v>299</v>
      </c>
      <c r="F118" s="6" t="s">
        <v>232</v>
      </c>
      <c r="G118" s="7" t="s">
        <v>233</v>
      </c>
      <c r="H118" s="6" t="s">
        <v>234</v>
      </c>
      <c r="I118" s="6" t="s">
        <v>23</v>
      </c>
      <c r="J118" s="6"/>
      <c r="K118" s="6" t="s">
        <v>279</v>
      </c>
      <c r="L118" s="8" t="s">
        <v>24</v>
      </c>
      <c r="M118" s="8" t="s">
        <v>24</v>
      </c>
      <c r="N118" s="9" t="n">
        <v>45020</v>
      </c>
      <c r="O118" s="9" t="n">
        <v>14820</v>
      </c>
      <c r="P118" s="10" t="n">
        <v>30200</v>
      </c>
      <c r="Q118" s="11" t="n">
        <v>45836</v>
      </c>
    </row>
    <row r="119" customFormat="false" ht="19.4" hidden="false" customHeight="false" outlineLevel="0" collapsed="false">
      <c r="A119" s="5" t="n">
        <v>118</v>
      </c>
      <c r="B119" s="6" t="s">
        <v>300</v>
      </c>
      <c r="C119" s="6"/>
      <c r="D119" s="6"/>
      <c r="E119" s="6" t="s">
        <v>301</v>
      </c>
      <c r="F119" s="6" t="s">
        <v>158</v>
      </c>
      <c r="G119" s="7" t="s">
        <v>159</v>
      </c>
      <c r="H119" s="6" t="s">
        <v>160</v>
      </c>
      <c r="I119" s="6" t="s">
        <v>23</v>
      </c>
      <c r="J119" s="6"/>
      <c r="K119" s="6" t="s">
        <v>302</v>
      </c>
      <c r="L119" s="8" t="s">
        <v>24</v>
      </c>
      <c r="M119" s="8" t="s">
        <v>24</v>
      </c>
      <c r="N119" s="9" t="n">
        <v>47240</v>
      </c>
      <c r="O119" s="9" t="n">
        <v>15100</v>
      </c>
      <c r="P119" s="10" t="n">
        <v>32140</v>
      </c>
      <c r="Q119" s="11" t="n">
        <v>45836</v>
      </c>
    </row>
    <row r="120" customFormat="false" ht="30" hidden="false" customHeight="true" outlineLevel="0" collapsed="false">
      <c r="A120" s="5" t="n">
        <v>119</v>
      </c>
      <c r="B120" s="6" t="s">
        <v>303</v>
      </c>
      <c r="C120" s="6"/>
      <c r="D120" s="6"/>
      <c r="E120" s="6" t="s">
        <v>304</v>
      </c>
      <c r="F120" s="6" t="s">
        <v>108</v>
      </c>
      <c r="G120" s="7" t="s">
        <v>109</v>
      </c>
      <c r="H120" s="6" t="s">
        <v>110</v>
      </c>
      <c r="I120" s="6" t="s">
        <v>23</v>
      </c>
      <c r="J120" s="6"/>
      <c r="K120" s="6" t="s">
        <v>302</v>
      </c>
      <c r="L120" s="8" t="s">
        <v>24</v>
      </c>
      <c r="M120" s="8" t="s">
        <v>24</v>
      </c>
      <c r="N120" s="9" t="n">
        <v>42440</v>
      </c>
      <c r="O120" s="9" t="n">
        <v>15400</v>
      </c>
      <c r="P120" s="10" t="n">
        <v>27040</v>
      </c>
      <c r="Q120" s="11" t="n">
        <v>45836</v>
      </c>
    </row>
    <row r="121" customFormat="false" ht="28.35" hidden="false" customHeight="false" outlineLevel="0" collapsed="false">
      <c r="A121" s="5" t="n">
        <v>120</v>
      </c>
      <c r="B121" s="6" t="s">
        <v>305</v>
      </c>
      <c r="C121" s="6"/>
      <c r="D121" s="6"/>
      <c r="E121" s="6" t="s">
        <v>306</v>
      </c>
      <c r="F121" s="6" t="s">
        <v>71</v>
      </c>
      <c r="G121" s="7" t="s">
        <v>72</v>
      </c>
      <c r="H121" s="6" t="s">
        <v>73</v>
      </c>
      <c r="I121" s="6" t="s">
        <v>23</v>
      </c>
      <c r="J121" s="6"/>
      <c r="K121" s="6" t="s">
        <v>302</v>
      </c>
      <c r="L121" s="8" t="s">
        <v>24</v>
      </c>
      <c r="M121" s="8" t="s">
        <v>24</v>
      </c>
      <c r="N121" s="9" t="n">
        <v>42960</v>
      </c>
      <c r="O121" s="9" t="n">
        <v>14700</v>
      </c>
      <c r="P121" s="10" t="n">
        <v>28260</v>
      </c>
      <c r="Q121" s="11" t="n">
        <v>45836</v>
      </c>
    </row>
    <row r="122" customFormat="false" ht="19.4" hidden="false" customHeight="false" outlineLevel="0" collapsed="false">
      <c r="A122" s="5" t="n">
        <v>121</v>
      </c>
      <c r="B122" s="6" t="s">
        <v>307</v>
      </c>
      <c r="C122" s="6"/>
      <c r="D122" s="6"/>
      <c r="E122" s="6" t="s">
        <v>308</v>
      </c>
      <c r="F122" s="6" t="s">
        <v>250</v>
      </c>
      <c r="G122" s="7" t="s">
        <v>251</v>
      </c>
      <c r="H122" s="6" t="s">
        <v>252</v>
      </c>
      <c r="I122" s="6" t="s">
        <v>23</v>
      </c>
      <c r="J122" s="6"/>
      <c r="K122" s="6" t="s">
        <v>302</v>
      </c>
      <c r="L122" s="8" t="s">
        <v>24</v>
      </c>
      <c r="M122" s="8" t="s">
        <v>24</v>
      </c>
      <c r="N122" s="9" t="n">
        <v>43340</v>
      </c>
      <c r="O122" s="9" t="n">
        <v>15640</v>
      </c>
      <c r="P122" s="10" t="n">
        <v>27700</v>
      </c>
      <c r="Q122" s="11" t="n">
        <v>45836</v>
      </c>
    </row>
    <row r="123" customFormat="false" ht="19.4" hidden="false" customHeight="false" outlineLevel="0" collapsed="false">
      <c r="A123" s="5" t="n">
        <v>122</v>
      </c>
      <c r="B123" s="6" t="s">
        <v>309</v>
      </c>
      <c r="C123" s="6"/>
      <c r="D123" s="6"/>
      <c r="E123" s="6" t="s">
        <v>310</v>
      </c>
      <c r="F123" s="6" t="s">
        <v>114</v>
      </c>
      <c r="G123" s="7" t="s">
        <v>115</v>
      </c>
      <c r="H123" s="6" t="s">
        <v>116</v>
      </c>
      <c r="I123" s="6" t="s">
        <v>23</v>
      </c>
      <c r="J123" s="6"/>
      <c r="K123" s="6" t="s">
        <v>311</v>
      </c>
      <c r="L123" s="8" t="s">
        <v>24</v>
      </c>
      <c r="M123" s="8" t="s">
        <v>24</v>
      </c>
      <c r="N123" s="9" t="n">
        <v>43040</v>
      </c>
      <c r="O123" s="9" t="n">
        <v>15760</v>
      </c>
      <c r="P123" s="10" t="n">
        <v>27280</v>
      </c>
      <c r="Q123" s="11" t="n">
        <v>45836</v>
      </c>
    </row>
    <row r="124" customFormat="false" ht="19.4" hidden="false" customHeight="false" outlineLevel="0" collapsed="false">
      <c r="A124" s="5" t="n">
        <v>123</v>
      </c>
      <c r="B124" s="6" t="s">
        <v>312</v>
      </c>
      <c r="C124" s="6"/>
      <c r="D124" s="6"/>
      <c r="E124" s="6" t="s">
        <v>313</v>
      </c>
      <c r="F124" s="6" t="s">
        <v>241</v>
      </c>
      <c r="G124" s="7" t="s">
        <v>242</v>
      </c>
      <c r="H124" s="6" t="s">
        <v>243</v>
      </c>
      <c r="I124" s="6" t="s">
        <v>23</v>
      </c>
      <c r="J124" s="6"/>
      <c r="K124" s="6" t="s">
        <v>302</v>
      </c>
      <c r="L124" s="8" t="s">
        <v>24</v>
      </c>
      <c r="M124" s="8" t="s">
        <v>24</v>
      </c>
      <c r="N124" s="9" t="n">
        <v>43500</v>
      </c>
      <c r="O124" s="9" t="n">
        <v>15520</v>
      </c>
      <c r="P124" s="10" t="n">
        <v>27980</v>
      </c>
      <c r="Q124" s="11" t="n">
        <v>45836</v>
      </c>
    </row>
    <row r="125" customFormat="false" ht="28.35" hidden="false" customHeight="false" outlineLevel="0" collapsed="false">
      <c r="A125" s="5" t="n">
        <v>124</v>
      </c>
      <c r="B125" s="6" t="s">
        <v>314</v>
      </c>
      <c r="C125" s="6"/>
      <c r="D125" s="6"/>
      <c r="E125" s="6" t="s">
        <v>315</v>
      </c>
      <c r="F125" s="6" t="s">
        <v>49</v>
      </c>
      <c r="G125" s="7" t="s">
        <v>316</v>
      </c>
      <c r="H125" s="6" t="s">
        <v>51</v>
      </c>
      <c r="I125" s="6" t="s">
        <v>23</v>
      </c>
      <c r="J125" s="6"/>
      <c r="K125" s="6" t="s">
        <v>311</v>
      </c>
      <c r="L125" s="8" t="s">
        <v>24</v>
      </c>
      <c r="M125" s="8" t="s">
        <v>24</v>
      </c>
      <c r="N125" s="9" t="n">
        <v>41560</v>
      </c>
      <c r="O125" s="9" t="n">
        <v>14360</v>
      </c>
      <c r="P125" s="10" t="n">
        <v>27200</v>
      </c>
      <c r="Q125" s="11" t="n">
        <v>45836</v>
      </c>
    </row>
    <row r="126" customFormat="false" ht="30" hidden="false" customHeight="true" outlineLevel="0" collapsed="false">
      <c r="A126" s="5" t="n">
        <v>125</v>
      </c>
      <c r="B126" s="6" t="s">
        <v>317</v>
      </c>
      <c r="C126" s="6"/>
      <c r="D126" s="6"/>
      <c r="E126" s="6" t="s">
        <v>318</v>
      </c>
      <c r="F126" s="6" t="s">
        <v>108</v>
      </c>
      <c r="G126" s="7" t="s">
        <v>109</v>
      </c>
      <c r="H126" s="6" t="s">
        <v>110</v>
      </c>
      <c r="I126" s="6" t="s">
        <v>23</v>
      </c>
      <c r="J126" s="6"/>
      <c r="K126" s="6" t="s">
        <v>311</v>
      </c>
      <c r="L126" s="8" t="s">
        <v>24</v>
      </c>
      <c r="M126" s="8" t="s">
        <v>24</v>
      </c>
      <c r="N126" s="9" t="n">
        <v>35540</v>
      </c>
      <c r="O126" s="9" t="n">
        <v>15400</v>
      </c>
      <c r="P126" s="10" t="n">
        <v>20140</v>
      </c>
      <c r="Q126" s="11" t="n">
        <v>45836</v>
      </c>
    </row>
    <row r="127" customFormat="false" ht="19.4" hidden="false" customHeight="false" outlineLevel="0" collapsed="false">
      <c r="A127" s="5" t="n">
        <v>126</v>
      </c>
      <c r="B127" s="6" t="s">
        <v>319</v>
      </c>
      <c r="C127" s="6"/>
      <c r="D127" s="6"/>
      <c r="E127" s="6" t="s">
        <v>320</v>
      </c>
      <c r="F127" s="6" t="s">
        <v>158</v>
      </c>
      <c r="G127" s="7" t="s">
        <v>159</v>
      </c>
      <c r="H127" s="6" t="s">
        <v>160</v>
      </c>
      <c r="I127" s="6" t="s">
        <v>23</v>
      </c>
      <c r="J127" s="6"/>
      <c r="K127" s="6" t="s">
        <v>311</v>
      </c>
      <c r="L127" s="8" t="s">
        <v>24</v>
      </c>
      <c r="M127" s="8" t="s">
        <v>24</v>
      </c>
      <c r="N127" s="9" t="n">
        <v>40480</v>
      </c>
      <c r="O127" s="9" t="n">
        <v>15080</v>
      </c>
      <c r="P127" s="10" t="n">
        <v>25400</v>
      </c>
      <c r="Q127" s="11" t="n">
        <v>45836</v>
      </c>
    </row>
    <row r="128" customFormat="false" ht="19.4" hidden="false" customHeight="false" outlineLevel="0" collapsed="false">
      <c r="A128" s="5" t="n">
        <v>127</v>
      </c>
      <c r="B128" s="6" t="s">
        <v>321</v>
      </c>
      <c r="C128" s="6"/>
      <c r="D128" s="6"/>
      <c r="E128" s="6" t="s">
        <v>322</v>
      </c>
      <c r="F128" s="6" t="s">
        <v>232</v>
      </c>
      <c r="G128" s="7" t="s">
        <v>233</v>
      </c>
      <c r="H128" s="6" t="s">
        <v>234</v>
      </c>
      <c r="I128" s="6" t="s">
        <v>23</v>
      </c>
      <c r="J128" s="6"/>
      <c r="K128" s="6" t="s">
        <v>311</v>
      </c>
      <c r="L128" s="8" t="s">
        <v>24</v>
      </c>
      <c r="M128" s="8" t="s">
        <v>24</v>
      </c>
      <c r="N128" s="9" t="n">
        <v>39560</v>
      </c>
      <c r="O128" s="9" t="n">
        <v>14840</v>
      </c>
      <c r="P128" s="10" t="n">
        <v>24720</v>
      </c>
      <c r="Q128" s="11" t="n">
        <v>45836</v>
      </c>
    </row>
    <row r="129" customFormat="false" ht="19.4" hidden="true" customHeight="false" outlineLevel="0" collapsed="false">
      <c r="A129" s="5" t="n">
        <v>128</v>
      </c>
      <c r="B129" s="6" t="s">
        <v>323</v>
      </c>
      <c r="C129" s="6"/>
      <c r="D129" s="6"/>
      <c r="E129" s="6" t="s">
        <v>324</v>
      </c>
      <c r="F129" s="6" t="s">
        <v>36</v>
      </c>
      <c r="G129" s="7" t="s">
        <v>37</v>
      </c>
      <c r="H129" s="6" t="s">
        <v>22</v>
      </c>
      <c r="I129" s="6" t="s">
        <v>23</v>
      </c>
      <c r="J129" s="6"/>
      <c r="K129" s="6" t="s">
        <v>311</v>
      </c>
      <c r="L129" s="8" t="s">
        <v>24</v>
      </c>
      <c r="M129" s="8" t="s">
        <v>24</v>
      </c>
      <c r="N129" s="9" t="n">
        <v>7380</v>
      </c>
      <c r="O129" s="9" t="n">
        <v>4580</v>
      </c>
      <c r="P129" s="10" t="n">
        <v>2800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B2:Z2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39" activeCellId="0" sqref="H39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12" width="2.56"/>
    <col collapsed="false" customWidth="true" hidden="false" outlineLevel="0" max="2" min="2" style="12" width="36.33"/>
    <col collapsed="false" customWidth="true" hidden="false" outlineLevel="0" max="6" min="3" style="12" width="13.56"/>
    <col collapsed="false" customWidth="true" hidden="false" outlineLevel="0" max="8" min="7" style="12" width="12.88"/>
    <col collapsed="false" customWidth="true" hidden="false" outlineLevel="0" max="10" min="9" style="12" width="13.44"/>
    <col collapsed="false" customWidth="false" hidden="false" outlineLevel="0" max="11" min="11" style="12" width="9.11"/>
    <col collapsed="false" customWidth="true" hidden="false" outlineLevel="0" max="12" min="12" style="12" width="1.67"/>
    <col collapsed="false" customWidth="true" hidden="false" outlineLevel="0" max="13" min="13" style="12" width="13.44"/>
    <col collapsed="false" customWidth="true" hidden="false" outlineLevel="0" max="15" min="14" style="12" width="12.11"/>
    <col collapsed="false" customWidth="true" hidden="false" outlineLevel="0" max="16" min="16" style="12" width="16.56"/>
    <col collapsed="false" customWidth="true" hidden="false" outlineLevel="0" max="18" min="17" style="12" width="14.88"/>
    <col collapsed="false" customWidth="true" hidden="false" outlineLevel="0" max="21" min="19" style="12" width="12.11"/>
    <col collapsed="false" customWidth="false" hidden="false" outlineLevel="0" max="16384" min="22" style="12" width="9.11"/>
  </cols>
  <sheetData>
    <row r="2" customFormat="false" ht="27.75" hidden="false" customHeight="true" outlineLevel="0" collapsed="false">
      <c r="B2" s="13" t="s">
        <v>325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  <c r="T2" s="14"/>
      <c r="U2" s="14"/>
      <c r="V2" s="14"/>
      <c r="W2" s="14"/>
      <c r="X2" s="14"/>
      <c r="Y2" s="14"/>
      <c r="Z2" s="14"/>
    </row>
    <row r="3" customFormat="false" ht="17.25" hidden="false" customHeight="false" outlineLevel="0" collapsed="false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5" s="16" customFormat="tru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8" t="s">
        <v>332</v>
      </c>
      <c r="I5" s="19" t="s">
        <v>333</v>
      </c>
      <c r="J5" s="20"/>
      <c r="M5" s="21" t="s">
        <v>334</v>
      </c>
      <c r="N5" s="21" t="s">
        <v>335</v>
      </c>
      <c r="O5" s="21" t="s">
        <v>336</v>
      </c>
      <c r="P5" s="21" t="s">
        <v>337</v>
      </c>
      <c r="Q5" s="22" t="s">
        <v>338</v>
      </c>
      <c r="R5" s="21" t="s">
        <v>339</v>
      </c>
      <c r="S5" s="21" t="s">
        <v>340</v>
      </c>
      <c r="T5" s="21" t="s">
        <v>341</v>
      </c>
      <c r="U5" s="21" t="s">
        <v>342</v>
      </c>
    </row>
    <row r="6" customFormat="false" ht="13.5" hidden="false" customHeight="false" outlineLevel="0" collapsed="false">
      <c r="B6" s="23" t="s">
        <v>343</v>
      </c>
      <c r="C6" s="24"/>
      <c r="D6" s="25" t="n">
        <v>44450</v>
      </c>
      <c r="E6" s="25" t="n">
        <v>44811</v>
      </c>
      <c r="F6" s="25" t="n">
        <v>45182</v>
      </c>
      <c r="G6" s="25" t="n">
        <v>45531</v>
      </c>
      <c r="H6" s="25" t="n">
        <v>45894</v>
      </c>
      <c r="I6" s="26"/>
      <c r="J6" s="26"/>
      <c r="M6" s="27"/>
      <c r="N6" s="28"/>
      <c r="O6" s="29"/>
      <c r="P6" s="30"/>
      <c r="Q6" s="31" t="n">
        <f aca="false">IFERROR(P6/100/O6,0)</f>
        <v>0</v>
      </c>
      <c r="R6" s="32"/>
      <c r="S6" s="32"/>
      <c r="T6" s="32"/>
      <c r="U6" s="32"/>
    </row>
    <row r="7" customFormat="false" ht="13.5" hidden="false" customHeight="false" outlineLevel="0" collapsed="false">
      <c r="B7" s="23" t="s">
        <v>344</v>
      </c>
      <c r="C7" s="24"/>
      <c r="D7" s="25" t="n">
        <v>44472</v>
      </c>
      <c r="E7" s="25" t="n">
        <v>44825</v>
      </c>
      <c r="F7" s="25" t="n">
        <v>45196</v>
      </c>
      <c r="G7" s="25" t="n">
        <v>45545</v>
      </c>
      <c r="H7" s="25" t="n">
        <v>45901</v>
      </c>
      <c r="I7" s="26"/>
      <c r="J7" s="26"/>
      <c r="K7" s="33"/>
      <c r="M7" s="27"/>
      <c r="N7" s="28"/>
      <c r="O7" s="29"/>
      <c r="P7" s="30"/>
      <c r="Q7" s="31" t="n">
        <f aca="false">IFERROR(P7/100/O7,0)</f>
        <v>0</v>
      </c>
      <c r="R7" s="32"/>
      <c r="S7" s="32"/>
      <c r="T7" s="32"/>
      <c r="U7" s="32"/>
    </row>
    <row r="8" customFormat="false" ht="13.5" hidden="false" customHeight="false" outlineLevel="0" collapsed="false">
      <c r="B8" s="23" t="s">
        <v>345</v>
      </c>
      <c r="C8" s="34"/>
      <c r="D8" s="34" t="n">
        <v>23</v>
      </c>
      <c r="E8" s="34" t="n">
        <v>15</v>
      </c>
      <c r="F8" s="34" t="n">
        <v>15</v>
      </c>
      <c r="G8" s="34" t="n">
        <v>15</v>
      </c>
      <c r="H8" s="34" t="n">
        <v>8</v>
      </c>
      <c r="I8" s="35" t="str">
        <f aca="false">IF(I7=0,"-",I7-I6+1)</f>
        <v>-</v>
      </c>
      <c r="J8" s="35"/>
      <c r="M8" s="27"/>
      <c r="N8" s="28"/>
      <c r="O8" s="29"/>
      <c r="P8" s="30"/>
      <c r="Q8" s="31" t="n">
        <f aca="false">IFERROR(P8/100/O8,0)</f>
        <v>0</v>
      </c>
      <c r="R8" s="32"/>
      <c r="S8" s="32"/>
      <c r="T8" s="32"/>
      <c r="U8" s="32"/>
    </row>
    <row r="9" customFormat="false" ht="13.5" hidden="false" customHeight="false" outlineLevel="0" collapsed="false">
      <c r="B9" s="23" t="s">
        <v>346</v>
      </c>
      <c r="C9" s="34"/>
      <c r="D9" s="34" t="n">
        <v>13</v>
      </c>
      <c r="E9" s="34" t="n">
        <v>13</v>
      </c>
      <c r="F9" s="34" t="n">
        <v>14</v>
      </c>
      <c r="G9" s="34" t="n">
        <v>12</v>
      </c>
      <c r="H9" s="34" t="n">
        <v>6</v>
      </c>
      <c r="I9" s="35" t="n">
        <v>6</v>
      </c>
      <c r="J9" s="35"/>
      <c r="M9" s="27"/>
      <c r="N9" s="28"/>
      <c r="O9" s="29"/>
      <c r="P9" s="30"/>
      <c r="Q9" s="31" t="n">
        <f aca="false">IFERROR(P9/100/O9,0)</f>
        <v>0</v>
      </c>
      <c r="R9" s="32"/>
      <c r="S9" s="32"/>
      <c r="T9" s="32"/>
      <c r="U9" s="32"/>
    </row>
    <row r="10" customFormat="false" ht="13.5" hidden="false" customHeight="false" outlineLevel="0" collapsed="false">
      <c r="B10" s="23" t="s">
        <v>347</v>
      </c>
      <c r="C10" s="36"/>
      <c r="D10" s="36" t="s">
        <v>348</v>
      </c>
      <c r="E10" s="36" t="s">
        <v>348</v>
      </c>
      <c r="F10" s="36" t="s">
        <v>349</v>
      </c>
      <c r="G10" s="36" t="s">
        <v>350</v>
      </c>
      <c r="H10" s="36" t="s">
        <v>351</v>
      </c>
      <c r="I10" s="37" t="s">
        <v>352</v>
      </c>
      <c r="J10" s="37"/>
      <c r="M10" s="27"/>
      <c r="N10" s="28"/>
      <c r="O10" s="29"/>
      <c r="P10" s="30"/>
      <c r="Q10" s="31" t="n">
        <f aca="false">IFERROR(P10/100/O10,0)</f>
        <v>0</v>
      </c>
      <c r="R10" s="32"/>
      <c r="S10" s="32"/>
      <c r="T10" s="32"/>
      <c r="U10" s="32"/>
    </row>
    <row r="11" customFormat="false" ht="13.5" hidden="false" customHeight="false" outlineLevel="0" collapsed="false">
      <c r="B11" s="23" t="s">
        <v>337</v>
      </c>
      <c r="C11" s="38"/>
      <c r="D11" s="39" t="n">
        <v>2652.86</v>
      </c>
      <c r="E11" s="39" t="n">
        <v>2415.94</v>
      </c>
      <c r="F11" s="39" t="n">
        <v>2783</v>
      </c>
      <c r="G11" s="39" t="n">
        <v>1772.96</v>
      </c>
      <c r="H11" s="39" t="n">
        <v>298.28</v>
      </c>
      <c r="I11" s="40" t="n">
        <f aca="false">P12/1000</f>
        <v>0</v>
      </c>
      <c r="J11" s="40"/>
      <c r="M11" s="27"/>
      <c r="N11" s="28"/>
      <c r="O11" s="29"/>
      <c r="P11" s="30"/>
      <c r="Q11" s="31" t="n">
        <f aca="false">IFERROR(P11/100/O11,0)</f>
        <v>0</v>
      </c>
      <c r="R11" s="32"/>
      <c r="S11" s="32"/>
      <c r="T11" s="32"/>
      <c r="U11" s="32"/>
    </row>
    <row r="12" customFormat="false" ht="13.5" hidden="false" customHeight="false" outlineLevel="0" collapsed="false">
      <c r="B12" s="23" t="s">
        <v>353</v>
      </c>
      <c r="C12" s="41"/>
      <c r="D12" s="41" t="n">
        <v>798</v>
      </c>
      <c r="E12" s="41" t="n">
        <v>904</v>
      </c>
      <c r="F12" s="41" t="n">
        <v>965</v>
      </c>
      <c r="G12" s="41" t="n">
        <v>1063</v>
      </c>
      <c r="H12" s="41" t="n">
        <v>410</v>
      </c>
      <c r="I12" s="42" t="n">
        <v>910</v>
      </c>
      <c r="J12" s="42"/>
      <c r="M12" s="21" t="s">
        <v>354</v>
      </c>
      <c r="N12" s="21" t="n">
        <f aca="false">SUM(N6:N11)</f>
        <v>0</v>
      </c>
      <c r="O12" s="43" t="n">
        <f aca="false">SUM(O6:O11)</f>
        <v>0</v>
      </c>
      <c r="P12" s="44" t="n">
        <f aca="false">SUM(P6:P11)</f>
        <v>0</v>
      </c>
      <c r="Q12" s="45" t="n">
        <f aca="false">IFERROR(P12/100/O12,0)</f>
        <v>0</v>
      </c>
      <c r="R12" s="46" t="n">
        <f aca="false">IFERROR(AVERAGE(R6:R11),)</f>
        <v>0</v>
      </c>
      <c r="S12" s="46" t="n">
        <f aca="false">IFERROR(AVERAGE(S6:S11),)</f>
        <v>0</v>
      </c>
      <c r="T12" s="46" t="n">
        <f aca="false">IFERROR(AVERAGE(T6:T11),)</f>
        <v>0</v>
      </c>
      <c r="U12" s="46" t="n">
        <f aca="false">IFERROR(AVERAGE(U6:U11),)</f>
        <v>0</v>
      </c>
    </row>
    <row r="13" customFormat="false" ht="13.5" hidden="false" customHeight="false" outlineLevel="0" collapsed="false">
      <c r="B13" s="23" t="s">
        <v>336</v>
      </c>
      <c r="C13" s="41"/>
      <c r="D13" s="41" t="n">
        <v>798</v>
      </c>
      <c r="E13" s="41" t="n">
        <v>904</v>
      </c>
      <c r="F13" s="41" t="n">
        <v>956</v>
      </c>
      <c r="G13" s="41" t="n">
        <v>1063</v>
      </c>
      <c r="H13" s="41" t="n">
        <v>410</v>
      </c>
      <c r="I13" s="42" t="n">
        <f aca="false">O12</f>
        <v>0</v>
      </c>
      <c r="J13" s="42"/>
    </row>
    <row r="14" customFormat="false" ht="13.5" hidden="false" customHeight="false" outlineLevel="0" collapsed="false">
      <c r="B14" s="23" t="s">
        <v>355</v>
      </c>
      <c r="C14" s="47"/>
      <c r="D14" s="47" t="n">
        <v>33.2438596491228</v>
      </c>
      <c r="E14" s="47" t="n">
        <v>26.725</v>
      </c>
      <c r="F14" s="47" t="n">
        <v>29.1108786610879</v>
      </c>
      <c r="G14" s="47" t="n">
        <v>16.6788334901223</v>
      </c>
      <c r="H14" s="47" t="n">
        <v>7.27512195121951</v>
      </c>
      <c r="I14" s="48" t="n">
        <f aca="false">IFERROR(I11*10/I13,)</f>
        <v>0</v>
      </c>
      <c r="J14" s="48"/>
    </row>
    <row r="15" customFormat="false" ht="18" hidden="false" customHeight="true" outlineLevel="0" collapsed="false">
      <c r="B15" s="23" t="s">
        <v>356</v>
      </c>
      <c r="C15" s="49"/>
      <c r="D15" s="49" t="n">
        <v>27.3</v>
      </c>
      <c r="E15" s="49" t="n">
        <v>25.4</v>
      </c>
      <c r="F15" s="49" t="n">
        <v>28.8</v>
      </c>
      <c r="G15" s="49" t="n">
        <v>19.9</v>
      </c>
      <c r="H15" s="49" t="n">
        <v>12.2</v>
      </c>
      <c r="I15" s="50" t="n">
        <v>0</v>
      </c>
      <c r="J15" s="51"/>
    </row>
    <row r="16" s="52" customFormat="true" ht="13.5" hidden="false" customHeight="false" outlineLevel="0" collapsed="false">
      <c r="B16" s="53" t="s">
        <v>357</v>
      </c>
      <c r="C16" s="54"/>
      <c r="D16" s="55" t="s">
        <v>358</v>
      </c>
      <c r="E16" s="55" t="s">
        <v>359</v>
      </c>
      <c r="F16" s="55" t="s">
        <v>360</v>
      </c>
      <c r="G16" s="54" t="s">
        <v>361</v>
      </c>
      <c r="H16" s="54" t="s">
        <v>362</v>
      </c>
      <c r="I16" s="54" t="s">
        <v>363</v>
      </c>
      <c r="J16" s="54"/>
      <c r="M16" s="12"/>
      <c r="N16" s="56"/>
      <c r="O16" s="56"/>
      <c r="P16" s="56"/>
      <c r="Q16" s="12"/>
      <c r="R16" s="12"/>
      <c r="S16" s="12"/>
      <c r="T16" s="12"/>
      <c r="U16" s="12"/>
    </row>
    <row r="19" customFormat="false" ht="17.25" hidden="false" customHeight="false" outlineLevel="0" collapsed="false">
      <c r="B19" s="57" t="s">
        <v>364</v>
      </c>
      <c r="C19" s="58"/>
      <c r="D19" s="59"/>
      <c r="E19" s="15"/>
      <c r="F19" s="15"/>
      <c r="G19" s="15"/>
      <c r="H19" s="15"/>
      <c r="I19" s="15"/>
      <c r="J19" s="15"/>
      <c r="K19" s="15"/>
      <c r="L19" s="15"/>
    </row>
    <row r="20" customFormat="false" ht="13.5" hidden="false" customHeight="false" outlineLevel="0" collapsed="false">
      <c r="B20" s="23" t="s">
        <v>365</v>
      </c>
      <c r="C20" s="39" t="n">
        <v>2639</v>
      </c>
      <c r="D20" s="60" t="n">
        <f aca="false">C20*10/I12</f>
        <v>29</v>
      </c>
    </row>
    <row r="21" customFormat="false" ht="13.5" hidden="false" customHeight="false" outlineLevel="0" collapsed="false">
      <c r="B21" s="61" t="s">
        <v>366</v>
      </c>
      <c r="C21" s="62" t="n">
        <f aca="false">P12/1000</f>
        <v>0</v>
      </c>
      <c r="D21" s="63" t="n">
        <f aca="false">IFERROR(C21*10/O12, )</f>
        <v>0</v>
      </c>
    </row>
    <row r="22" customFormat="false" ht="13.5" hidden="false" customHeight="false" outlineLevel="0" collapsed="false">
      <c r="B22" s="23"/>
      <c r="C22" s="39"/>
    </row>
    <row r="23" customFormat="false" ht="13.5" hidden="false" customHeight="false" outlineLevel="0" collapsed="false">
      <c r="B23" s="23" t="s">
        <v>367</v>
      </c>
      <c r="C23" s="64" t="n">
        <f aca="false">O12/I12</f>
        <v>0</v>
      </c>
      <c r="D23" s="65"/>
    </row>
    <row r="24" customFormat="false" ht="13.5" hidden="false" customHeight="false" outlineLevel="0" collapsed="false">
      <c r="B24" s="23" t="s">
        <v>368</v>
      </c>
      <c r="C24" s="64" t="n">
        <f aca="false">C21/C20</f>
        <v>0</v>
      </c>
      <c r="E24" s="66"/>
      <c r="F24" s="66"/>
    </row>
  </sheetData>
  <mergeCells count="2">
    <mergeCell ref="B2:Q2"/>
    <mergeCell ref="E24:F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B2:Y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43" activeCellId="0" sqref="E43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12" width="2.56"/>
    <col collapsed="false" customWidth="true" hidden="false" outlineLevel="0" max="2" min="2" style="12" width="36.33"/>
    <col collapsed="false" customWidth="true" hidden="false" outlineLevel="0" max="6" min="3" style="12" width="13.56"/>
    <col collapsed="false" customWidth="true" hidden="false" outlineLevel="0" max="8" min="7" style="12" width="12.88"/>
    <col collapsed="false" customWidth="true" hidden="false" outlineLevel="0" max="9" min="9" style="12" width="13.44"/>
    <col collapsed="false" customWidth="true" hidden="false" outlineLevel="0" max="11" min="10" style="12" width="4.33"/>
    <col collapsed="false" customWidth="true" hidden="false" outlineLevel="0" max="12" min="12" style="12" width="13.44"/>
    <col collapsed="false" customWidth="true" hidden="false" outlineLevel="0" max="14" min="13" style="12" width="12.11"/>
    <col collapsed="false" customWidth="true" hidden="false" outlineLevel="0" max="15" min="15" style="12" width="16.56"/>
    <col collapsed="false" customWidth="true" hidden="false" outlineLevel="0" max="17" min="16" style="12" width="14.88"/>
    <col collapsed="false" customWidth="true" hidden="false" outlineLevel="0" max="19" min="18" style="12" width="12.11"/>
    <col collapsed="false" customWidth="true" hidden="false" outlineLevel="0" max="20" min="20" style="12" width="14.67"/>
    <col collapsed="false" customWidth="true" hidden="false" outlineLevel="0" max="21" min="21" style="12" width="47.33"/>
    <col collapsed="false" customWidth="false" hidden="false" outlineLevel="0" max="16384" min="22" style="12" width="9.11"/>
  </cols>
  <sheetData>
    <row r="2" customFormat="false" ht="27.75" hidden="false" customHeight="true" outlineLevel="0" collapsed="false">
      <c r="B2" s="13" t="s">
        <v>369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  <c r="R2" s="14"/>
      <c r="S2" s="14"/>
      <c r="T2" s="14"/>
      <c r="U2" s="14"/>
      <c r="V2" s="14"/>
      <c r="W2" s="14"/>
      <c r="X2" s="14"/>
      <c r="Y2" s="14"/>
    </row>
    <row r="3" customFormat="false" ht="17.25" hidden="false" customHeight="false" outlineLevel="0" collapsed="false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5" s="16" customFormat="tru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8" t="s">
        <v>332</v>
      </c>
      <c r="I5" s="19" t="s">
        <v>333</v>
      </c>
      <c r="L5" s="21" t="s">
        <v>334</v>
      </c>
      <c r="M5" s="21" t="s">
        <v>335</v>
      </c>
      <c r="N5" s="21" t="s">
        <v>336</v>
      </c>
      <c r="O5" s="21" t="s">
        <v>337</v>
      </c>
      <c r="P5" s="22" t="s">
        <v>338</v>
      </c>
      <c r="Q5" s="21" t="s">
        <v>339</v>
      </c>
      <c r="R5" s="21" t="s">
        <v>340</v>
      </c>
      <c r="S5" s="21" t="s">
        <v>341</v>
      </c>
      <c r="T5" s="21" t="s">
        <v>342</v>
      </c>
    </row>
    <row r="6" customFormat="false" ht="13.5" hidden="false" customHeight="false" outlineLevel="0" collapsed="false">
      <c r="B6" s="23" t="s">
        <v>343</v>
      </c>
      <c r="C6" s="24"/>
      <c r="D6" s="25"/>
      <c r="E6" s="25"/>
      <c r="F6" s="25"/>
      <c r="G6" s="25"/>
      <c r="H6" s="25" t="n">
        <v>45913</v>
      </c>
      <c r="I6" s="26"/>
      <c r="L6" s="27"/>
      <c r="M6" s="28"/>
      <c r="N6" s="29"/>
      <c r="O6" s="30"/>
      <c r="P6" s="31"/>
      <c r="Q6" s="67"/>
      <c r="R6" s="67"/>
      <c r="S6" s="67"/>
      <c r="T6" s="67"/>
    </row>
    <row r="7" customFormat="false" ht="13.5" hidden="false" customHeight="false" outlineLevel="0" collapsed="false">
      <c r="B7" s="23" t="s">
        <v>344</v>
      </c>
      <c r="C7" s="24"/>
      <c r="D7" s="25"/>
      <c r="E7" s="25"/>
      <c r="F7" s="25"/>
      <c r="G7" s="25"/>
      <c r="H7" s="25" t="n">
        <v>45927</v>
      </c>
      <c r="I7" s="26"/>
      <c r="J7" s="33"/>
      <c r="L7" s="27"/>
      <c r="M7" s="28"/>
      <c r="N7" s="29"/>
      <c r="O7" s="30"/>
      <c r="P7" s="31"/>
      <c r="Q7" s="67"/>
      <c r="R7" s="67"/>
      <c r="S7" s="67"/>
      <c r="T7" s="67"/>
    </row>
    <row r="8" customFormat="false" ht="13.5" hidden="false" customHeight="false" outlineLevel="0" collapsed="false">
      <c r="B8" s="23" t="s">
        <v>345</v>
      </c>
      <c r="C8" s="34"/>
      <c r="D8" s="34"/>
      <c r="E8" s="34"/>
      <c r="F8" s="34"/>
      <c r="G8" s="34"/>
      <c r="H8" s="34" t="n">
        <v>15</v>
      </c>
      <c r="I8" s="35" t="str">
        <f aca="false">IF(I7=0,"-",I7-I6+1)</f>
        <v>-</v>
      </c>
      <c r="L8" s="27"/>
      <c r="M8" s="28"/>
      <c r="N8" s="29"/>
      <c r="O8" s="30"/>
      <c r="P8" s="31"/>
      <c r="Q8" s="67"/>
      <c r="R8" s="67"/>
      <c r="S8" s="67"/>
      <c r="T8" s="67"/>
    </row>
    <row r="9" customFormat="false" ht="13.5" hidden="false" customHeight="false" outlineLevel="0" collapsed="false">
      <c r="B9" s="23" t="s">
        <v>346</v>
      </c>
      <c r="C9" s="34"/>
      <c r="D9" s="34"/>
      <c r="E9" s="34"/>
      <c r="F9" s="34"/>
      <c r="G9" s="34"/>
      <c r="H9" s="34" t="n">
        <v>10</v>
      </c>
      <c r="I9" s="35" t="n">
        <v>0</v>
      </c>
      <c r="L9" s="27"/>
      <c r="M9" s="28"/>
      <c r="N9" s="29"/>
      <c r="O9" s="30"/>
      <c r="P9" s="31"/>
      <c r="Q9" s="67"/>
      <c r="R9" s="67"/>
      <c r="S9" s="67"/>
      <c r="T9" s="67"/>
    </row>
    <row r="10" customFormat="false" ht="13.5" hidden="false" customHeight="false" outlineLevel="0" collapsed="false">
      <c r="B10" s="23" t="s">
        <v>347</v>
      </c>
      <c r="C10" s="36"/>
      <c r="D10" s="36"/>
      <c r="E10" s="36"/>
      <c r="F10" s="36"/>
      <c r="G10" s="36"/>
      <c r="H10" s="36" t="s">
        <v>370</v>
      </c>
      <c r="I10" s="68" t="s">
        <v>352</v>
      </c>
      <c r="L10" s="27"/>
      <c r="M10" s="28"/>
      <c r="N10" s="29"/>
      <c r="O10" s="30"/>
      <c r="P10" s="31"/>
      <c r="Q10" s="32"/>
      <c r="R10" s="32"/>
      <c r="S10" s="32"/>
      <c r="T10" s="32"/>
    </row>
    <row r="11" customFormat="false" ht="15" hidden="false" customHeight="true" outlineLevel="0" collapsed="false">
      <c r="B11" s="23" t="s">
        <v>337</v>
      </c>
      <c r="C11" s="38"/>
      <c r="D11" s="39"/>
      <c r="E11" s="39"/>
      <c r="F11" s="39"/>
      <c r="G11" s="39"/>
      <c r="H11" s="39" t="n">
        <v>146.08</v>
      </c>
      <c r="I11" s="40" t="n">
        <f aca="false">O23/1000</f>
        <v>0</v>
      </c>
      <c r="L11" s="27"/>
      <c r="M11" s="28"/>
      <c r="N11" s="29"/>
      <c r="O11" s="30"/>
      <c r="P11" s="31"/>
      <c r="Q11" s="32"/>
      <c r="R11" s="32"/>
      <c r="S11" s="32"/>
      <c r="T11" s="32"/>
      <c r="U11" s="69"/>
    </row>
    <row r="12" customFormat="false" ht="14.15" hidden="false" customHeight="false" outlineLevel="0" collapsed="false">
      <c r="B12" s="23" t="s">
        <v>353</v>
      </c>
      <c r="C12" s="41"/>
      <c r="D12" s="41"/>
      <c r="E12" s="41"/>
      <c r="F12" s="41"/>
      <c r="G12" s="41"/>
      <c r="H12" s="41" t="n">
        <v>358</v>
      </c>
      <c r="I12" s="42" t="n">
        <v>0</v>
      </c>
      <c r="L12" s="27"/>
      <c r="M12" s="28"/>
      <c r="N12" s="29"/>
      <c r="O12" s="30"/>
      <c r="P12" s="31"/>
      <c r="Q12" s="32"/>
      <c r="R12" s="32"/>
      <c r="S12" s="32"/>
      <c r="T12" s="32"/>
      <c r="U12" s="70"/>
    </row>
    <row r="13" customFormat="false" ht="14.15" hidden="false" customHeight="false" outlineLevel="0" collapsed="false">
      <c r="B13" s="23" t="s">
        <v>336</v>
      </c>
      <c r="C13" s="41"/>
      <c r="D13" s="41"/>
      <c r="E13" s="41"/>
      <c r="F13" s="41"/>
      <c r="G13" s="41"/>
      <c r="H13" s="41" t="n">
        <v>358</v>
      </c>
      <c r="I13" s="42" t="n">
        <f aca="false">N23</f>
        <v>0</v>
      </c>
      <c r="L13" s="27"/>
      <c r="M13" s="71"/>
      <c r="N13" s="72"/>
      <c r="O13" s="73"/>
      <c r="P13" s="74"/>
      <c r="Q13" s="75"/>
      <c r="R13" s="75"/>
      <c r="S13" s="75"/>
      <c r="T13" s="75"/>
      <c r="U13" s="70"/>
    </row>
    <row r="14" customFormat="false" ht="14.15" hidden="false" customHeight="false" outlineLevel="0" collapsed="false">
      <c r="B14" s="23" t="s">
        <v>355</v>
      </c>
      <c r="C14" s="47"/>
      <c r="D14" s="47"/>
      <c r="E14" s="47"/>
      <c r="F14" s="47"/>
      <c r="G14" s="47"/>
      <c r="H14" s="47" t="n">
        <v>4.0804469273743</v>
      </c>
      <c r="I14" s="48" t="n">
        <f aca="false">P23</f>
        <v>0</v>
      </c>
      <c r="L14" s="27"/>
      <c r="M14" s="71"/>
      <c r="N14" s="72"/>
      <c r="O14" s="73"/>
      <c r="P14" s="74"/>
      <c r="Q14" s="75"/>
      <c r="R14" s="75"/>
      <c r="S14" s="75"/>
      <c r="T14" s="75"/>
      <c r="U14" s="70"/>
    </row>
    <row r="15" customFormat="false" ht="15" hidden="false" customHeight="true" outlineLevel="0" collapsed="false">
      <c r="B15" s="23" t="s">
        <v>356</v>
      </c>
      <c r="C15" s="49"/>
      <c r="D15" s="49"/>
      <c r="E15" s="49"/>
      <c r="F15" s="49"/>
      <c r="G15" s="49"/>
      <c r="H15" s="49"/>
      <c r="I15" s="50"/>
      <c r="L15" s="27"/>
      <c r="M15" s="28"/>
      <c r="N15" s="29"/>
      <c r="O15" s="30"/>
      <c r="P15" s="74"/>
      <c r="Q15" s="32"/>
      <c r="R15" s="32"/>
      <c r="S15" s="32"/>
      <c r="T15" s="32"/>
      <c r="U15" s="70"/>
    </row>
    <row r="16" s="52" customFormat="true" ht="14.15" hidden="false" customHeight="false" outlineLevel="0" collapsed="false">
      <c r="B16" s="53" t="s">
        <v>357</v>
      </c>
      <c r="C16" s="54"/>
      <c r="D16" s="55"/>
      <c r="E16" s="55"/>
      <c r="F16" s="55"/>
      <c r="G16" s="54"/>
      <c r="H16" s="54"/>
      <c r="I16" s="76"/>
      <c r="L16" s="77"/>
      <c r="M16" s="71"/>
      <c r="N16" s="72"/>
      <c r="O16" s="73"/>
      <c r="P16" s="74"/>
      <c r="Q16" s="75"/>
      <c r="R16" s="75"/>
      <c r="S16" s="75"/>
      <c r="T16" s="75"/>
      <c r="U16" s="69"/>
    </row>
    <row r="17" customFormat="false" ht="13.8" hidden="false" customHeight="false" outlineLevel="0" collapsed="false">
      <c r="L17" s="77"/>
      <c r="M17" s="71"/>
      <c r="N17" s="72"/>
      <c r="O17" s="73"/>
      <c r="P17" s="74"/>
      <c r="Q17" s="75"/>
      <c r="R17" s="75"/>
      <c r="S17" s="75"/>
      <c r="T17" s="75"/>
      <c r="U17" s="69"/>
    </row>
    <row r="18" customFormat="false" ht="13.8" hidden="false" customHeight="false" outlineLevel="0" collapsed="false">
      <c r="L18" s="77"/>
      <c r="M18" s="71"/>
      <c r="N18" s="72"/>
      <c r="O18" s="73"/>
      <c r="P18" s="74"/>
      <c r="Q18" s="75"/>
      <c r="R18" s="75"/>
      <c r="S18" s="75"/>
      <c r="T18" s="75"/>
      <c r="U18" s="69"/>
    </row>
    <row r="19" customFormat="false" ht="17.25" hidden="false" customHeight="false" outlineLevel="0" collapsed="false">
      <c r="B19" s="57" t="s">
        <v>364</v>
      </c>
      <c r="C19" s="58"/>
      <c r="D19" s="59"/>
      <c r="E19" s="15"/>
      <c r="F19" s="15"/>
      <c r="G19" s="15"/>
      <c r="H19" s="15"/>
      <c r="I19" s="15"/>
      <c r="J19" s="15"/>
      <c r="K19" s="15"/>
      <c r="L19" s="77"/>
      <c r="M19" s="71"/>
      <c r="N19" s="72"/>
      <c r="O19" s="73"/>
      <c r="P19" s="74"/>
      <c r="Q19" s="75"/>
      <c r="R19" s="75"/>
      <c r="S19" s="75"/>
      <c r="T19" s="75"/>
      <c r="U19" s="69"/>
    </row>
    <row r="20" customFormat="false" ht="14.15" hidden="false" customHeight="false" outlineLevel="0" collapsed="false">
      <c r="B20" s="23" t="s">
        <v>365</v>
      </c>
      <c r="C20" s="39" t="n">
        <f aca="false">0</f>
        <v>0</v>
      </c>
      <c r="D20" s="60" t="n">
        <f aca="false">IFERROR(C20*10/I12,)</f>
        <v>0</v>
      </c>
      <c r="L20" s="77"/>
      <c r="M20" s="71"/>
      <c r="N20" s="72"/>
      <c r="O20" s="73"/>
      <c r="P20" s="74"/>
      <c r="Q20" s="75"/>
      <c r="R20" s="75"/>
      <c r="S20" s="75"/>
      <c r="T20" s="75"/>
      <c r="U20" s="69"/>
    </row>
    <row r="21" customFormat="false" ht="14.15" hidden="false" customHeight="false" outlineLevel="0" collapsed="false">
      <c r="B21" s="61" t="s">
        <v>366</v>
      </c>
      <c r="C21" s="62" t="n">
        <f aca="false">O23/1000</f>
        <v>0</v>
      </c>
      <c r="D21" s="63" t="n">
        <f aca="false">IFERROR(C21*10/N23, )</f>
        <v>0</v>
      </c>
      <c r="L21" s="77"/>
      <c r="M21" s="71"/>
      <c r="N21" s="72"/>
      <c r="O21" s="73"/>
      <c r="P21" s="74"/>
      <c r="Q21" s="75"/>
      <c r="R21" s="75"/>
      <c r="S21" s="75"/>
      <c r="T21" s="75"/>
    </row>
    <row r="22" customFormat="false" ht="13.5" hidden="false" customHeight="false" outlineLevel="0" collapsed="false">
      <c r="B22" s="23"/>
      <c r="C22" s="39"/>
      <c r="L22" s="77"/>
      <c r="M22" s="71"/>
      <c r="N22" s="72"/>
      <c r="O22" s="73"/>
      <c r="P22" s="74"/>
      <c r="Q22" s="75"/>
      <c r="R22" s="75"/>
      <c r="S22" s="75"/>
      <c r="T22" s="75"/>
    </row>
    <row r="23" customFormat="false" ht="13.5" hidden="false" customHeight="false" outlineLevel="0" collapsed="false">
      <c r="B23" s="23" t="s">
        <v>367</v>
      </c>
      <c r="C23" s="64" t="n">
        <f aca="false">IFERROR(I13/I12,)</f>
        <v>0</v>
      </c>
      <c r="D23" s="65"/>
      <c r="L23" s="21" t="s">
        <v>354</v>
      </c>
      <c r="M23" s="21" t="n">
        <f aca="false">SUM(M6:M22)</f>
        <v>0</v>
      </c>
      <c r="N23" s="43" t="n">
        <f aca="false">SUM(N6:N22)</f>
        <v>0</v>
      </c>
      <c r="O23" s="44" t="n">
        <f aca="false">SUM(O6:O22)</f>
        <v>0</v>
      </c>
      <c r="P23" s="45" t="n">
        <f aca="false">IFERROR(O23/100/N23,0)</f>
        <v>0</v>
      </c>
      <c r="Q23" s="46" t="n">
        <f aca="false">IFERROR(AVERAGE(Q6:Q22),)</f>
        <v>0</v>
      </c>
      <c r="R23" s="46" t="n">
        <f aca="false">IFERROR(AVERAGE(R6:R22),)</f>
        <v>0</v>
      </c>
      <c r="S23" s="46" t="n">
        <f aca="false">IFERROR(AVERAGE(S6:S22),)</f>
        <v>0</v>
      </c>
      <c r="T23" s="46" t="n">
        <f aca="false">IFERROR(AVERAGE(T6:T22),)</f>
        <v>0</v>
      </c>
    </row>
    <row r="24" customFormat="false" ht="13.5" hidden="false" customHeight="false" outlineLevel="0" collapsed="false">
      <c r="B24" s="23" t="s">
        <v>368</v>
      </c>
      <c r="C24" s="64" t="n">
        <f aca="false">IFERROR(C21/C20,)</f>
        <v>0</v>
      </c>
      <c r="E24" s="66"/>
      <c r="F24" s="66"/>
    </row>
    <row r="27" customFormat="false" ht="13.5" hidden="false" customHeight="false" outlineLevel="0" collapsed="false">
      <c r="M27" s="56"/>
      <c r="N27" s="56"/>
      <c r="O27" s="56"/>
    </row>
  </sheetData>
  <mergeCells count="2">
    <mergeCell ref="B2:P2"/>
    <mergeCell ref="E24:F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4" activeCellId="0" sqref="G34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78" width="29"/>
    <col collapsed="false" customWidth="true" hidden="false" outlineLevel="0" max="2" min="2" style="78" width="10"/>
    <col collapsed="false" customWidth="true" hidden="false" outlineLevel="0" max="3" min="3" style="78" width="18.67"/>
    <col collapsed="false" customWidth="true" hidden="false" outlineLevel="0" max="4" min="4" style="79" width="12.56"/>
    <col collapsed="false" customWidth="true" hidden="false" outlineLevel="0" max="5" min="5" style="80" width="14.44"/>
    <col collapsed="false" customWidth="true" hidden="false" outlineLevel="0" max="6" min="6" style="78" width="12.56"/>
    <col collapsed="false" customWidth="true" hidden="false" outlineLevel="0" max="7" min="7" style="81" width="19.44"/>
    <col collapsed="false" customWidth="true" hidden="false" outlineLevel="0" max="8" min="8" style="82" width="15.88"/>
    <col collapsed="false" customWidth="false" hidden="false" outlineLevel="0" max="16384" min="9" style="78" width="9.11"/>
  </cols>
  <sheetData>
    <row r="1" s="83" customFormat="true" ht="48.75" hidden="false" customHeight="true" outlineLevel="0" collapsed="false">
      <c r="A1" s="83" t="s">
        <v>371</v>
      </c>
      <c r="B1" s="83" t="s">
        <v>372</v>
      </c>
      <c r="C1" s="83" t="s">
        <v>373</v>
      </c>
      <c r="D1" s="84" t="s">
        <v>374</v>
      </c>
      <c r="E1" s="83" t="s">
        <v>375</v>
      </c>
      <c r="F1" s="83" t="s">
        <v>376</v>
      </c>
      <c r="G1" s="85" t="s">
        <v>377</v>
      </c>
      <c r="H1" s="86" t="s">
        <v>355</v>
      </c>
    </row>
    <row r="2" customFormat="false" ht="13.5" hidden="true" customHeight="false" outlineLevel="0" collapsed="false">
      <c r="A2" s="87" t="s">
        <v>378</v>
      </c>
      <c r="B2" s="87" t="s">
        <v>379</v>
      </c>
      <c r="C2" s="78" t="s">
        <v>380</v>
      </c>
      <c r="D2" s="79" t="n">
        <v>92</v>
      </c>
      <c r="E2" s="80" t="n">
        <v>45894</v>
      </c>
      <c r="F2" s="78" t="n">
        <v>67</v>
      </c>
      <c r="G2" s="81" t="n">
        <v>39780</v>
      </c>
      <c r="H2" s="82" t="n">
        <f aca="false">IFERROR(Таблица3[[#This Row],[Валовый сбор, кг]]/100/Таблица3[[#This Row],[Площадь уборки, га]], "-")</f>
        <v>5.93731343283582</v>
      </c>
    </row>
    <row r="3" customFormat="false" ht="13.5" hidden="true" customHeight="false" outlineLevel="0" collapsed="false">
      <c r="A3" s="88" t="str">
        <f aca="false">A2</f>
        <v>Подсолнечник</v>
      </c>
      <c r="B3" s="87"/>
      <c r="E3" s="80" t="n">
        <v>45895</v>
      </c>
      <c r="F3" s="78" t="n">
        <v>25</v>
      </c>
      <c r="G3" s="81" t="n">
        <v>13980</v>
      </c>
      <c r="H3" s="82" t="n">
        <f aca="false">IFERROR(Таблица3[[#This Row],[Валовый сбор, кг]]/100/Таблица3[[#This Row],[Площадь уборки, га]], "-")</f>
        <v>5.592</v>
      </c>
    </row>
    <row r="4" customFormat="false" ht="13.5" hidden="true" customHeight="false" outlineLevel="0" collapsed="false">
      <c r="A4" s="89" t="str">
        <f aca="false">A3</f>
        <v>Подсолнечник</v>
      </c>
      <c r="B4" s="87" t="s">
        <v>381</v>
      </c>
      <c r="C4" s="78" t="s">
        <v>382</v>
      </c>
      <c r="D4" s="79" t="n">
        <v>46</v>
      </c>
      <c r="E4" s="80" t="n">
        <v>45895</v>
      </c>
      <c r="F4" s="78" t="n">
        <v>46</v>
      </c>
      <c r="G4" s="81" t="n">
        <v>45040</v>
      </c>
      <c r="H4" s="82" t="n">
        <f aca="false">IFERROR(Таблица3[[#This Row],[Валовый сбор, кг]]/100/Таблица3[[#This Row],[Площадь уборки, га]], "-")</f>
        <v>9.79130434782609</v>
      </c>
    </row>
    <row r="5" customFormat="false" ht="13.5" hidden="true" customHeight="false" outlineLevel="0" collapsed="false">
      <c r="A5" s="88" t="str">
        <f aca="false">A4</f>
        <v>Подсолнечник</v>
      </c>
      <c r="B5" s="87" t="s">
        <v>383</v>
      </c>
      <c r="C5" s="78" t="s">
        <v>382</v>
      </c>
      <c r="D5" s="79" t="n">
        <v>80</v>
      </c>
      <c r="E5" s="80" t="n">
        <v>45898</v>
      </c>
      <c r="F5" s="78" t="n">
        <v>56</v>
      </c>
      <c r="G5" s="81" t="n">
        <v>82980</v>
      </c>
      <c r="H5" s="82" t="n">
        <f aca="false">IFERROR(Таблица3[[#This Row],[Валовый сбор, кг]]/100/Таблица3[[#This Row],[Площадь уборки, га]], "-")</f>
        <v>14.8178571428571</v>
      </c>
    </row>
    <row r="6" customFormat="false" ht="13.5" hidden="true" customHeight="false" outlineLevel="0" collapsed="false">
      <c r="A6" s="89" t="str">
        <f aca="false">A5</f>
        <v>Подсолнечник</v>
      </c>
      <c r="B6" s="87"/>
      <c r="E6" s="80" t="n">
        <v>45899</v>
      </c>
      <c r="F6" s="78" t="n">
        <v>24</v>
      </c>
      <c r="G6" s="81" t="n">
        <v>26940</v>
      </c>
      <c r="H6" s="82" t="n">
        <f aca="false">IFERROR(Таблица3[[#This Row],[Валовый сбор, кг]]/100/Таблица3[[#This Row],[Площадь уборки, га]], "-")</f>
        <v>11.225</v>
      </c>
    </row>
    <row r="7" customFormat="false" ht="13.5" hidden="true" customHeight="false" outlineLevel="0" collapsed="false">
      <c r="A7" s="88" t="str">
        <f aca="false">A6</f>
        <v>Подсолнечник</v>
      </c>
      <c r="B7" s="87" t="s">
        <v>384</v>
      </c>
      <c r="C7" s="78" t="s">
        <v>385</v>
      </c>
      <c r="D7" s="79" t="n">
        <v>73</v>
      </c>
      <c r="E7" s="80" t="n">
        <v>45895</v>
      </c>
      <c r="F7" s="78" t="n">
        <v>10</v>
      </c>
      <c r="G7" s="81" t="n">
        <v>4580</v>
      </c>
      <c r="H7" s="82" t="n">
        <f aca="false">IFERROR(Таблица3[[#This Row],[Валовый сбор, кг]]/100/Таблица3[[#This Row],[Площадь уборки, га]], "-")</f>
        <v>4.58</v>
      </c>
    </row>
    <row r="8" customFormat="false" ht="13.5" hidden="true" customHeight="false" outlineLevel="0" collapsed="false">
      <c r="A8" s="89" t="str">
        <f aca="false">A7</f>
        <v>Подсолнечник</v>
      </c>
      <c r="B8" s="87"/>
      <c r="E8" s="80" t="n">
        <v>45896</v>
      </c>
      <c r="F8" s="78" t="n">
        <v>62</v>
      </c>
      <c r="G8" s="81" t="n">
        <v>29060</v>
      </c>
      <c r="H8" s="82" t="n">
        <f aca="false">IFERROR(Таблица3[[#This Row],[Валовый сбор, кг]]/100/Таблица3[[#This Row],[Площадь уборки, га]], "-")</f>
        <v>4.68709677419355</v>
      </c>
    </row>
    <row r="9" customFormat="false" ht="13.5" hidden="true" customHeight="false" outlineLevel="0" collapsed="false">
      <c r="A9" s="88" t="str">
        <f aca="false">A8</f>
        <v>Подсолнечник</v>
      </c>
      <c r="B9" s="87"/>
      <c r="E9" s="80" t="n">
        <v>45898</v>
      </c>
      <c r="F9" s="78" t="n">
        <v>1</v>
      </c>
      <c r="G9" s="81" t="n">
        <v>1520</v>
      </c>
      <c r="H9" s="82" t="n">
        <f aca="false">IFERROR(Таблица3[[#This Row],[Валовый сбор, кг]]/100/Таблица3[[#This Row],[Площадь уборки, га]], "-")</f>
        <v>15.2</v>
      </c>
    </row>
    <row r="10" customFormat="false" ht="13.5" hidden="true" customHeight="false" outlineLevel="0" collapsed="false">
      <c r="A10" s="89" t="str">
        <f aca="false">A9</f>
        <v>Подсолнечник</v>
      </c>
      <c r="B10" s="87"/>
      <c r="E10" s="80" t="n">
        <v>45901</v>
      </c>
      <c r="F10" s="78" t="n">
        <v>114</v>
      </c>
      <c r="G10" s="81" t="n">
        <v>52380</v>
      </c>
      <c r="H10" s="82" t="n">
        <f aca="false">IFERROR(Таблица3[[#This Row],[Валовый сбор, кг]]/100/Таблица3[[#This Row],[Площадь уборки, га]], "-")</f>
        <v>4.59473684210526</v>
      </c>
    </row>
    <row r="11" customFormat="false" ht="13.5" hidden="true" customHeight="false" outlineLevel="0" collapsed="false">
      <c r="A11" s="88" t="str">
        <f aca="false">A10</f>
        <v>Подсолнечник</v>
      </c>
      <c r="B11" s="87" t="s">
        <v>386</v>
      </c>
      <c r="C11" s="78" t="s">
        <v>387</v>
      </c>
      <c r="D11" s="79" t="n">
        <v>119</v>
      </c>
      <c r="E11" s="80" t="n">
        <v>45896</v>
      </c>
      <c r="F11" s="78" t="n">
        <v>3</v>
      </c>
      <c r="G11" s="81" t="n">
        <v>1240</v>
      </c>
      <c r="H11" s="82" t="n">
        <f aca="false">IFERROR(Таблица3[[#This Row],[Валовый сбор, кг]]/100/Таблица3[[#This Row],[Площадь уборки, га]], "-")</f>
        <v>4.13333333333333</v>
      </c>
    </row>
    <row r="12" customFormat="false" ht="13.5" hidden="true" customHeight="false" outlineLevel="0" collapsed="false">
      <c r="A12" s="89" t="str">
        <f aca="false">A11</f>
        <v>Подсолнечник</v>
      </c>
      <c r="B12" s="87"/>
      <c r="E12" s="80" t="n">
        <v>45898</v>
      </c>
      <c r="F12" s="78" t="n">
        <v>2</v>
      </c>
      <c r="G12" s="81" t="n">
        <v>780</v>
      </c>
      <c r="H12" s="82" t="n">
        <f aca="false">IFERROR(Таблица3[[#This Row],[Валовый сбор, кг]]/100/Таблица3[[#This Row],[Площадь уборки, га]], "-")</f>
        <v>3.9</v>
      </c>
    </row>
    <row r="13" customFormat="false" ht="13.5" hidden="false" customHeight="false" outlineLevel="0" collapsed="false">
      <c r="A13" s="87" t="s">
        <v>388</v>
      </c>
      <c r="B13" s="87" t="s">
        <v>389</v>
      </c>
      <c r="C13" s="78" t="s">
        <v>390</v>
      </c>
      <c r="D13" s="79" t="n">
        <v>131</v>
      </c>
      <c r="E13" s="80" t="n">
        <v>45913</v>
      </c>
      <c r="F13" s="90" t="n">
        <v>22</v>
      </c>
      <c r="G13" s="81" t="n">
        <v>6820</v>
      </c>
      <c r="H13" s="82" t="n">
        <f aca="false">IFERROR(Таблица3[[#This Row],[Валовый сбор, кг]]/100/Таблица3[[#This Row],[Площадь уборки, га]], "-")</f>
        <v>3.1</v>
      </c>
    </row>
    <row r="14" customFormat="false" ht="13.5" hidden="false" customHeight="false" outlineLevel="0" collapsed="false">
      <c r="A14" s="88" t="str">
        <f aca="false">A13</f>
        <v>Подсолнечник кондитерский</v>
      </c>
      <c r="B14" s="87"/>
      <c r="E14" s="80" t="n">
        <v>45914</v>
      </c>
      <c r="F14" s="90" t="n">
        <v>54</v>
      </c>
      <c r="G14" s="81" t="n">
        <v>17420</v>
      </c>
      <c r="H14" s="82" t="n">
        <f aca="false">IFERROR(Таблица3[[#This Row],[Валовый сбор, кг]]/100/Таблица3[[#This Row],[Площадь уборки, га]], "-")</f>
        <v>3.22592592592593</v>
      </c>
    </row>
    <row r="15" customFormat="false" ht="13.5" hidden="false" customHeight="false" outlineLevel="0" collapsed="false">
      <c r="A15" s="89" t="str">
        <f aca="false">A14</f>
        <v>Подсолнечник кондитерский</v>
      </c>
      <c r="B15" s="87"/>
      <c r="E15" s="80" t="n">
        <v>45915</v>
      </c>
      <c r="F15" s="90" t="n">
        <v>3.5</v>
      </c>
      <c r="G15" s="81" t="n">
        <v>860</v>
      </c>
      <c r="H15" s="82" t="n">
        <f aca="false">IFERROR(Таблица3[[#This Row],[Валовый сбор, кг]]/100/Таблица3[[#This Row],[Площадь уборки, га]], "-")</f>
        <v>2.45714285714286</v>
      </c>
    </row>
    <row r="16" customFormat="false" ht="13.5" hidden="false" customHeight="false" outlineLevel="0" collapsed="false">
      <c r="A16" s="87"/>
      <c r="B16" s="87"/>
      <c r="E16" s="80" t="n">
        <v>45927</v>
      </c>
      <c r="F16" s="91" t="n">
        <f aca="false">22.5+29</f>
        <v>51.5</v>
      </c>
      <c r="G16" s="81" t="n">
        <v>2820</v>
      </c>
      <c r="H16" s="82" t="n">
        <f aca="false">IFERROR(Таблица3[[#This Row],[Валовый сбор, кг]]/100/Таблица3[[#This Row],[Площадь уборки, га]], "-")</f>
        <v>0.547572815533981</v>
      </c>
    </row>
    <row r="17" customFormat="false" ht="13.5" hidden="false" customHeight="false" outlineLevel="0" collapsed="false">
      <c r="A17" s="89" t="str">
        <f aca="false">A15</f>
        <v>Подсолнечник кондитерский</v>
      </c>
      <c r="B17" s="87" t="s">
        <v>391</v>
      </c>
      <c r="C17" s="78" t="s">
        <v>390</v>
      </c>
      <c r="D17" s="92" t="n">
        <v>107</v>
      </c>
      <c r="E17" s="80" t="n">
        <v>45913</v>
      </c>
      <c r="F17" s="90" t="n">
        <v>4</v>
      </c>
      <c r="G17" s="81" t="n">
        <v>1300</v>
      </c>
      <c r="H17" s="82" t="n">
        <f aca="false">IFERROR(Таблица3[[#This Row],[Валовый сбор, кг]]/100/Таблица3[[#This Row],[Площадь уборки, га]], "-")</f>
        <v>3.25</v>
      </c>
    </row>
    <row r="18" customFormat="false" ht="13.5" hidden="false" customHeight="false" outlineLevel="0" collapsed="false">
      <c r="A18" s="88" t="str">
        <f aca="false">A17</f>
        <v>Подсолнечник кондитерский</v>
      </c>
      <c r="B18" s="87"/>
      <c r="E18" s="80" t="n">
        <v>45915</v>
      </c>
      <c r="F18" s="90" t="n">
        <v>41</v>
      </c>
      <c r="G18" s="81" t="n">
        <v>6180</v>
      </c>
      <c r="H18" s="82" t="n">
        <f aca="false">IFERROR(Таблица3[[#This Row],[Валовый сбор, кг]]/100/Таблица3[[#This Row],[Площадь уборки, га]], "-")</f>
        <v>1.50731707317073</v>
      </c>
    </row>
    <row r="19" customFormat="false" ht="13.5" hidden="false" customHeight="false" outlineLevel="0" collapsed="false">
      <c r="A19" s="89" t="str">
        <f aca="false">A18</f>
        <v>Подсолнечник кондитерский</v>
      </c>
      <c r="B19" s="87"/>
      <c r="E19" s="80" t="n">
        <v>45916</v>
      </c>
      <c r="F19" s="90" t="n">
        <v>43</v>
      </c>
      <c r="G19" s="81" t="n">
        <v>20280</v>
      </c>
      <c r="H19" s="82" t="n">
        <f aca="false">IFERROR(Таблица3[[#This Row],[Валовый сбор, кг]]/100/Таблица3[[#This Row],[Площадь уборки, га]], "-")</f>
        <v>4.71627906976744</v>
      </c>
    </row>
    <row r="20" customFormat="false" ht="13.5" hidden="false" customHeight="false" outlineLevel="0" collapsed="false">
      <c r="A20" s="88" t="s">
        <v>388</v>
      </c>
      <c r="B20" s="87"/>
      <c r="E20" s="80" t="n">
        <v>45917</v>
      </c>
      <c r="F20" s="90" t="n">
        <v>19</v>
      </c>
      <c r="G20" s="81" t="n">
        <v>13040</v>
      </c>
      <c r="H20" s="82" t="n">
        <f aca="false">IFERROR(Таблица3[[#This Row],[Валовый сбор, кг]]/100/Таблица3[[#This Row],[Площадь уборки, га]], "-")</f>
        <v>6.86315789473684</v>
      </c>
    </row>
    <row r="21" customFormat="false" ht="13.5" hidden="false" customHeight="false" outlineLevel="0" collapsed="false">
      <c r="A21" s="89" t="str">
        <f aca="false">A19</f>
        <v>Подсолнечник кондитерский</v>
      </c>
      <c r="B21" s="87" t="s">
        <v>392</v>
      </c>
      <c r="C21" s="78" t="s">
        <v>390</v>
      </c>
      <c r="D21" s="92" t="n">
        <v>96</v>
      </c>
      <c r="E21" s="80" t="n">
        <v>45913</v>
      </c>
      <c r="F21" s="90" t="n">
        <v>3</v>
      </c>
      <c r="G21" s="81" t="n">
        <v>1500</v>
      </c>
      <c r="H21" s="82" t="n">
        <f aca="false">IFERROR(Таблица3[[#This Row],[Валовый сбор, кг]]/100/Таблица3[[#This Row],[Площадь уборки, га]], "-")</f>
        <v>5</v>
      </c>
    </row>
    <row r="22" customFormat="false" ht="13.5" hidden="false" customHeight="false" outlineLevel="0" collapsed="false">
      <c r="A22" s="88" t="str">
        <f aca="false">A21</f>
        <v>Подсолнечник кондитерский</v>
      </c>
      <c r="B22" s="87"/>
      <c r="E22" s="80" t="n">
        <v>45917</v>
      </c>
      <c r="F22" s="90" t="n">
        <v>19</v>
      </c>
      <c r="G22" s="81" t="n">
        <v>15040</v>
      </c>
      <c r="H22" s="82" t="n">
        <f aca="false">IFERROR(Таблица3[[#This Row],[Валовый сбор, кг]]/100/Таблица3[[#This Row],[Площадь уборки, га]], "-")</f>
        <v>7.91578947368421</v>
      </c>
    </row>
    <row r="23" customFormat="false" ht="13.5" hidden="false" customHeight="false" outlineLevel="0" collapsed="false">
      <c r="A23" s="89" t="str">
        <f aca="false">A22</f>
        <v>Подсолнечник кондитерский</v>
      </c>
      <c r="B23" s="87"/>
      <c r="E23" s="80" t="n">
        <v>45918</v>
      </c>
      <c r="F23" s="90" t="n">
        <v>35</v>
      </c>
      <c r="G23" s="81" t="n">
        <v>23400</v>
      </c>
      <c r="H23" s="82" t="n">
        <f aca="false">IFERROR(Таблица3[[#This Row],[Валовый сбор, кг]]/100/Таблица3[[#This Row],[Площадь уборки, га]], "-")</f>
        <v>6.68571428571429</v>
      </c>
    </row>
    <row r="24" customFormat="false" ht="13.5" hidden="false" customHeight="false" outlineLevel="0" collapsed="false">
      <c r="A24" s="88" t="s">
        <v>388</v>
      </c>
      <c r="B24" s="87"/>
      <c r="E24" s="80" t="n">
        <v>45922</v>
      </c>
      <c r="F24" s="90" t="n">
        <v>5</v>
      </c>
      <c r="G24" s="81" t="n">
        <v>4180</v>
      </c>
      <c r="H24" s="82" t="n">
        <f aca="false">IFERROR(Таблица3[[#This Row],[Валовый сбор, кг]]/100/Таблица3[[#This Row],[Площадь уборки, га]], "-")</f>
        <v>8.36</v>
      </c>
    </row>
    <row r="25" customFormat="false" ht="13.5" hidden="false" customHeight="false" outlineLevel="0" collapsed="false">
      <c r="A25" s="89"/>
      <c r="B25" s="87"/>
      <c r="E25" s="80" t="n">
        <v>45923</v>
      </c>
      <c r="F25" s="90" t="n">
        <v>34</v>
      </c>
      <c r="G25" s="81" t="n">
        <v>22720</v>
      </c>
      <c r="H25" s="82" t="n">
        <f aca="false">IFERROR(Таблица3[[#This Row],[Валовый сбор, кг]]/100/Таблица3[[#This Row],[Площадь уборки, га]], "-")</f>
        <v>6.68235294117647</v>
      </c>
    </row>
    <row r="26" customFormat="false" ht="13.5" hidden="false" customHeight="false" outlineLevel="0" collapsed="false">
      <c r="A26" s="88" t="str">
        <f aca="false">A23</f>
        <v>Подсолнечник кондитерский</v>
      </c>
      <c r="B26" s="87" t="s">
        <v>393</v>
      </c>
      <c r="C26" s="78" t="s">
        <v>390</v>
      </c>
      <c r="D26" s="92" t="n">
        <v>24</v>
      </c>
      <c r="E26" s="80" t="n">
        <v>45913</v>
      </c>
      <c r="F26" s="90" t="n">
        <v>3</v>
      </c>
      <c r="G26" s="81" t="n">
        <v>1300</v>
      </c>
      <c r="H26" s="82" t="n">
        <f aca="false">IFERROR(Таблица3[[#This Row],[Валовый сбор, кг]]/100/Таблица3[[#This Row],[Площадь уборки, га]], "-")</f>
        <v>4.33333333333333</v>
      </c>
    </row>
    <row r="27" customFormat="false" ht="13.5" hidden="false" customHeight="false" outlineLevel="0" collapsed="false">
      <c r="A27" s="89" t="str">
        <f aca="false">A26</f>
        <v>Подсолнечник кондитерский</v>
      </c>
      <c r="B27" s="87"/>
      <c r="E27" s="80" t="n">
        <v>45924</v>
      </c>
      <c r="F27" s="90" t="n">
        <v>11</v>
      </c>
      <c r="G27" s="81" t="n">
        <v>3600</v>
      </c>
      <c r="H27" s="82" t="n">
        <f aca="false">IFERROR(Таблица3[[#This Row],[Валовый сбор, кг]]/100/Таблица3[[#This Row],[Площадь уборки, га]], "-")</f>
        <v>3.27272727272727</v>
      </c>
    </row>
    <row r="28" customFormat="false" ht="13.5" hidden="false" customHeight="false" outlineLevel="0" collapsed="false">
      <c r="A28" s="88" t="str">
        <f aca="false">A27</f>
        <v>Подсолнечник кондитерский</v>
      </c>
      <c r="B28" s="87"/>
      <c r="E28" s="80" t="n">
        <v>45927</v>
      </c>
      <c r="F28" s="90" t="n">
        <v>10</v>
      </c>
      <c r="G28" s="81" t="n">
        <v>5620</v>
      </c>
      <c r="H28" s="82" t="n">
        <f aca="false">IFERROR(Таблица3[[#This Row],[Валовый сбор, кг]]/100/Таблица3[[#This Row],[Площадь уборки, га]], "-")</f>
        <v>5.62</v>
      </c>
    </row>
    <row r="29" customFormat="false" ht="13.5" hidden="false" customHeight="false" outlineLevel="0" collapsed="false">
      <c r="A29" s="87"/>
      <c r="B29" s="87"/>
      <c r="D29" s="79" t="n">
        <f aca="false">SUBTOTAL(109,Таблица3[Площадь поля, га])</f>
        <v>358</v>
      </c>
      <c r="F29" s="90" t="n">
        <f aca="false">SUBTOTAL(109,Таблица3[Площадь уборки, га])</f>
        <v>358</v>
      </c>
      <c r="G29" s="81" t="n">
        <f aca="false">SUBTOTAL(109,Таблица3[Валовый сбор, кг])</f>
        <v>146080</v>
      </c>
      <c r="H29" s="82" t="n">
        <f aca="false">IFERROR(Таблица3[[#Totals],[Валовый сбор, кг]]/100/Таблица3[[#Totals],[Площадь уборки, га]], "-")</f>
        <v>4.0804469273743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0" activeCellId="0" sqref="G40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78" width="29"/>
    <col collapsed="false" customWidth="true" hidden="false" outlineLevel="0" max="2" min="2" style="78" width="18.67"/>
    <col collapsed="false" customWidth="true" hidden="false" outlineLevel="0" max="3" min="3" style="79" width="12.56"/>
    <col collapsed="false" customWidth="true" hidden="false" outlineLevel="0" max="4" min="4" style="80" width="14.44"/>
    <col collapsed="false" customWidth="true" hidden="false" outlineLevel="0" max="5" min="5" style="78" width="12.56"/>
    <col collapsed="false" customWidth="true" hidden="false" outlineLevel="0" max="6" min="6" style="81" width="19.44"/>
    <col collapsed="false" customWidth="true" hidden="false" outlineLevel="0" max="7" min="7" style="82" width="15.88"/>
    <col collapsed="false" customWidth="false" hidden="false" outlineLevel="0" max="16384" min="8" style="78" width="9.11"/>
  </cols>
  <sheetData>
    <row r="1" s="83" customFormat="true" ht="48.75" hidden="false" customHeight="true" outlineLevel="0" collapsed="false">
      <c r="A1" s="83" t="s">
        <v>372</v>
      </c>
      <c r="B1" s="83" t="s">
        <v>373</v>
      </c>
      <c r="C1" s="84" t="s">
        <v>374</v>
      </c>
      <c r="D1" s="83" t="s">
        <v>375</v>
      </c>
      <c r="E1" s="83" t="s">
        <v>376</v>
      </c>
      <c r="F1" s="85" t="s">
        <v>377</v>
      </c>
      <c r="G1" s="86" t="s">
        <v>355</v>
      </c>
    </row>
    <row r="2" customFormat="false" ht="13.5" hidden="false" customHeight="false" outlineLevel="0" collapsed="false">
      <c r="A2" s="87" t="s">
        <v>394</v>
      </c>
      <c r="B2" s="78" t="s">
        <v>395</v>
      </c>
      <c r="C2" s="79" t="n">
        <v>60</v>
      </c>
      <c r="D2" s="80" t="n">
        <v>45897</v>
      </c>
      <c r="E2" s="78" t="n">
        <v>60</v>
      </c>
      <c r="F2" s="81" t="n">
        <v>45240</v>
      </c>
      <c r="G2" s="82" t="n">
        <f aca="false">IFERROR(Таблица37[[#This Row],[Валовый сбор, кг]]/100/Таблица37[[#This Row],[Площадь уборки, га]], "-")</f>
        <v>7.54</v>
      </c>
    </row>
    <row r="3" customFormat="false" ht="13.5" hidden="false" customHeight="false" outlineLevel="0" collapsed="false">
      <c r="A3" s="87" t="s">
        <v>396</v>
      </c>
      <c r="B3" s="78" t="s">
        <v>395</v>
      </c>
      <c r="C3" s="79" t="n">
        <v>58</v>
      </c>
      <c r="D3" s="80" t="n">
        <v>45896</v>
      </c>
      <c r="E3" s="78" t="n">
        <v>54</v>
      </c>
      <c r="F3" s="81" t="n">
        <v>40940</v>
      </c>
      <c r="G3" s="82" t="n">
        <f aca="false">IFERROR(Таблица37[[#This Row],[Валовый сбор, кг]]/100/Таблица37[[#This Row],[Площадь уборки, га]], "-")</f>
        <v>7.58148148148148</v>
      </c>
    </row>
    <row r="4" customFormat="false" ht="13.5" hidden="false" customHeight="false" outlineLevel="0" collapsed="false">
      <c r="A4" s="87"/>
      <c r="D4" s="80" t="n">
        <v>45897</v>
      </c>
      <c r="E4" s="78" t="n">
        <v>4</v>
      </c>
      <c r="F4" s="81" t="n">
        <v>3500</v>
      </c>
      <c r="G4" s="82" t="n">
        <f aca="false">IFERROR(Таблица37[[#This Row],[Валовый сбор, кг]]/100/Таблица37[[#This Row],[Площадь уборки, га]], "-")</f>
        <v>8.75</v>
      </c>
    </row>
    <row r="5" customFormat="false" ht="13.5" hidden="false" customHeight="false" outlineLevel="0" collapsed="false">
      <c r="A5" s="87" t="s">
        <v>397</v>
      </c>
      <c r="B5" s="78" t="s">
        <v>395</v>
      </c>
      <c r="C5" s="79" t="n">
        <v>49</v>
      </c>
      <c r="D5" s="80" t="n">
        <v>45897</v>
      </c>
      <c r="E5" s="78" t="n">
        <v>49</v>
      </c>
      <c r="F5" s="81" t="n">
        <v>19620</v>
      </c>
      <c r="G5" s="82" t="n">
        <f aca="false">IFERROR(Таблица37[[#This Row],[Валовый сбор, кг]]/100/Таблица37[[#This Row],[Площадь уборки, га]], "-")</f>
        <v>4.00408163265306</v>
      </c>
    </row>
    <row r="6" customFormat="false" ht="13.5" hidden="false" customHeight="false" outlineLevel="0" collapsed="false">
      <c r="A6" s="87"/>
      <c r="C6" s="79" t="n">
        <f aca="false">SUBTOTAL(109,Таблица37[Площадь поля, га])</f>
        <v>167</v>
      </c>
      <c r="E6" s="78" t="n">
        <f aca="false">SUBTOTAL(109,Таблица37[Площадь уборки, га])</f>
        <v>167</v>
      </c>
      <c r="F6" s="81" t="n">
        <f aca="false">SUBTOTAL(109,Таблица37[Валовый сбор, кг])</f>
        <v>109300</v>
      </c>
      <c r="G6" s="82" t="n">
        <f aca="false">IFERROR(Таблица37[[#Totals],[Валовый сбор, кг]]/100/Таблица37[[#Totals],[Площадь уборки, га]], "-")</f>
        <v>6.54491017964072</v>
      </c>
    </row>
    <row r="9" customFormat="false" ht="17.25" hidden="false" customHeight="false" outlineLevel="0" collapsed="false">
      <c r="A9" s="57" t="s">
        <v>398</v>
      </c>
      <c r="B9" s="59"/>
      <c r="C9" s="59"/>
      <c r="D9" s="93"/>
    </row>
    <row r="10" s="78" customFormat="true" ht="13.5" hidden="false" customHeight="false" outlineLevel="0" collapsed="false">
      <c r="A10" s="23" t="s">
        <v>365</v>
      </c>
      <c r="B10" s="39" t="n">
        <v>167</v>
      </c>
      <c r="C10" s="94" t="n">
        <v>167</v>
      </c>
      <c r="D10" s="60" t="n">
        <f aca="false">B10*10/C10</f>
        <v>10</v>
      </c>
      <c r="E10" s="80"/>
      <c r="G10" s="81"/>
      <c r="H10" s="82"/>
    </row>
    <row r="11" s="78" customFormat="true" ht="13.5" hidden="false" customHeight="false" outlineLevel="0" collapsed="false">
      <c r="A11" s="61" t="s">
        <v>366</v>
      </c>
      <c r="B11" s="62" t="n">
        <f aca="false">Таблица37[[#Totals],[Валовый сбор, кг]]/1000</f>
        <v>109.3</v>
      </c>
      <c r="C11" s="95" t="n">
        <f aca="false">Таблица37[[#Totals],[Площадь уборки, га]]</f>
        <v>167</v>
      </c>
      <c r="D11" s="48" t="n">
        <f aca="false">B11*10/C11</f>
        <v>6.54491017964072</v>
      </c>
      <c r="E11" s="80"/>
      <c r="G11" s="81"/>
      <c r="H11" s="82"/>
    </row>
    <row r="12" s="78" customFormat="true" ht="13.5" hidden="false" customHeight="false" outlineLevel="0" collapsed="false">
      <c r="A12" s="12"/>
      <c r="B12" s="12"/>
      <c r="C12" s="12"/>
      <c r="D12" s="12"/>
      <c r="E12" s="80"/>
      <c r="G12" s="81"/>
      <c r="H12" s="82"/>
    </row>
    <row r="13" s="78" customFormat="true" ht="13.5" hidden="false" customHeight="false" outlineLevel="0" collapsed="false">
      <c r="A13" s="23" t="s">
        <v>367</v>
      </c>
      <c r="B13" s="64" t="n">
        <f aca="false">C11/C10</f>
        <v>1</v>
      </c>
      <c r="C13" s="64"/>
      <c r="D13" s="65"/>
      <c r="E13" s="80"/>
      <c r="G13" s="81"/>
      <c r="H13" s="82"/>
    </row>
    <row r="14" s="78" customFormat="true" ht="13.5" hidden="false" customHeight="false" outlineLevel="0" collapsed="false">
      <c r="A14" s="23" t="s">
        <v>399</v>
      </c>
      <c r="B14" s="64" t="n">
        <f aca="false">B11/B10</f>
        <v>0.654491017964072</v>
      </c>
      <c r="C14" s="64"/>
      <c r="D14" s="12"/>
      <c r="E14" s="80"/>
      <c r="G14" s="81"/>
      <c r="H14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B2:AD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30" activeCellId="0" sqref="H30"/>
    </sheetView>
  </sheetViews>
  <sheetFormatPr defaultColWidth="9.109375" defaultRowHeight="13.5" customHeight="true" zeroHeight="false" outlineLevelRow="0" outlineLevelCol="1"/>
  <cols>
    <col collapsed="false" customWidth="true" hidden="false" outlineLevel="0" max="1" min="1" style="12" width="3.34"/>
    <col collapsed="false" customWidth="true" hidden="false" outlineLevel="0" max="2" min="2" style="12" width="32.34"/>
    <col collapsed="false" customWidth="true" hidden="false" outlineLevel="0" max="6" min="3" style="12" width="13.56"/>
    <col collapsed="false" customWidth="true" hidden="false" outlineLevel="0" max="7" min="7" style="12" width="12.88"/>
    <col collapsed="false" customWidth="true" hidden="false" outlineLevel="0" max="8" min="8" style="12" width="14.33"/>
    <col collapsed="false" customWidth="true" hidden="false" outlineLevel="0" max="9" min="9" style="12" width="12.88"/>
    <col collapsed="false" customWidth="true" hidden="false" outlineLevel="0" max="12" min="10" style="12" width="2.88"/>
    <col collapsed="false" customWidth="true" hidden="false" outlineLevel="0" max="13" min="13" style="12" width="13.11"/>
    <col collapsed="false" customWidth="true" hidden="true" outlineLevel="0" max="14" min="14" style="16" width="10.44"/>
    <col collapsed="false" customWidth="true" hidden="false" outlineLevel="0" max="15" min="15" style="12" width="12.11"/>
    <col collapsed="false" customWidth="true" hidden="false" outlineLevel="0" max="16" min="16" style="12" width="15.33"/>
    <col collapsed="false" customWidth="true" hidden="false" outlineLevel="0" max="17" min="17" style="12" width="15.56"/>
    <col collapsed="false" customWidth="true" hidden="true" outlineLevel="1" max="19" min="18" style="12" width="12.44"/>
    <col collapsed="false" customWidth="true" hidden="true" outlineLevel="1" max="20" min="20" style="12" width="13.56"/>
    <col collapsed="false" customWidth="true" hidden="true" outlineLevel="1" max="22" min="21" style="12" width="12.44"/>
    <col collapsed="false" customWidth="true" hidden="false" outlineLevel="0" max="23" min="23" style="12" width="8.88"/>
    <col collapsed="false" customWidth="true" hidden="false" outlineLevel="0" max="24" min="24" style="12" width="11.44"/>
    <col collapsed="false" customWidth="true" hidden="false" outlineLevel="0" max="25" min="25" style="12" width="12.67"/>
    <col collapsed="false" customWidth="true" hidden="false" outlineLevel="0" max="26" min="26" style="12" width="9.33"/>
    <col collapsed="false" customWidth="true" hidden="false" outlineLevel="0" max="27" min="27" style="12" width="10.66"/>
    <col collapsed="false" customWidth="true" hidden="false" outlineLevel="0" max="28" min="28" style="12" width="11.44"/>
    <col collapsed="false" customWidth="true" hidden="true" outlineLevel="0" max="29" min="29" style="12" width="15.33"/>
    <col collapsed="false" customWidth="true" hidden="true" outlineLevel="0" max="30" min="30" style="12" width="11.53"/>
    <col collapsed="false" customWidth="false" hidden="false" outlineLevel="0" max="16384" min="31" style="12" width="9.11"/>
  </cols>
  <sheetData>
    <row r="2" customFormat="false" ht="27.75" hidden="false" customHeight="true" outlineLevel="0" collapsed="false">
      <c r="B2" s="13" t="s">
        <v>400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96"/>
      <c r="V2" s="97"/>
      <c r="W2" s="97"/>
      <c r="X2" s="97"/>
    </row>
    <row r="3" customFormat="false" ht="17.25" hidden="false" customHeight="false" outlineLevel="0" collapsed="false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5" s="16" customFormat="tru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8" t="s">
        <v>332</v>
      </c>
      <c r="I5" s="19" t="s">
        <v>333</v>
      </c>
      <c r="M5" s="21" t="s">
        <v>334</v>
      </c>
      <c r="N5" s="21" t="s">
        <v>335</v>
      </c>
      <c r="O5" s="21" t="s">
        <v>336</v>
      </c>
      <c r="P5" s="21" t="s">
        <v>337</v>
      </c>
      <c r="Q5" s="21" t="s">
        <v>338</v>
      </c>
      <c r="R5" s="21" t="s">
        <v>338</v>
      </c>
      <c r="S5" s="21" t="s">
        <v>338</v>
      </c>
      <c r="T5" s="21" t="s">
        <v>338</v>
      </c>
      <c r="U5" s="21" t="s">
        <v>338</v>
      </c>
      <c r="V5" s="21" t="s">
        <v>338</v>
      </c>
      <c r="W5" s="21" t="s">
        <v>340</v>
      </c>
      <c r="X5" s="21" t="s">
        <v>341</v>
      </c>
      <c r="Y5" s="21" t="s">
        <v>401</v>
      </c>
      <c r="Z5" s="21" t="s">
        <v>402</v>
      </c>
      <c r="AA5" s="21" t="s">
        <v>403</v>
      </c>
    </row>
    <row r="6" customFormat="false" ht="13.5" hidden="false" customHeight="true" outlineLevel="0" collapsed="false">
      <c r="B6" s="23" t="s">
        <v>343</v>
      </c>
      <c r="C6" s="25" t="n">
        <v>44010</v>
      </c>
      <c r="D6" s="25" t="n">
        <v>44377</v>
      </c>
      <c r="E6" s="25" t="n">
        <v>45109</v>
      </c>
      <c r="F6" s="25" t="n">
        <v>45106</v>
      </c>
      <c r="G6" s="25" t="n">
        <v>45460</v>
      </c>
      <c r="H6" s="25" t="n">
        <v>45834</v>
      </c>
      <c r="I6" s="26" t="n">
        <f aca="false">M6</f>
        <v>46204</v>
      </c>
      <c r="M6" s="98" t="n">
        <v>46204</v>
      </c>
      <c r="N6" s="28"/>
      <c r="O6" s="99" t="n">
        <v>69</v>
      </c>
      <c r="P6" s="30" t="n">
        <f aca="false">274100+204760</f>
        <v>478860</v>
      </c>
      <c r="Q6" s="31" t="n">
        <f aca="false">IFERROR(P6/100/O6,0)</f>
        <v>69.4</v>
      </c>
      <c r="R6" s="98" t="n">
        <v>46205</v>
      </c>
      <c r="S6" s="28"/>
      <c r="T6" s="99" t="n">
        <v>70</v>
      </c>
      <c r="U6" s="30" t="n">
        <f aca="false">274100+204760</f>
        <v>478860</v>
      </c>
      <c r="V6" s="31" t="n">
        <f aca="false">IFERROR(U6/100/T6,0)</f>
        <v>68.4085714285714</v>
      </c>
      <c r="W6" s="100" t="n">
        <v>0.143</v>
      </c>
      <c r="X6" s="101" t="n">
        <v>0.13</v>
      </c>
      <c r="Y6" s="100" t="n">
        <v>0.275</v>
      </c>
      <c r="Z6" s="102" t="n">
        <v>728</v>
      </c>
      <c r="AA6" s="100" t="n">
        <v>0</v>
      </c>
      <c r="AC6" s="30" t="n">
        <f aca="false">21810620+30960</f>
        <v>21841580</v>
      </c>
      <c r="AD6" s="12" t="s">
        <v>404</v>
      </c>
    </row>
    <row r="7" customFormat="false" ht="13.5" hidden="false" customHeight="true" outlineLevel="0" collapsed="false">
      <c r="B7" s="23" t="s">
        <v>344</v>
      </c>
      <c r="C7" s="25" t="n">
        <v>44031</v>
      </c>
      <c r="D7" s="25" t="n">
        <v>44407</v>
      </c>
      <c r="E7" s="25" t="n">
        <v>45136</v>
      </c>
      <c r="F7" s="25" t="n">
        <v>45140</v>
      </c>
      <c r="G7" s="25" t="n">
        <v>45476</v>
      </c>
      <c r="H7" s="25" t="n">
        <v>45850</v>
      </c>
      <c r="I7" s="26" t="n">
        <f aca="false">M24</f>
        <v>46222</v>
      </c>
      <c r="M7" s="98" t="n">
        <v>46205</v>
      </c>
      <c r="N7" s="28"/>
      <c r="O7" s="99" t="n">
        <v>204</v>
      </c>
      <c r="P7" s="30" t="n">
        <v>1315380</v>
      </c>
      <c r="Q7" s="31" t="n">
        <f aca="false">IFERROR(P7/100/O7,0)</f>
        <v>64.4794117647059</v>
      </c>
      <c r="R7" s="98"/>
      <c r="S7" s="28"/>
      <c r="T7" s="99"/>
      <c r="U7" s="30"/>
      <c r="V7" s="31" t="n">
        <f aca="false">IFERROR(U7/100/T7,0)</f>
        <v>0</v>
      </c>
      <c r="W7" s="100" t="n">
        <f aca="false">AVERAGE(0.116,0.114,0.134)</f>
        <v>0.121333333333333</v>
      </c>
      <c r="X7" s="101" t="n">
        <f aca="false">AVERAGE(0.128,0.112,0.108)</f>
        <v>0.116</v>
      </c>
      <c r="Y7" s="100" t="n">
        <f aca="false">AVERAGE(0.19,0.201,0.239)</f>
        <v>0.21</v>
      </c>
      <c r="Z7" s="103" t="n">
        <f aca="false">AVERAGE(719,770,777)</f>
        <v>755.333333333333</v>
      </c>
      <c r="AA7" s="100" t="n">
        <v>0</v>
      </c>
      <c r="AC7" s="30" t="n">
        <v>1520010</v>
      </c>
      <c r="AD7" s="12" t="s">
        <v>405</v>
      </c>
    </row>
    <row r="8" customFormat="false" ht="13.5" hidden="false" customHeight="true" outlineLevel="0" collapsed="false">
      <c r="B8" s="23" t="s">
        <v>345</v>
      </c>
      <c r="C8" s="34" t="n">
        <f aca="false">IF(C7=0,"-",C7-C6+1)</f>
        <v>22</v>
      </c>
      <c r="D8" s="34" t="n">
        <f aca="false">IF(D7=0,"-",D7-D6+1)</f>
        <v>31</v>
      </c>
      <c r="E8" s="34" t="n">
        <f aca="false">IF(E7=0,"-",E7-E6+1)</f>
        <v>28</v>
      </c>
      <c r="F8" s="34" t="n">
        <f aca="false">IF(F7=0,"-",F7-F6+1)</f>
        <v>35</v>
      </c>
      <c r="G8" s="34" t="n">
        <f aca="false">IF(G7=0,"-",G7-G6+1)</f>
        <v>17</v>
      </c>
      <c r="H8" s="34" t="n">
        <v>17</v>
      </c>
      <c r="I8" s="35" t="n">
        <f aca="false">IF(I7=0,"-",I7-I6+1)</f>
        <v>19</v>
      </c>
      <c r="M8" s="98" t="n">
        <v>46206</v>
      </c>
      <c r="N8" s="28"/>
      <c r="O8" s="99" t="n">
        <v>229</v>
      </c>
      <c r="P8" s="30" t="n">
        <v>1464280</v>
      </c>
      <c r="Q8" s="31" t="n">
        <f aca="false">IFERROR(P8/100/O8,0)</f>
        <v>63.9423580786026</v>
      </c>
      <c r="R8" s="98"/>
      <c r="S8" s="28"/>
      <c r="T8" s="99"/>
      <c r="U8" s="30"/>
      <c r="V8" s="31" t="n">
        <f aca="false">IFERROR(U8/100/T8,0)</f>
        <v>0</v>
      </c>
      <c r="W8" s="100" t="n">
        <f aca="false">AVERAGE(0.12,0.117)</f>
        <v>0.1185</v>
      </c>
      <c r="X8" s="101" t="n">
        <f aca="false">AVERAGE(0.121,0.115)</f>
        <v>0.118</v>
      </c>
      <c r="Y8" s="100" t="n">
        <f aca="false">AVERAGE(0.204,0.205)</f>
        <v>0.2045</v>
      </c>
      <c r="Z8" s="103" t="n">
        <f aca="false">AVERAGE(774,778)</f>
        <v>776</v>
      </c>
      <c r="AA8" s="100" t="n">
        <v>0</v>
      </c>
      <c r="AC8" s="104" t="n">
        <f aca="false">SUM(AC6:AC7)</f>
        <v>23361590</v>
      </c>
    </row>
    <row r="9" customFormat="false" ht="13.5" hidden="false" customHeight="true" outlineLevel="0" collapsed="false">
      <c r="B9" s="23" t="s">
        <v>346</v>
      </c>
      <c r="C9" s="34" t="n">
        <v>21</v>
      </c>
      <c r="D9" s="34" t="n">
        <v>23</v>
      </c>
      <c r="E9" s="34" t="n">
        <v>24</v>
      </c>
      <c r="F9" s="34" t="n">
        <v>27</v>
      </c>
      <c r="G9" s="34" t="n">
        <v>17</v>
      </c>
      <c r="H9" s="34" t="n">
        <v>14</v>
      </c>
      <c r="I9" s="35" t="n">
        <v>19</v>
      </c>
      <c r="M9" s="98" t="n">
        <v>46207</v>
      </c>
      <c r="N9" s="28"/>
      <c r="O9" s="99" t="n">
        <v>156</v>
      </c>
      <c r="P9" s="30" t="n">
        <v>1121200</v>
      </c>
      <c r="Q9" s="31" t="n">
        <f aca="false">IFERROR(P9/100/O9,0)</f>
        <v>71.8717948717949</v>
      </c>
      <c r="R9" s="98"/>
      <c r="S9" s="28"/>
      <c r="T9" s="99"/>
      <c r="U9" s="30"/>
      <c r="V9" s="31" t="n">
        <f aca="false">IFERROR(U9/100/T9,0)</f>
        <v>0</v>
      </c>
      <c r="W9" s="100" t="n">
        <v>0.123</v>
      </c>
      <c r="X9" s="101" t="n">
        <v>0.124</v>
      </c>
      <c r="Y9" s="100" t="n">
        <v>0.22</v>
      </c>
      <c r="Z9" s="103" t="n">
        <v>787</v>
      </c>
      <c r="AA9" s="100" t="n">
        <v>0</v>
      </c>
    </row>
    <row r="10" customFormat="false" ht="13.5" hidden="false" customHeight="true" outlineLevel="0" collapsed="false">
      <c r="B10" s="23" t="s">
        <v>347</v>
      </c>
      <c r="C10" s="36" t="s">
        <v>406</v>
      </c>
      <c r="D10" s="36" t="s">
        <v>406</v>
      </c>
      <c r="E10" s="36" t="s">
        <v>407</v>
      </c>
      <c r="F10" s="36" t="s">
        <v>408</v>
      </c>
      <c r="G10" s="36" t="s">
        <v>409</v>
      </c>
      <c r="H10" s="36" t="s">
        <v>410</v>
      </c>
      <c r="I10" s="37" t="s">
        <v>411</v>
      </c>
      <c r="M10" s="98" t="n">
        <v>46208</v>
      </c>
      <c r="N10" s="28"/>
      <c r="O10" s="99" t="n">
        <v>245</v>
      </c>
      <c r="P10" s="30" t="n">
        <v>1736590</v>
      </c>
      <c r="Q10" s="31" t="n">
        <f aca="false">IFERROR(P10/100/O10,0)</f>
        <v>70.8812244897959</v>
      </c>
      <c r="R10" s="98"/>
      <c r="S10" s="28"/>
      <c r="T10" s="99"/>
      <c r="U10" s="30"/>
      <c r="V10" s="31" t="n">
        <f aca="false">IFERROR(U10/100/T10,0)</f>
        <v>0</v>
      </c>
      <c r="W10" s="100" t="n">
        <f aca="false">AVERAGE(0.125,0.132,0.117)</f>
        <v>0.124666666666667</v>
      </c>
      <c r="X10" s="101" t="n">
        <f aca="false">AVERAGE(0.133,0.134,0.143)</f>
        <v>0.136666666666667</v>
      </c>
      <c r="Y10" s="100" t="n">
        <f aca="false">AVERAGE(0.218,0.232,0.184)</f>
        <v>0.211333333333333</v>
      </c>
      <c r="Z10" s="103" t="n">
        <f aca="false">AVERAGE(780,773,768)</f>
        <v>773.666666666667</v>
      </c>
      <c r="AA10" s="100" t="n">
        <f aca="false">AVERAGE(0.2%,0,0)</f>
        <v>0.000666666666666667</v>
      </c>
      <c r="AC10" s="56"/>
    </row>
    <row r="11" customFormat="false" ht="13.5" hidden="false" customHeight="true" outlineLevel="0" collapsed="false">
      <c r="B11" s="23" t="s">
        <v>337</v>
      </c>
      <c r="C11" s="39" t="n">
        <v>15809.01</v>
      </c>
      <c r="D11" s="39" t="n">
        <v>18722.34</v>
      </c>
      <c r="E11" s="39" t="n">
        <v>22621.25</v>
      </c>
      <c r="F11" s="39" t="n">
        <v>16385.28</v>
      </c>
      <c r="G11" s="39" t="n">
        <v>18615.46</v>
      </c>
      <c r="H11" s="39" t="n">
        <v>18818.61</v>
      </c>
      <c r="I11" s="40" t="n">
        <f aca="false">C21</f>
        <v>23361.59</v>
      </c>
      <c r="M11" s="98" t="n">
        <v>46209</v>
      </c>
      <c r="N11" s="28"/>
      <c r="O11" s="99" t="n">
        <v>246</v>
      </c>
      <c r="P11" s="30" t="n">
        <v>1638000</v>
      </c>
      <c r="Q11" s="31" t="n">
        <f aca="false">IFERROR(P11/100/O11,0)</f>
        <v>66.5853658536585</v>
      </c>
      <c r="R11" s="98"/>
      <c r="S11" s="28"/>
      <c r="T11" s="99"/>
      <c r="U11" s="30"/>
      <c r="V11" s="31" t="n">
        <f aca="false">IFERROR(U11/100/T11,0)</f>
        <v>0</v>
      </c>
      <c r="W11" s="100" t="n">
        <f aca="false">AVERAGE(0.129,0.123,0.125,0.128)</f>
        <v>0.12625</v>
      </c>
      <c r="X11" s="101" t="n">
        <f aca="false">AVERAGE(0.145,0.128,0.124,0.144)</f>
        <v>0.13525</v>
      </c>
      <c r="Y11" s="100" t="n">
        <f aca="false">AVERAGE(0.2,0.208,0.211,0.219)</f>
        <v>0.2095</v>
      </c>
      <c r="Z11" s="103" t="n">
        <f aca="false">AVERAGE(780,770,780,812)</f>
        <v>785.5</v>
      </c>
      <c r="AA11" s="100" t="n">
        <f aca="false">AVERAGE(0,0,0,0.6%)</f>
        <v>0.0015</v>
      </c>
    </row>
    <row r="12" customFormat="false" ht="13.5" hidden="false" customHeight="true" outlineLevel="0" collapsed="false">
      <c r="B12" s="23" t="s">
        <v>353</v>
      </c>
      <c r="C12" s="41" t="n">
        <v>3068</v>
      </c>
      <c r="D12" s="41" t="n">
        <v>2960</v>
      </c>
      <c r="E12" s="41" t="n">
        <v>3111</v>
      </c>
      <c r="F12" s="41" t="n">
        <v>3055</v>
      </c>
      <c r="G12" s="41" t="n">
        <v>2882</v>
      </c>
      <c r="H12" s="41" t="n">
        <v>4163</v>
      </c>
      <c r="I12" s="42" t="n">
        <v>3798</v>
      </c>
      <c r="M12" s="98" t="n">
        <v>46210</v>
      </c>
      <c r="N12" s="28"/>
      <c r="O12" s="99" t="n">
        <v>200</v>
      </c>
      <c r="P12" s="30" t="n">
        <v>1280360</v>
      </c>
      <c r="Q12" s="31" t="n">
        <f aca="false">IFERROR(P12/100/O12,0)</f>
        <v>64.018</v>
      </c>
      <c r="R12" s="98"/>
      <c r="S12" s="28"/>
      <c r="T12" s="99"/>
      <c r="U12" s="30"/>
      <c r="V12" s="31" t="n">
        <f aca="false">IFERROR(U12/100/T12,0)</f>
        <v>0</v>
      </c>
      <c r="W12" s="100" t="n">
        <f aca="false">AVERAGE(0.114,0.116,0.112)</f>
        <v>0.114</v>
      </c>
      <c r="X12" s="101" t="n">
        <f aca="false">AVERAGE(0.115,0.11,0.123)</f>
        <v>0.116</v>
      </c>
      <c r="Y12" s="100" t="n">
        <f aca="false">AVERAGE(0.194,0.216,0.182)</f>
        <v>0.197333333333333</v>
      </c>
      <c r="Z12" s="103" t="n">
        <f aca="false">AVERAGE(731,775,747)</f>
        <v>751</v>
      </c>
      <c r="AA12" s="100" t="n">
        <f aca="false">AVERAGE(0.2%,0.1%)</f>
        <v>0.0015</v>
      </c>
    </row>
    <row r="13" customFormat="false" ht="13.5" hidden="false" customHeight="true" outlineLevel="0" collapsed="false">
      <c r="B13" s="23" t="s">
        <v>336</v>
      </c>
      <c r="C13" s="41" t="n">
        <v>3068</v>
      </c>
      <c r="D13" s="41" t="n">
        <v>2960</v>
      </c>
      <c r="E13" s="41" t="n">
        <v>3111</v>
      </c>
      <c r="F13" s="41" t="n">
        <v>3029</v>
      </c>
      <c r="G13" s="41" t="n">
        <v>2882</v>
      </c>
      <c r="H13" s="41" t="n">
        <v>4163</v>
      </c>
      <c r="I13" s="42" t="n">
        <f aca="false">O25</f>
        <v>3798</v>
      </c>
      <c r="M13" s="98" t="n">
        <v>46211</v>
      </c>
      <c r="N13" s="28"/>
      <c r="O13" s="99" t="n">
        <v>244</v>
      </c>
      <c r="P13" s="30" t="n">
        <v>1533380</v>
      </c>
      <c r="Q13" s="31" t="n">
        <f aca="false">IFERROR(P13/100/O13,0)</f>
        <v>62.8434426229508</v>
      </c>
      <c r="R13" s="98"/>
      <c r="S13" s="28"/>
      <c r="T13" s="99"/>
      <c r="U13" s="30"/>
      <c r="V13" s="31" t="n">
        <f aca="false">IFERROR(U13/100/T13,0)</f>
        <v>0</v>
      </c>
      <c r="W13" s="100" t="n">
        <f aca="false">AVERAGE(0.112,0.109,0.126)</f>
        <v>0.115666666666667</v>
      </c>
      <c r="X13" s="101" t="n">
        <f aca="false">AVERAGE(0.123,0.112,0.126)</f>
        <v>0.120333333333333</v>
      </c>
      <c r="Y13" s="100" t="n">
        <f aca="false">AVERAGE(0.182,0.186,0.227)</f>
        <v>0.198333333333333</v>
      </c>
      <c r="Z13" s="103" t="n">
        <f aca="false">AVERAGE(747,744,787)</f>
        <v>759.333333333333</v>
      </c>
      <c r="AA13" s="100" t="n">
        <f aca="false">AVERAGE(0.2%,0.2%,0.1%)</f>
        <v>0.00166666666666667</v>
      </c>
    </row>
    <row r="14" customFormat="false" ht="13.5" hidden="false" customHeight="true" outlineLevel="0" collapsed="false">
      <c r="B14" s="23" t="s">
        <v>355</v>
      </c>
      <c r="C14" s="60" t="n">
        <v>51.5287157757497</v>
      </c>
      <c r="D14" s="60" t="n">
        <v>63.2511486486487</v>
      </c>
      <c r="E14" s="60" t="n">
        <v>72.7137576342012</v>
      </c>
      <c r="F14" s="60" t="n">
        <v>54.0946847144272</v>
      </c>
      <c r="G14" s="60" t="n">
        <v>64.5921582234559</v>
      </c>
      <c r="H14" s="60" t="n">
        <v>45.2044439106414</v>
      </c>
      <c r="I14" s="105" t="n">
        <f aca="false">Q25</f>
        <v>61.5102422327541</v>
      </c>
      <c r="M14" s="98" t="n">
        <v>46212</v>
      </c>
      <c r="N14" s="28"/>
      <c r="O14" s="99" t="n">
        <v>245</v>
      </c>
      <c r="P14" s="30" t="n">
        <v>1277920</v>
      </c>
      <c r="Q14" s="31" t="n">
        <f aca="false">IFERROR(P14/100/O14,0)</f>
        <v>52.16</v>
      </c>
      <c r="R14" s="98"/>
      <c r="S14" s="28"/>
      <c r="T14" s="99"/>
      <c r="U14" s="30"/>
      <c r="V14" s="31" t="n">
        <f aca="false">IFERROR(U14/100/T14,0)</f>
        <v>0</v>
      </c>
      <c r="W14" s="100" t="n">
        <f aca="false">AVERAGE(0.119,0.123,0.12)</f>
        <v>0.120666666666667</v>
      </c>
      <c r="X14" s="101" t="n">
        <f aca="false">AVERAGE(0.121)</f>
        <v>0.121</v>
      </c>
      <c r="Y14" s="100" t="n">
        <f aca="false">AVERAGE(0.215,0.223,0.225)</f>
        <v>0.221</v>
      </c>
      <c r="Z14" s="103" t="n">
        <f aca="false">AVERAGE(700,780,780)</f>
        <v>753.333333333333</v>
      </c>
      <c r="AA14" s="100" t="n">
        <f aca="false">AVERAGE(0.3%,0.4%,0.4%)</f>
        <v>0.00366666666666667</v>
      </c>
    </row>
    <row r="15" customFormat="false" ht="13.5" hidden="false" customHeight="true" outlineLevel="0" collapsed="false">
      <c r="B15" s="23" t="s">
        <v>356</v>
      </c>
      <c r="C15" s="60" t="n">
        <v>48.6</v>
      </c>
      <c r="D15" s="60" t="n">
        <v>64.5</v>
      </c>
      <c r="E15" s="60" t="n">
        <v>74.2</v>
      </c>
      <c r="F15" s="60" t="n">
        <v>59.3</v>
      </c>
      <c r="G15" s="60" t="n">
        <v>68.1</v>
      </c>
      <c r="H15" s="60" t="n">
        <v>41.5</v>
      </c>
      <c r="I15" s="105" t="n">
        <v>61.2</v>
      </c>
      <c r="J15" s="106"/>
      <c r="M15" s="98" t="n">
        <v>46213</v>
      </c>
      <c r="N15" s="28"/>
      <c r="O15" s="99" t="n">
        <v>77</v>
      </c>
      <c r="P15" s="30" t="n">
        <v>484100</v>
      </c>
      <c r="Q15" s="31" t="n">
        <f aca="false">IFERROR(P15/100/O15,0)</f>
        <v>62.8701298701299</v>
      </c>
      <c r="R15" s="98"/>
      <c r="S15" s="28"/>
      <c r="T15" s="99"/>
      <c r="U15" s="30"/>
      <c r="V15" s="31" t="n">
        <f aca="false">IFERROR(U15/100/T15,0)</f>
        <v>0</v>
      </c>
      <c r="W15" s="100" t="n">
        <f aca="false">AVERAGE(0.117)</f>
        <v>0.117</v>
      </c>
      <c r="X15" s="101" t="n">
        <f aca="false">AVERAGE(0.121)</f>
        <v>0.121</v>
      </c>
      <c r="Y15" s="100" t="n">
        <f aca="false">AVERAGE(0.223)</f>
        <v>0.223</v>
      </c>
      <c r="Z15" s="103" t="n">
        <f aca="false">AVERAGE(806)</f>
        <v>806</v>
      </c>
      <c r="AA15" s="100" t="n">
        <f aca="false">AVERAGE(0.2%)</f>
        <v>0.002</v>
      </c>
    </row>
    <row r="16" s="52" customFormat="true" ht="13.5" hidden="false" customHeight="true" outlineLevel="0" collapsed="false">
      <c r="B16" s="53" t="s">
        <v>357</v>
      </c>
      <c r="C16" s="54" t="s">
        <v>412</v>
      </c>
      <c r="D16" s="55" t="s">
        <v>360</v>
      </c>
      <c r="E16" s="55" t="s">
        <v>413</v>
      </c>
      <c r="F16" s="55" t="s">
        <v>414</v>
      </c>
      <c r="G16" s="54" t="s">
        <v>413</v>
      </c>
      <c r="H16" s="54" t="s">
        <v>415</v>
      </c>
      <c r="I16" s="54" t="s">
        <v>416</v>
      </c>
      <c r="J16" s="106"/>
      <c r="M16" s="98" t="n">
        <v>46214</v>
      </c>
      <c r="N16" s="28"/>
      <c r="O16" s="99" t="n">
        <v>193</v>
      </c>
      <c r="P16" s="30" t="n">
        <v>1180060</v>
      </c>
      <c r="Q16" s="31" t="n">
        <f aca="false">IFERROR(P16/100/O16,0)</f>
        <v>61.1430051813472</v>
      </c>
      <c r="R16" s="98"/>
      <c r="S16" s="28"/>
      <c r="T16" s="99"/>
      <c r="U16" s="30"/>
      <c r="V16" s="31" t="n">
        <f aca="false">IFERROR(U16/100/T16,0)</f>
        <v>0</v>
      </c>
      <c r="W16" s="100" t="n">
        <f aca="false">AVERAGE(0.117,0.128,0.124)</f>
        <v>0.123</v>
      </c>
      <c r="X16" s="101" t="n">
        <f aca="false">AVERAGE(0.121,0.144,0.112)</f>
        <v>0.125666666666667</v>
      </c>
      <c r="Y16" s="100" t="n">
        <f aca="false">AVERAGE(0.223,0.219,0.217)</f>
        <v>0.219666666666667</v>
      </c>
      <c r="Z16" s="103" t="n">
        <f aca="false">AVERAGE(806,812,809)</f>
        <v>809</v>
      </c>
      <c r="AA16" s="100" t="n">
        <f aca="false">AVERAGE(0.2%,0.6%)</f>
        <v>0.004</v>
      </c>
    </row>
    <row r="17" customFormat="false" ht="13.5" hidden="false" customHeight="true" outlineLevel="0" collapsed="false">
      <c r="C17" s="65"/>
      <c r="D17" s="65"/>
      <c r="E17" s="65"/>
      <c r="F17" s="65"/>
      <c r="M17" s="98" t="n">
        <v>46215</v>
      </c>
      <c r="N17" s="28"/>
      <c r="O17" s="99" t="n">
        <v>300</v>
      </c>
      <c r="P17" s="30" t="n">
        <v>1944270</v>
      </c>
      <c r="Q17" s="31" t="n">
        <f aca="false">IFERROR(P17/100/O17,0)</f>
        <v>64.809</v>
      </c>
      <c r="R17" s="98"/>
      <c r="S17" s="28"/>
      <c r="T17" s="99"/>
      <c r="U17" s="30"/>
      <c r="V17" s="31" t="n">
        <f aca="false">IFERROR(U17/100/T17,0)</f>
        <v>0</v>
      </c>
      <c r="W17" s="100" t="n">
        <f aca="false">AVERAGE(0.123)</f>
        <v>0.123</v>
      </c>
      <c r="X17" s="101" t="n">
        <f aca="false">AVERAGE(0.112,0.131,0.117,0.117)</f>
        <v>0.11925</v>
      </c>
      <c r="Y17" s="100" t="n">
        <f aca="false">AVERAGE(0.217,0.266,0.253,0.248)</f>
        <v>0.246</v>
      </c>
      <c r="Z17" s="103" t="n">
        <f aca="false">AVERAGE(809,770,778,804)</f>
        <v>790.25</v>
      </c>
      <c r="AA17" s="100" t="n">
        <f aca="false">AVERAGE(0.2%,0.2%)</f>
        <v>0.002</v>
      </c>
      <c r="AB17" s="52"/>
    </row>
    <row r="18" customFormat="false" ht="13.5" hidden="false" customHeight="true" outlineLevel="0" collapsed="false">
      <c r="M18" s="98" t="n">
        <v>46216</v>
      </c>
      <c r="N18" s="28"/>
      <c r="O18" s="99" t="n">
        <v>221</v>
      </c>
      <c r="P18" s="30" t="n">
        <v>1392320</v>
      </c>
      <c r="Q18" s="31" t="n">
        <f aca="false">IFERROR(P18/100/O18,0)</f>
        <v>63.0009049773756</v>
      </c>
      <c r="R18" s="98"/>
      <c r="S18" s="28"/>
      <c r="T18" s="99"/>
      <c r="U18" s="30"/>
      <c r="V18" s="31"/>
      <c r="W18" s="100" t="n">
        <f aca="false">AVERAGE(0.123,0.128,0.122)</f>
        <v>0.124333333333333</v>
      </c>
      <c r="X18" s="101" t="n">
        <f aca="false">AVERAGE(0.126,0.115,0.118)</f>
        <v>0.119666666666667</v>
      </c>
      <c r="Y18" s="100" t="n">
        <f aca="false">AVERAGE(0.207,0.233,0.214)</f>
        <v>0.218</v>
      </c>
      <c r="Z18" s="103" t="n">
        <f aca="false">AVERAGE(780,797,798)</f>
        <v>791.666666666667</v>
      </c>
      <c r="AA18" s="100" t="n">
        <f aca="false">AVERAGE(0.1%,0%,0.2%)</f>
        <v>0.001</v>
      </c>
      <c r="AB18" s="52"/>
    </row>
    <row r="19" customFormat="false" ht="13.5" hidden="false" customHeight="true" outlineLevel="0" collapsed="false">
      <c r="B19" s="57" t="s">
        <v>364</v>
      </c>
      <c r="C19" s="59"/>
      <c r="D19" s="15"/>
      <c r="E19" s="15"/>
      <c r="F19" s="15"/>
      <c r="G19" s="15"/>
      <c r="H19" s="15"/>
      <c r="I19" s="15"/>
      <c r="J19" s="15"/>
      <c r="K19" s="15"/>
      <c r="L19" s="15"/>
      <c r="M19" s="98" t="n">
        <v>46217</v>
      </c>
      <c r="N19" s="28"/>
      <c r="O19" s="99" t="n">
        <v>320</v>
      </c>
      <c r="P19" s="30" t="n">
        <v>2018590</v>
      </c>
      <c r="Q19" s="31" t="n">
        <f aca="false">IFERROR(P19/100/O19,0)</f>
        <v>63.0809375</v>
      </c>
      <c r="R19" s="98"/>
      <c r="S19" s="28"/>
      <c r="T19" s="99"/>
      <c r="U19" s="30"/>
      <c r="V19" s="31"/>
      <c r="W19" s="100" t="n">
        <f aca="false">AVERAGE(0.138,0.147,0.127,0.131,0.131,0.133)</f>
        <v>0.1345</v>
      </c>
      <c r="X19" s="101" t="n">
        <f aca="false">AVERAGE(0.124,0.119,0.117,0.111,0.105,0.108)</f>
        <v>0.114</v>
      </c>
      <c r="Y19" s="100" t="n">
        <f aca="false">AVERAGE(0.25,0.266,0.213,0.23,0.252,0.25)</f>
        <v>0.2435</v>
      </c>
      <c r="Z19" s="103" t="n">
        <f aca="false">AVERAGE(779,770,750,763,806,789)</f>
        <v>776.166666666667</v>
      </c>
      <c r="AA19" s="100" t="n">
        <f aca="false">AVERAGE(0%,0.2%,0%,0.2%,0.2%,0%)</f>
        <v>0.001</v>
      </c>
      <c r="AB19" s="52"/>
    </row>
    <row r="20" customFormat="false" ht="13.5" hidden="false" customHeight="true" outlineLevel="0" collapsed="false">
      <c r="B20" s="23" t="s">
        <v>365</v>
      </c>
      <c r="C20" s="39" t="n">
        <f aca="false">I12*64/10</f>
        <v>24307.2</v>
      </c>
      <c r="D20" s="60" t="n">
        <f aca="false">C20/I12*10</f>
        <v>64</v>
      </c>
      <c r="M20" s="98" t="n">
        <v>46218</v>
      </c>
      <c r="N20" s="28"/>
      <c r="O20" s="99" t="n">
        <v>220</v>
      </c>
      <c r="P20" s="30" t="n">
        <v>1543440</v>
      </c>
      <c r="Q20" s="31" t="n">
        <f aca="false">IFERROR(P20/100/O20,0)</f>
        <v>70.1563636363636</v>
      </c>
      <c r="R20" s="98"/>
      <c r="S20" s="28"/>
      <c r="T20" s="99"/>
      <c r="U20" s="30"/>
      <c r="V20" s="31" t="n">
        <f aca="false">IFERROR(U20/100/T20,0)</f>
        <v>0</v>
      </c>
      <c r="W20" s="100" t="n">
        <f aca="false">AVERAGE(0.136,0.125,0.127,0.121,0.123)</f>
        <v>0.1264</v>
      </c>
      <c r="X20" s="101" t="n">
        <f aca="false">AVERAGE(0.113,0.126,0.124,0.128,0.135)</f>
        <v>0.1252</v>
      </c>
      <c r="Y20" s="100" t="n">
        <f aca="false">AVERAGE(0.254,0.209,0.215,0.211,0.19)</f>
        <v>0.2158</v>
      </c>
      <c r="Z20" s="103" t="n">
        <f aca="false">AVERAGE(780,810,770,770,770)</f>
        <v>780</v>
      </c>
      <c r="AA20" s="100" t="n">
        <f aca="false">AVERAGE(0%,0%,0.2%,0.1%,0.2%)</f>
        <v>0.001</v>
      </c>
      <c r="AB20" s="52"/>
    </row>
    <row r="21" customFormat="false" ht="13.5" hidden="false" customHeight="true" outlineLevel="0" collapsed="false">
      <c r="B21" s="61" t="s">
        <v>366</v>
      </c>
      <c r="C21" s="62" t="n">
        <f aca="false">P25/1000</f>
        <v>23361.59</v>
      </c>
      <c r="D21" s="107" t="n">
        <f aca="false">C21/I13*10</f>
        <v>61.5102422327541</v>
      </c>
      <c r="M21" s="98" t="n">
        <v>46219</v>
      </c>
      <c r="N21" s="28"/>
      <c r="O21" s="99" t="n">
        <v>52</v>
      </c>
      <c r="P21" s="30" t="n">
        <v>370760</v>
      </c>
      <c r="Q21" s="31" t="n">
        <f aca="false">IFERROR(P21/100/O21,0)</f>
        <v>71.3</v>
      </c>
      <c r="R21" s="98"/>
      <c r="S21" s="28"/>
      <c r="T21" s="99"/>
      <c r="U21" s="30"/>
      <c r="V21" s="31" t="n">
        <f aca="false">IFERROR(U21/100/T21,0)</f>
        <v>0</v>
      </c>
      <c r="W21" s="100" t="n">
        <f aca="false">AVERAGE(0.128)</f>
        <v>0.128</v>
      </c>
      <c r="X21" s="101" t="n">
        <f aca="false">AVERAGE(0.146)</f>
        <v>0.146</v>
      </c>
      <c r="Y21" s="100" t="n">
        <f aca="false">AVERAGE(0.201)</f>
        <v>0.201</v>
      </c>
      <c r="Z21" s="103" t="n">
        <f aca="false">AVERAGE(790)</f>
        <v>790</v>
      </c>
      <c r="AA21" s="100" t="n">
        <f aca="false">AVERAGE(0.1%)</f>
        <v>0.001</v>
      </c>
    </row>
    <row r="22" customFormat="false" ht="13.5" hidden="false" customHeight="true" outlineLevel="0" collapsed="false">
      <c r="D22" s="64"/>
      <c r="G22" s="108"/>
      <c r="H22" s="108"/>
      <c r="I22" s="108"/>
      <c r="M22" s="98" t="n">
        <v>46220</v>
      </c>
      <c r="N22" s="28"/>
      <c r="O22" s="99" t="n">
        <v>198</v>
      </c>
      <c r="P22" s="30" t="n">
        <v>821780</v>
      </c>
      <c r="Q22" s="31" t="n">
        <f aca="false">IFERROR(P22/100/O22,0)</f>
        <v>41.5040404040404</v>
      </c>
      <c r="R22" s="98"/>
      <c r="S22" s="28"/>
      <c r="T22" s="99"/>
      <c r="U22" s="30"/>
      <c r="V22" s="31"/>
      <c r="W22" s="100" t="n">
        <f aca="false">AVERAGE(0.131,0.137,0.123,0.121,0.116,0.114)</f>
        <v>0.123666666666667</v>
      </c>
      <c r="X22" s="101" t="n">
        <f aca="false">AVERAGE(0.145,0.146,0.135,0.134,0.134,0.139)</f>
        <v>0.138833333333333</v>
      </c>
      <c r="Y22" s="100" t="n">
        <f aca="false">AVERAGE(0.214,0.228,0.17,0.185,0.172,0.145)</f>
        <v>0.185666666666667</v>
      </c>
      <c r="Z22" s="103" t="n">
        <f aca="false">AVERAGE(765,750,710,680,680,656)</f>
        <v>706.833333333333</v>
      </c>
      <c r="AA22" s="100" t="n">
        <f aca="false">AVERAGE(0.1%,0,1%,0%,0.9%,0.1%)</f>
        <v>0.0035</v>
      </c>
    </row>
    <row r="23" customFormat="false" ht="13.5" hidden="false" customHeight="true" outlineLevel="0" collapsed="false">
      <c r="B23" s="23" t="s">
        <v>367</v>
      </c>
      <c r="C23" s="64" t="n">
        <f aca="false">I13/I12</f>
        <v>1</v>
      </c>
      <c r="G23" s="108"/>
      <c r="H23" s="108"/>
      <c r="I23" s="109"/>
      <c r="M23" s="98" t="n">
        <v>46221</v>
      </c>
      <c r="N23" s="28"/>
      <c r="O23" s="99" t="n">
        <v>286</v>
      </c>
      <c r="P23" s="30" t="n">
        <v>1194760</v>
      </c>
      <c r="Q23" s="31" t="n">
        <f aca="false">IFERROR(P23/100/O23,0)</f>
        <v>41.7748251748252</v>
      </c>
      <c r="R23" s="98"/>
      <c r="S23" s="28"/>
      <c r="T23" s="99"/>
      <c r="U23" s="30"/>
      <c r="V23" s="31"/>
      <c r="W23" s="100" t="n">
        <f aca="false">AVERAGE(0.114,0.114,0.11,0.113,0.107,0.114,0.113)</f>
        <v>0.112142857142857</v>
      </c>
      <c r="X23" s="101" t="n">
        <f aca="false">AVERAGE(0.139,0.122,0.126,0.119,0.117,0.118,0.125)</f>
        <v>0.123714285714286</v>
      </c>
      <c r="Y23" s="100" t="n">
        <f aca="false">AVERAGE(0.145,0.173,0.161,0.176,0.164,0.165,)</f>
        <v>0.140571428571429</v>
      </c>
      <c r="Z23" s="103" t="n">
        <f aca="false">AVERAGE(656,666,663,680,700,760,714)</f>
        <v>691.285714285714</v>
      </c>
      <c r="AA23" s="100" t="n">
        <f aca="false">AVERAGE(1%,1%,0.9%,0.6%,0.8%,0.2%,0.2%)</f>
        <v>0.00671428571428572</v>
      </c>
    </row>
    <row r="24" customFormat="false" ht="13.5" hidden="false" customHeight="true" outlineLevel="0" collapsed="false">
      <c r="B24" s="23" t="s">
        <v>368</v>
      </c>
      <c r="C24" s="64" t="n">
        <f aca="false">IFERROR(C21/C20,0)</f>
        <v>0.961097534886783</v>
      </c>
      <c r="G24" s="110"/>
      <c r="H24" s="110"/>
      <c r="I24" s="110"/>
      <c r="M24" s="98" t="n">
        <v>46222</v>
      </c>
      <c r="N24" s="28"/>
      <c r="O24" s="99" t="n">
        <v>93</v>
      </c>
      <c r="P24" s="30" t="n">
        <v>565540</v>
      </c>
      <c r="Q24" s="31" t="n">
        <f aca="false">IFERROR(P24/100/O24,0)</f>
        <v>60.810752688172</v>
      </c>
      <c r="R24" s="98"/>
      <c r="S24" s="28"/>
      <c r="T24" s="99"/>
      <c r="U24" s="30"/>
      <c r="V24" s="31" t="n">
        <f aca="false">IFERROR(U24/100/T24,0)</f>
        <v>0</v>
      </c>
      <c r="W24" s="100" t="n">
        <f aca="false">AVERAGE(0.113,0.118)</f>
        <v>0.1155</v>
      </c>
      <c r="X24" s="101" t="n">
        <f aca="false">AVERAGE(0.125,0.113)</f>
        <v>0.119</v>
      </c>
      <c r="Y24" s="100" t="n">
        <f aca="false">AVERAGE(0.165,0.202)</f>
        <v>0.1835</v>
      </c>
      <c r="Z24" s="103" t="n">
        <f aca="false">AVERAGE(714,750)</f>
        <v>732</v>
      </c>
      <c r="AA24" s="100" t="n">
        <f aca="false">AVERAGE(0.2%,0.1%)</f>
        <v>0.0015</v>
      </c>
    </row>
    <row r="25" customFormat="false" ht="13.5" hidden="false" customHeight="false" outlineLevel="0" collapsed="false">
      <c r="B25" s="39"/>
      <c r="G25" s="65"/>
      <c r="H25" s="65"/>
      <c r="I25" s="65"/>
      <c r="M25" s="111" t="s">
        <v>354</v>
      </c>
      <c r="N25" s="111"/>
      <c r="O25" s="112" t="n">
        <f aca="false">SUM(O6:O24)</f>
        <v>3798</v>
      </c>
      <c r="P25" s="113" t="n">
        <f aca="false">SUM(P6:P24)</f>
        <v>23361590</v>
      </c>
      <c r="Q25" s="114" t="n">
        <f aca="false">P25/O25/100</f>
        <v>61.5102422327541</v>
      </c>
      <c r="R25" s="111" t="s">
        <v>354</v>
      </c>
      <c r="S25" s="111"/>
      <c r="T25" s="112" t="n">
        <f aca="false">SUM(T6:T24)</f>
        <v>70</v>
      </c>
      <c r="U25" s="113" t="n">
        <f aca="false">SUM(U6:U24)</f>
        <v>478860</v>
      </c>
      <c r="V25" s="114" t="n">
        <f aca="false">U25/T25/100</f>
        <v>68.4085714285714</v>
      </c>
      <c r="W25" s="115" t="n">
        <f aca="false">AVERAGE(W6:W24)</f>
        <v>0.122875062656642</v>
      </c>
      <c r="X25" s="115" t="n">
        <f aca="false">AVERAGE(X6:X24)</f>
        <v>0.124714786967419</v>
      </c>
      <c r="Y25" s="115" t="n">
        <f aca="false">AVERAGE(Y6:Y24)</f>
        <v>0.211773934837093</v>
      </c>
      <c r="Z25" s="116" t="n">
        <f aca="false">AVERAGE(Z6:Z24)</f>
        <v>765.387844611529</v>
      </c>
      <c r="AA25" s="115" t="n">
        <f aca="false">AVERAGE(AA6:AA24)</f>
        <v>0.0017218045112782</v>
      </c>
    </row>
    <row r="26" customFormat="false" ht="13.5" hidden="false" customHeight="false" outlineLevel="0" collapsed="false">
      <c r="G26" s="117"/>
      <c r="H26" s="117"/>
      <c r="I26" s="117"/>
    </row>
    <row r="27" customFormat="false" ht="13.5" hidden="false" customHeight="false" outlineLevel="0" collapsed="false">
      <c r="G27" s="117"/>
      <c r="H27" s="117"/>
      <c r="I27" s="117"/>
    </row>
    <row r="28" customFormat="false" ht="13.5" hidden="false" customHeight="false" outlineLevel="0" collapsed="false">
      <c r="G28" s="117"/>
      <c r="H28" s="117"/>
      <c r="I28" s="117"/>
    </row>
    <row r="29" customFormat="false" ht="13.5" hidden="false" customHeight="false" outlineLevel="0" collapsed="false">
      <c r="G29" s="117"/>
      <c r="H29" s="117"/>
      <c r="I29" s="117"/>
    </row>
    <row r="30" customFormat="false" ht="13.5" hidden="false" customHeight="false" outlineLevel="0" collapsed="false">
      <c r="G30" s="117"/>
      <c r="H30" s="117"/>
      <c r="I30" s="117"/>
      <c r="P30" s="56"/>
    </row>
    <row r="31" customFormat="false" ht="13.5" hidden="false" customHeight="false" outlineLevel="0" collapsed="false">
      <c r="G31" s="117"/>
      <c r="H31" s="117"/>
      <c r="I31" s="117"/>
    </row>
    <row r="32" customFormat="false" ht="13.5" hidden="false" customHeight="false" outlineLevel="0" collapsed="false">
      <c r="G32" s="117"/>
      <c r="H32" s="117"/>
      <c r="I32" s="117"/>
      <c r="P32" s="56"/>
    </row>
    <row r="33" customFormat="false" ht="13.5" hidden="false" customHeight="false" outlineLevel="0" collapsed="false">
      <c r="G33" s="117"/>
      <c r="H33" s="117"/>
      <c r="I33" s="117"/>
      <c r="P33" s="118"/>
    </row>
    <row r="34" customFormat="false" ht="13.5" hidden="false" customHeight="false" outlineLevel="0" collapsed="false">
      <c r="G34" s="117"/>
      <c r="H34" s="117"/>
      <c r="I34" s="117"/>
    </row>
    <row r="35" customFormat="false" ht="13.5" hidden="false" customHeight="false" outlineLevel="0" collapsed="false">
      <c r="G35" s="117"/>
      <c r="H35" s="117"/>
      <c r="I35" s="117"/>
      <c r="P35" s="56"/>
    </row>
    <row r="36" customFormat="false" ht="13.5" hidden="false" customHeight="false" outlineLevel="0" collapsed="false">
      <c r="G36" s="117"/>
      <c r="H36" s="117"/>
      <c r="I36" s="117"/>
    </row>
    <row r="37" customFormat="false" ht="13.5" hidden="false" customHeight="false" outlineLevel="0" collapsed="false">
      <c r="G37" s="117"/>
      <c r="H37" s="117"/>
      <c r="I37" s="117"/>
    </row>
    <row r="38" customFormat="false" ht="13.5" hidden="false" customHeight="false" outlineLevel="0" collapsed="false">
      <c r="G38" s="117"/>
      <c r="H38" s="117"/>
      <c r="I38" s="117"/>
    </row>
    <row r="39" customFormat="false" ht="13.5" hidden="false" customHeight="false" outlineLevel="0" collapsed="false">
      <c r="G39" s="117"/>
      <c r="H39" s="117"/>
      <c r="I39" s="117"/>
    </row>
    <row r="40" customFormat="false" ht="13.5" hidden="false" customHeight="false" outlineLevel="0" collapsed="false">
      <c r="G40" s="117"/>
      <c r="H40" s="117"/>
      <c r="I40" s="117"/>
    </row>
  </sheetData>
  <mergeCells count="1">
    <mergeCell ref="B2:T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3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40" activeCellId="0" sqref="F40"/>
    </sheetView>
  </sheetViews>
  <sheetFormatPr defaultColWidth="9.109375" defaultRowHeight="13.5" customHeight="true" zeroHeight="false" outlineLevelRow="0" outlineLevelCol="1"/>
  <cols>
    <col collapsed="false" customWidth="true" hidden="false" outlineLevel="0" max="1" min="1" style="12" width="2.33"/>
    <col collapsed="false" customWidth="true" hidden="false" outlineLevel="0" max="2" min="2" style="12" width="35.89"/>
    <col collapsed="false" customWidth="true" hidden="false" outlineLevel="0" max="6" min="3" style="12" width="13.56"/>
    <col collapsed="false" customWidth="true" hidden="false" outlineLevel="0" max="7" min="7" style="12" width="12.88"/>
    <col collapsed="false" customWidth="true" hidden="false" outlineLevel="0" max="8" min="8" style="12" width="15.56"/>
    <col collapsed="false" customWidth="true" hidden="false" outlineLevel="0" max="9" min="9" style="33" width="14.88"/>
    <col collapsed="false" customWidth="true" hidden="false" outlineLevel="0" max="10" min="10" style="12" width="8.56"/>
    <col collapsed="false" customWidth="false" hidden="false" outlineLevel="0" max="11" min="11" style="12" width="9.11"/>
    <col collapsed="false" customWidth="true" hidden="false" outlineLevel="0" max="12" min="12" style="12" width="14.67"/>
    <col collapsed="false" customWidth="true" hidden="true" outlineLevel="0" max="13" min="13" style="12" width="8.56"/>
    <col collapsed="false" customWidth="true" hidden="false" outlineLevel="0" max="14" min="14" style="12" width="14.33"/>
    <col collapsed="false" customWidth="true" hidden="false" outlineLevel="0" max="15" min="15" style="12" width="14.56"/>
    <col collapsed="false" customWidth="true" hidden="false" outlineLevel="0" max="16" min="16" style="119" width="14.88"/>
    <col collapsed="false" customWidth="true" hidden="false" outlineLevel="1" max="17" min="17" style="12" width="16.67"/>
    <col collapsed="false" customWidth="true" hidden="false" outlineLevel="1" max="18" min="18" style="12" width="14.56"/>
    <col collapsed="false" customWidth="true" hidden="false" outlineLevel="1" max="20" min="19" style="12" width="14.44"/>
    <col collapsed="false" customWidth="true" hidden="false" outlineLevel="1" max="21" min="21" style="12" width="11.33"/>
    <col collapsed="false" customWidth="true" hidden="false" outlineLevel="0" max="22" min="22" style="12" width="38.67"/>
    <col collapsed="false" customWidth="false" hidden="false" outlineLevel="0" max="16384" min="23" style="12" width="9.11"/>
  </cols>
  <sheetData>
    <row r="2" customFormat="false" ht="26.8" hidden="false" customHeight="true" outlineLevel="0" collapsed="false">
      <c r="B2" s="13" t="s">
        <v>417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4"/>
    </row>
    <row r="3" customFormat="false" ht="13.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customFormat="false" ht="13.5" hidden="false" customHeight="false" outlineLevel="0" collapsed="false">
      <c r="I4" s="120"/>
    </row>
    <row r="5" s="16" customFormat="tru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8" t="s">
        <v>332</v>
      </c>
      <c r="I5" s="19" t="s">
        <v>333</v>
      </c>
      <c r="L5" s="21" t="s">
        <v>334</v>
      </c>
      <c r="M5" s="21" t="s">
        <v>335</v>
      </c>
      <c r="N5" s="21" t="s">
        <v>336</v>
      </c>
      <c r="O5" s="21" t="s">
        <v>337</v>
      </c>
      <c r="P5" s="22" t="s">
        <v>338</v>
      </c>
      <c r="Q5" s="21" t="s">
        <v>418</v>
      </c>
      <c r="R5" s="21" t="s">
        <v>339</v>
      </c>
      <c r="S5" s="21" t="s">
        <v>341</v>
      </c>
      <c r="T5" s="21" t="s">
        <v>419</v>
      </c>
      <c r="U5" s="21" t="s">
        <v>342</v>
      </c>
    </row>
    <row r="6" customFormat="false" ht="15" hidden="false" customHeight="true" outlineLevel="0" collapsed="false">
      <c r="B6" s="23" t="s">
        <v>343</v>
      </c>
      <c r="C6" s="24"/>
      <c r="D6" s="25"/>
      <c r="E6" s="25"/>
      <c r="F6" s="25"/>
      <c r="G6" s="25"/>
      <c r="H6" s="25"/>
      <c r="I6" s="26" t="n">
        <f aca="false">L6</f>
        <v>46213</v>
      </c>
      <c r="L6" s="27" t="n">
        <v>46213</v>
      </c>
      <c r="M6" s="28"/>
      <c r="N6" s="29" t="n">
        <v>15</v>
      </c>
      <c r="O6" s="30" t="n">
        <f aca="false">72710+1080</f>
        <v>73790</v>
      </c>
      <c r="P6" s="121" t="n">
        <f aca="false">IFERROR(O6/100/N6,0)</f>
        <v>49.1933333333333</v>
      </c>
      <c r="Q6" s="101" t="n">
        <f aca="false">AVERAGE(0)</f>
        <v>0</v>
      </c>
      <c r="R6" s="101" t="n">
        <f aca="false">AVERAGE(0)</f>
        <v>0</v>
      </c>
      <c r="S6" s="101" t="n">
        <f aca="false">AVERAGE(0)</f>
        <v>0</v>
      </c>
      <c r="T6" s="101" t="n">
        <f aca="false">AVERAGE(0)</f>
        <v>0</v>
      </c>
      <c r="U6" s="101" t="n">
        <f aca="false">AVERAGE(0)</f>
        <v>0</v>
      </c>
      <c r="V6" s="122" t="s">
        <v>420</v>
      </c>
    </row>
    <row r="7" customFormat="false" ht="14.15" hidden="false" customHeight="false" outlineLevel="0" collapsed="false">
      <c r="B7" s="23" t="s">
        <v>344</v>
      </c>
      <c r="C7" s="24"/>
      <c r="D7" s="25"/>
      <c r="E7" s="25"/>
      <c r="F7" s="25"/>
      <c r="G7" s="25"/>
      <c r="H7" s="25"/>
      <c r="I7" s="26" t="n">
        <f aca="false">L9</f>
        <v>46222</v>
      </c>
      <c r="L7" s="27" t="n">
        <v>46216</v>
      </c>
      <c r="M7" s="28"/>
      <c r="N7" s="29" t="n">
        <v>60</v>
      </c>
      <c r="O7" s="30" t="n">
        <v>251850</v>
      </c>
      <c r="P7" s="121" t="n">
        <f aca="false">IFERROR(O7/100/N7,0)</f>
        <v>41.975</v>
      </c>
      <c r="Q7" s="101" t="n">
        <f aca="false">AVERAGE(0)</f>
        <v>0</v>
      </c>
      <c r="R7" s="101" t="n">
        <f aca="false">AVERAGE(0)</f>
        <v>0</v>
      </c>
      <c r="S7" s="101" t="n">
        <f aca="false">AVERAGE(0)</f>
        <v>0</v>
      </c>
      <c r="T7" s="101" t="n">
        <f aca="false">AVERAGE(0)</f>
        <v>0</v>
      </c>
      <c r="U7" s="101" t="n">
        <f aca="false">AVERAGE(0)</f>
        <v>0</v>
      </c>
    </row>
    <row r="8" customFormat="false" ht="14.15" hidden="false" customHeight="false" outlineLevel="0" collapsed="false">
      <c r="B8" s="23" t="s">
        <v>345</v>
      </c>
      <c r="C8" s="34"/>
      <c r="D8" s="34"/>
      <c r="E8" s="34"/>
      <c r="F8" s="34"/>
      <c r="G8" s="34"/>
      <c r="H8" s="34"/>
      <c r="I8" s="35" t="n">
        <f aca="false">IF(I7=0,"-",I7-I6+1)</f>
        <v>10</v>
      </c>
      <c r="L8" s="27" t="n">
        <v>46217</v>
      </c>
      <c r="M8" s="28"/>
      <c r="N8" s="29" t="n">
        <v>1</v>
      </c>
      <c r="O8" s="30" t="n">
        <v>3720</v>
      </c>
      <c r="P8" s="121" t="n">
        <f aca="false">IFERROR(O8/100/N8,0)</f>
        <v>37.2</v>
      </c>
      <c r="Q8" s="101" t="n">
        <v>0.108</v>
      </c>
      <c r="R8" s="101" t="n">
        <v>0.386</v>
      </c>
      <c r="S8" s="101" t="n">
        <f aca="false">AVERAGE(9.9%)</f>
        <v>0.099</v>
      </c>
      <c r="T8" s="101" t="n">
        <v>0.039</v>
      </c>
      <c r="U8" s="101" t="n">
        <v>0.04</v>
      </c>
      <c r="V8" s="56"/>
    </row>
    <row r="9" customFormat="false" ht="14.15" hidden="false" customHeight="false" outlineLevel="0" collapsed="false">
      <c r="B9" s="23" t="s">
        <v>346</v>
      </c>
      <c r="C9" s="34"/>
      <c r="D9" s="34"/>
      <c r="E9" s="34"/>
      <c r="F9" s="34"/>
      <c r="G9" s="34"/>
      <c r="H9" s="34"/>
      <c r="I9" s="35" t="n">
        <v>4</v>
      </c>
      <c r="L9" s="27" t="n">
        <v>46222</v>
      </c>
      <c r="M9" s="28"/>
      <c r="N9" s="29" t="n">
        <v>175</v>
      </c>
      <c r="O9" s="30" t="n">
        <v>639330</v>
      </c>
      <c r="P9" s="121" t="n">
        <f aca="false">IFERROR(O9/100/N9,0)</f>
        <v>36.5331428571429</v>
      </c>
      <c r="Q9" s="101" t="n">
        <f aca="false">AVERAGE(10.6%,10.8%,10.4%)</f>
        <v>0.106</v>
      </c>
      <c r="R9" s="101" t="n">
        <f aca="false">AVERAGE(37.2%,37.9%,37.6%)</f>
        <v>0.375666666666667</v>
      </c>
      <c r="S9" s="101" t="n">
        <f aca="false">AVERAGE(8.7%,9.7%,9.9%)</f>
        <v>0.0943333333333333</v>
      </c>
      <c r="T9" s="101" t="n">
        <f aca="false">AVERAGE(3.7%,3.8%,3.9%)</f>
        <v>0.038</v>
      </c>
      <c r="U9" s="101" t="n">
        <f aca="false">AVERAGE(6.1%,6%,6%)</f>
        <v>0.0603333333333333</v>
      </c>
      <c r="V9" s="56"/>
    </row>
    <row r="10" customFormat="false" ht="14.15" hidden="false" customHeight="false" outlineLevel="0" collapsed="false">
      <c r="B10" s="23" t="s">
        <v>347</v>
      </c>
      <c r="C10" s="36"/>
      <c r="D10" s="36"/>
      <c r="E10" s="36"/>
      <c r="F10" s="36"/>
      <c r="G10" s="36"/>
      <c r="H10" s="36"/>
      <c r="I10" s="37" t="s">
        <v>421</v>
      </c>
      <c r="L10" s="21" t="s">
        <v>354</v>
      </c>
      <c r="M10" s="21" t="n">
        <f aca="false">SUM(M6:M9)</f>
        <v>0</v>
      </c>
      <c r="N10" s="43" t="n">
        <f aca="false">SUM(N6:N9)</f>
        <v>251</v>
      </c>
      <c r="O10" s="44" t="n">
        <f aca="false">SUM(O6:O9)</f>
        <v>968690</v>
      </c>
      <c r="P10" s="45" t="n">
        <f aca="false">IFERROR(O10/100/N10,)</f>
        <v>38.5932270916335</v>
      </c>
      <c r="Q10" s="123" t="n">
        <f aca="false">IFERROR(AVERAGE(Q6:Q9),)</f>
        <v>0.0535</v>
      </c>
      <c r="R10" s="123" t="n">
        <f aca="false">IFERROR(AVERAGE(R6:R9),)</f>
        <v>0.190416666666667</v>
      </c>
      <c r="S10" s="123" t="n">
        <f aca="false">IFERROR(AVERAGE(S6:S9),)</f>
        <v>0.0483333333333333</v>
      </c>
      <c r="T10" s="123" t="n">
        <f aca="false">IFERROR(AVERAGE(T6:T9),)</f>
        <v>0.01925</v>
      </c>
      <c r="U10" s="123" t="n">
        <f aca="false">IFERROR(AVERAGE(U6:U9),)</f>
        <v>0.0250833333333333</v>
      </c>
    </row>
    <row r="11" customFormat="false" ht="14.15" hidden="false" customHeight="false" outlineLevel="0" collapsed="false">
      <c r="B11" s="23" t="s">
        <v>337</v>
      </c>
      <c r="C11" s="39"/>
      <c r="D11" s="39"/>
      <c r="E11" s="39"/>
      <c r="F11" s="39"/>
      <c r="G11" s="39"/>
      <c r="H11" s="39"/>
      <c r="I11" s="40" t="n">
        <f aca="false">O10/1000</f>
        <v>968.69</v>
      </c>
      <c r="M11" s="16"/>
    </row>
    <row r="12" customFormat="false" ht="14.15" hidden="false" customHeight="false" outlineLevel="0" collapsed="false">
      <c r="B12" s="23" t="s">
        <v>353</v>
      </c>
      <c r="C12" s="41"/>
      <c r="D12" s="41"/>
      <c r="E12" s="41"/>
      <c r="F12" s="41"/>
      <c r="G12" s="41"/>
      <c r="H12" s="41"/>
      <c r="I12" s="42" t="n">
        <v>251</v>
      </c>
    </row>
    <row r="13" customFormat="false" ht="14.15" hidden="false" customHeight="false" outlineLevel="0" collapsed="false">
      <c r="B13" s="23" t="s">
        <v>336</v>
      </c>
      <c r="C13" s="41"/>
      <c r="D13" s="41"/>
      <c r="E13" s="41"/>
      <c r="F13" s="41"/>
      <c r="G13" s="124"/>
      <c r="H13" s="124"/>
      <c r="I13" s="125" t="n">
        <f aca="false">N10</f>
        <v>251</v>
      </c>
      <c r="N13" s="56"/>
      <c r="O13" s="56"/>
    </row>
    <row r="14" customFormat="false" ht="14.15" hidden="false" customHeight="false" outlineLevel="0" collapsed="false">
      <c r="B14" s="23" t="s">
        <v>355</v>
      </c>
      <c r="C14" s="47"/>
      <c r="D14" s="60"/>
      <c r="E14" s="126"/>
      <c r="F14" s="60"/>
      <c r="G14" s="126"/>
      <c r="H14" s="60"/>
      <c r="I14" s="60" t="n">
        <f aca="false">P10</f>
        <v>38.5932270916335</v>
      </c>
      <c r="O14" s="56"/>
    </row>
    <row r="15" customFormat="false" ht="14.15" hidden="false" customHeight="false" outlineLevel="0" collapsed="false">
      <c r="B15" s="23" t="s">
        <v>356</v>
      </c>
      <c r="C15" s="49" t="n">
        <v>32.4</v>
      </c>
      <c r="D15" s="49" t="n">
        <v>35</v>
      </c>
      <c r="E15" s="49" t="n">
        <v>38.99</v>
      </c>
      <c r="F15" s="49" t="n">
        <v>30.9</v>
      </c>
      <c r="G15" s="127" t="n">
        <v>26.35</v>
      </c>
      <c r="H15" s="127" t="n">
        <v>17.46</v>
      </c>
      <c r="I15" s="51" t="n">
        <v>26.2</v>
      </c>
      <c r="J15" s="106"/>
    </row>
    <row r="16" s="52" customFormat="true" ht="14.15" hidden="false" customHeight="false" outlineLevel="0" collapsed="false">
      <c r="B16" s="53" t="s">
        <v>357</v>
      </c>
      <c r="C16" s="54"/>
      <c r="D16" s="55"/>
      <c r="E16" s="55"/>
      <c r="F16" s="55"/>
      <c r="G16" s="54"/>
      <c r="H16" s="54"/>
      <c r="I16" s="54" t="s">
        <v>422</v>
      </c>
      <c r="J16" s="106"/>
      <c r="L16" s="12"/>
      <c r="M16" s="12"/>
      <c r="N16" s="12"/>
      <c r="O16" s="12"/>
      <c r="P16" s="119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13.5" hidden="false" customHeight="false" outlineLevel="0" collapsed="false">
      <c r="V17" s="52"/>
      <c r="W17" s="52"/>
      <c r="X17" s="52"/>
      <c r="Y17" s="52"/>
      <c r="Z17" s="52"/>
    </row>
    <row r="19" customFormat="false" ht="17.25" hidden="false" customHeight="false" outlineLevel="0" collapsed="false">
      <c r="B19" s="57" t="s">
        <v>364</v>
      </c>
      <c r="C19" s="59"/>
      <c r="D19" s="15"/>
      <c r="E19" s="15"/>
      <c r="F19" s="15"/>
      <c r="G19" s="15"/>
      <c r="H19" s="15"/>
      <c r="I19" s="128"/>
      <c r="J19" s="15"/>
      <c r="K19" s="15"/>
    </row>
    <row r="20" customFormat="false" ht="14.25" hidden="false" customHeight="true" outlineLevel="0" collapsed="false">
      <c r="B20" s="23" t="s">
        <v>365</v>
      </c>
      <c r="C20" s="39" t="n">
        <v>953.8</v>
      </c>
      <c r="D20" s="60" t="n">
        <f aca="false">IFERROR(C20*10/I12,)</f>
        <v>38</v>
      </c>
    </row>
    <row r="21" customFormat="false" ht="14.25" hidden="false" customHeight="true" outlineLevel="0" collapsed="false">
      <c r="B21" s="12" t="s">
        <v>366</v>
      </c>
      <c r="C21" s="129" t="n">
        <f aca="false">O10/1000</f>
        <v>968.69</v>
      </c>
      <c r="D21" s="63" t="n">
        <f aca="false">C21*10/N10</f>
        <v>38.5932270916335</v>
      </c>
    </row>
    <row r="22" customFormat="false" ht="13.5" hidden="false" customHeight="false" outlineLevel="0" collapsed="false">
      <c r="B22" s="23"/>
      <c r="C22" s="39"/>
    </row>
    <row r="23" customFormat="false" ht="13.5" hidden="false" customHeight="false" outlineLevel="0" collapsed="false">
      <c r="B23" s="23" t="s">
        <v>367</v>
      </c>
      <c r="C23" s="64" t="n">
        <f aca="false">IFERROR(I13/I12,)</f>
        <v>1</v>
      </c>
      <c r="D23" s="65"/>
      <c r="E23" s="66"/>
      <c r="F23" s="66"/>
    </row>
    <row r="24" customFormat="false" ht="13.5" hidden="false" customHeight="false" outlineLevel="0" collapsed="false">
      <c r="B24" s="23" t="s">
        <v>368</v>
      </c>
      <c r="C24" s="64" t="n">
        <f aca="false">IFERROR(C21/C20,0)</f>
        <v>1.01561123925351</v>
      </c>
    </row>
    <row r="38" customFormat="false" ht="13.5" hidden="false" customHeight="false" outlineLevel="0" collapsed="false">
      <c r="V38" s="130"/>
      <c r="W38" s="130"/>
    </row>
  </sheetData>
  <mergeCells count="3">
    <mergeCell ref="B2:U3"/>
    <mergeCell ref="E23:F23"/>
    <mergeCell ref="V38:W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B2:X2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5" activeCellId="0" sqref="E35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12" width="2.67"/>
    <col collapsed="false" customWidth="true" hidden="false" outlineLevel="0" max="2" min="2" style="12" width="36.33"/>
    <col collapsed="false" customWidth="true" hidden="false" outlineLevel="0" max="6" min="3" style="12" width="13.56"/>
    <col collapsed="false" customWidth="true" hidden="false" outlineLevel="0" max="7" min="7" style="12" width="12.44"/>
    <col collapsed="false" customWidth="true" hidden="false" outlineLevel="0" max="8" min="8" style="12" width="15"/>
    <col collapsed="false" customWidth="true" hidden="false" outlineLevel="0" max="9" min="9" style="12" width="15.88"/>
    <col collapsed="false" customWidth="true" hidden="false" outlineLevel="0" max="10" min="10" style="12" width="20.66"/>
    <col collapsed="false" customWidth="true" hidden="false" outlineLevel="0" max="11" min="11" style="12" width="1.88"/>
    <col collapsed="false" customWidth="true" hidden="false" outlineLevel="0" max="12" min="12" style="12" width="13.44"/>
    <col collapsed="false" customWidth="true" hidden="false" outlineLevel="0" max="15" min="13" style="12" width="12.11"/>
    <col collapsed="false" customWidth="true" hidden="false" outlineLevel="0" max="17" min="16" style="12" width="14.88"/>
    <col collapsed="false" customWidth="true" hidden="false" outlineLevel="0" max="20" min="18" style="12" width="12.11"/>
    <col collapsed="false" customWidth="true" hidden="false" outlineLevel="0" max="21" min="21" style="12" width="11.33"/>
    <col collapsed="false" customWidth="false" hidden="false" outlineLevel="0" max="16384" min="22" style="12" width="9.11"/>
  </cols>
  <sheetData>
    <row r="2" customFormat="false" ht="27.75" hidden="false" customHeight="true" outlineLevel="0" collapsed="false">
      <c r="B2" s="13" t="s">
        <v>423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  <c r="W2" s="14"/>
      <c r="X2" s="14"/>
    </row>
    <row r="3" customFormat="false" ht="17.25" hidden="false" customHeight="false" outlineLevel="0" collapsed="false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customFormat="false" ht="13.5" hidden="false" customHeight="false" outlineLevel="0" collapsed="false">
      <c r="H4" s="131" t="s">
        <v>424</v>
      </c>
    </row>
    <row r="5" customFormat="fals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8" t="s">
        <v>332</v>
      </c>
      <c r="I5" s="19" t="s">
        <v>333</v>
      </c>
      <c r="L5" s="21" t="s">
        <v>334</v>
      </c>
      <c r="M5" s="21" t="s">
        <v>335</v>
      </c>
      <c r="N5" s="21" t="s">
        <v>336</v>
      </c>
      <c r="O5" s="21" t="s">
        <v>337</v>
      </c>
      <c r="P5" s="22" t="s">
        <v>338</v>
      </c>
      <c r="Q5" s="21" t="s">
        <v>339</v>
      </c>
      <c r="R5" s="21" t="s">
        <v>340</v>
      </c>
      <c r="S5" s="21" t="s">
        <v>341</v>
      </c>
      <c r="T5" s="21" t="s">
        <v>342</v>
      </c>
    </row>
    <row r="6" customFormat="false" ht="12.75" hidden="false" customHeight="true" outlineLevel="0" collapsed="false">
      <c r="B6" s="23" t="s">
        <v>343</v>
      </c>
      <c r="C6" s="25" t="n">
        <v>44088</v>
      </c>
      <c r="D6" s="25" t="n">
        <v>44446</v>
      </c>
      <c r="E6" s="25" t="n">
        <v>44835</v>
      </c>
      <c r="F6" s="25" t="n">
        <v>45189</v>
      </c>
      <c r="G6" s="25" t="n">
        <v>45535</v>
      </c>
      <c r="H6" s="25" t="n">
        <v>45898</v>
      </c>
      <c r="I6" s="26"/>
      <c r="L6" s="27"/>
      <c r="M6" s="28"/>
      <c r="N6" s="29"/>
      <c r="O6" s="30"/>
      <c r="P6" s="31" t="n">
        <f aca="false">IFERROR(O6/100/N6,0)</f>
        <v>0</v>
      </c>
      <c r="Q6" s="32"/>
      <c r="R6" s="32"/>
      <c r="S6" s="32"/>
      <c r="T6" s="32"/>
    </row>
    <row r="7" customFormat="false" ht="12.75" hidden="false" customHeight="true" outlineLevel="0" collapsed="false">
      <c r="B7" s="23" t="s">
        <v>344</v>
      </c>
      <c r="C7" s="25" t="n">
        <v>44090</v>
      </c>
      <c r="D7" s="25" t="n">
        <v>44476</v>
      </c>
      <c r="E7" s="25" t="n">
        <v>44843</v>
      </c>
      <c r="F7" s="25" t="n">
        <v>45204</v>
      </c>
      <c r="G7" s="25" t="n">
        <v>45548</v>
      </c>
      <c r="H7" s="25" t="n">
        <v>45938</v>
      </c>
      <c r="I7" s="26"/>
      <c r="L7" s="27"/>
      <c r="M7" s="28"/>
      <c r="N7" s="29"/>
      <c r="O7" s="30"/>
      <c r="P7" s="31" t="n">
        <f aca="false">IFERROR(O7/100/N7,0)</f>
        <v>0</v>
      </c>
      <c r="Q7" s="32"/>
      <c r="R7" s="32"/>
      <c r="S7" s="32"/>
      <c r="T7" s="32"/>
    </row>
    <row r="8" customFormat="false" ht="12.75" hidden="false" customHeight="true" outlineLevel="0" collapsed="false">
      <c r="B8" s="23" t="s">
        <v>345</v>
      </c>
      <c r="C8" s="34" t="n">
        <v>3</v>
      </c>
      <c r="D8" s="34" t="n">
        <v>31</v>
      </c>
      <c r="E8" s="34" t="n">
        <v>9</v>
      </c>
      <c r="F8" s="34" t="n">
        <v>16</v>
      </c>
      <c r="G8" s="34" t="n">
        <v>14</v>
      </c>
      <c r="H8" s="34" t="n">
        <v>41</v>
      </c>
      <c r="I8" s="35" t="str">
        <f aca="false">IF(I7=0,"-",I7-I6+1)</f>
        <v>-</v>
      </c>
      <c r="L8" s="27"/>
      <c r="M8" s="28"/>
      <c r="N8" s="29"/>
      <c r="O8" s="30"/>
      <c r="P8" s="31" t="n">
        <f aca="false">IFERROR(O8/100/N8,0)</f>
        <v>0</v>
      </c>
      <c r="Q8" s="32"/>
      <c r="R8" s="32"/>
      <c r="S8" s="32"/>
      <c r="T8" s="32"/>
    </row>
    <row r="9" customFormat="false" ht="12.75" hidden="false" customHeight="true" outlineLevel="0" collapsed="false">
      <c r="B9" s="23" t="s">
        <v>346</v>
      </c>
      <c r="C9" s="34" t="n">
        <v>3</v>
      </c>
      <c r="D9" s="34" t="n">
        <v>8</v>
      </c>
      <c r="E9" s="34" t="n">
        <v>9</v>
      </c>
      <c r="F9" s="34" t="n">
        <v>16</v>
      </c>
      <c r="G9" s="34" t="n">
        <v>6</v>
      </c>
      <c r="H9" s="34" t="n">
        <v>11</v>
      </c>
      <c r="I9" s="35" t="n">
        <v>0</v>
      </c>
      <c r="L9" s="27"/>
      <c r="M9" s="28"/>
      <c r="N9" s="29"/>
      <c r="O9" s="30"/>
      <c r="P9" s="31" t="n">
        <f aca="false">IFERROR(O9/100/N9,0)</f>
        <v>0</v>
      </c>
      <c r="Q9" s="32"/>
      <c r="R9" s="32"/>
      <c r="S9" s="32"/>
      <c r="T9" s="32"/>
    </row>
    <row r="10" customFormat="false" ht="12.75" hidden="false" customHeight="true" outlineLevel="0" collapsed="false">
      <c r="B10" s="23" t="s">
        <v>347</v>
      </c>
      <c r="C10" s="36" t="s">
        <v>348</v>
      </c>
      <c r="D10" s="36" t="s">
        <v>348</v>
      </c>
      <c r="E10" s="36" t="s">
        <v>348</v>
      </c>
      <c r="F10" s="36" t="s">
        <v>350</v>
      </c>
      <c r="G10" s="36" t="s">
        <v>425</v>
      </c>
      <c r="H10" s="36" t="s">
        <v>370</v>
      </c>
      <c r="I10" s="37" t="s">
        <v>352</v>
      </c>
      <c r="L10" s="27"/>
      <c r="M10" s="28"/>
      <c r="N10" s="29"/>
      <c r="O10" s="30"/>
      <c r="P10" s="31" t="n">
        <f aca="false">IFERROR(O10/100/N10,0)</f>
        <v>0</v>
      </c>
      <c r="Q10" s="32"/>
      <c r="R10" s="32"/>
      <c r="S10" s="32"/>
      <c r="T10" s="32"/>
    </row>
    <row r="11" customFormat="false" ht="12.75" hidden="false" customHeight="true" outlineLevel="0" collapsed="false">
      <c r="B11" s="23" t="s">
        <v>337</v>
      </c>
      <c r="C11" s="39" t="n">
        <v>244.02</v>
      </c>
      <c r="D11" s="39" t="n">
        <v>2003.64</v>
      </c>
      <c r="E11" s="39" t="n">
        <v>626.86</v>
      </c>
      <c r="F11" s="39" t="n">
        <v>5393.6</v>
      </c>
      <c r="G11" s="39" t="n">
        <v>726.84</v>
      </c>
      <c r="H11" s="39" t="n">
        <v>394.24</v>
      </c>
      <c r="I11" s="40" t="n">
        <f aca="false">O19/1000</f>
        <v>0</v>
      </c>
      <c r="L11" s="27"/>
      <c r="M11" s="28"/>
      <c r="N11" s="29"/>
      <c r="O11" s="30"/>
      <c r="P11" s="31" t="n">
        <f aca="false">IFERROR(O11/100/N11,0)</f>
        <v>0</v>
      </c>
      <c r="Q11" s="32"/>
      <c r="R11" s="32"/>
      <c r="S11" s="32"/>
      <c r="T11" s="32"/>
    </row>
    <row r="12" customFormat="false" ht="12.75" hidden="false" customHeight="true" outlineLevel="0" collapsed="false">
      <c r="B12" s="23" t="s">
        <v>353</v>
      </c>
      <c r="C12" s="41" t="n">
        <v>111</v>
      </c>
      <c r="D12" s="41" t="n">
        <v>242</v>
      </c>
      <c r="E12" s="41" t="n">
        <v>119</v>
      </c>
      <c r="F12" s="41" t="n">
        <v>930</v>
      </c>
      <c r="G12" s="41" t="n">
        <v>655</v>
      </c>
      <c r="H12" s="41" t="n">
        <v>304</v>
      </c>
      <c r="I12" s="42" t="n">
        <v>237</v>
      </c>
      <c r="J12" s="106" t="s">
        <v>426</v>
      </c>
      <c r="L12" s="27"/>
      <c r="M12" s="28"/>
      <c r="N12" s="29"/>
      <c r="O12" s="30"/>
      <c r="P12" s="31" t="n">
        <f aca="false">IFERROR(O12/100/N12,0)</f>
        <v>0</v>
      </c>
      <c r="Q12" s="32"/>
      <c r="R12" s="32"/>
      <c r="S12" s="32"/>
      <c r="T12" s="32"/>
    </row>
    <row r="13" customFormat="false" ht="12.75" hidden="false" customHeight="true" outlineLevel="0" collapsed="false">
      <c r="B13" s="23" t="s">
        <v>336</v>
      </c>
      <c r="C13" s="41" t="n">
        <v>111</v>
      </c>
      <c r="D13" s="41" t="n">
        <v>242</v>
      </c>
      <c r="E13" s="41" t="n">
        <v>119</v>
      </c>
      <c r="F13" s="41" t="n">
        <v>900</v>
      </c>
      <c r="G13" s="41" t="n">
        <v>655</v>
      </c>
      <c r="H13" s="41" t="n">
        <v>66</v>
      </c>
      <c r="I13" s="42" t="n">
        <f aca="false">N19</f>
        <v>0</v>
      </c>
      <c r="L13" s="27"/>
      <c r="M13" s="28"/>
      <c r="N13" s="29"/>
      <c r="O13" s="30"/>
      <c r="P13" s="31" t="n">
        <f aca="false">IFERROR(O13/100/N13,0)</f>
        <v>0</v>
      </c>
      <c r="Q13" s="32"/>
      <c r="R13" s="32"/>
      <c r="S13" s="32"/>
      <c r="T13" s="32"/>
    </row>
    <row r="14" customFormat="false" ht="12.75" hidden="false" customHeight="true" outlineLevel="0" collapsed="false">
      <c r="B14" s="23" t="s">
        <v>355</v>
      </c>
      <c r="C14" s="47" t="n">
        <v>21.9837837837838</v>
      </c>
      <c r="D14" s="47" t="n">
        <v>82.7950413223141</v>
      </c>
      <c r="E14" s="47" t="n">
        <v>52.6773109243698</v>
      </c>
      <c r="F14" s="47" t="n">
        <v>59.9288888888889</v>
      </c>
      <c r="G14" s="132" t="n">
        <v>11.0967938931298</v>
      </c>
      <c r="H14" s="132" t="n">
        <v>59.7333333333333</v>
      </c>
      <c r="I14" s="133" t="n">
        <f aca="false">P19</f>
        <v>0</v>
      </c>
      <c r="L14" s="27"/>
      <c r="M14" s="28"/>
      <c r="N14" s="29"/>
      <c r="O14" s="30"/>
      <c r="P14" s="31" t="n">
        <f aca="false">IFERROR(O14/100/N14,0)</f>
        <v>0</v>
      </c>
      <c r="Q14" s="32"/>
      <c r="R14" s="32"/>
      <c r="S14" s="32"/>
      <c r="T14" s="32"/>
    </row>
    <row r="15" customFormat="false" ht="12.75" hidden="false" customHeight="true" outlineLevel="0" collapsed="false">
      <c r="B15" s="23" t="s">
        <v>356</v>
      </c>
      <c r="C15" s="49" t="n">
        <v>51.5</v>
      </c>
      <c r="D15" s="49" t="n">
        <v>63.5</v>
      </c>
      <c r="E15" s="49" t="n">
        <v>69.7</v>
      </c>
      <c r="F15" s="49" t="n">
        <v>58.6</v>
      </c>
      <c r="G15" s="49" t="n">
        <v>17</v>
      </c>
      <c r="H15" s="49" t="n">
        <v>7.53</v>
      </c>
      <c r="I15" s="134" t="n">
        <v>0</v>
      </c>
      <c r="J15" s="106"/>
      <c r="L15" s="27"/>
      <c r="M15" s="28"/>
      <c r="N15" s="29"/>
      <c r="O15" s="30"/>
      <c r="P15" s="31" t="n">
        <f aca="false">IFERROR(O15/100/N15,0)</f>
        <v>0</v>
      </c>
      <c r="Q15" s="32"/>
      <c r="R15" s="32"/>
      <c r="S15" s="32"/>
      <c r="T15" s="32"/>
    </row>
    <row r="16" s="52" customFormat="true" ht="12.75" hidden="false" customHeight="true" outlineLevel="0" collapsed="false">
      <c r="B16" s="53" t="s">
        <v>357</v>
      </c>
      <c r="C16" s="54" t="s">
        <v>427</v>
      </c>
      <c r="D16" s="55" t="s">
        <v>428</v>
      </c>
      <c r="E16" s="55" t="s">
        <v>429</v>
      </c>
      <c r="F16" s="55" t="s">
        <v>414</v>
      </c>
      <c r="G16" s="54" t="s">
        <v>430</v>
      </c>
      <c r="H16" s="54" t="s">
        <v>431</v>
      </c>
      <c r="I16" s="54" t="s">
        <v>432</v>
      </c>
      <c r="J16" s="106"/>
      <c r="L16" s="27"/>
      <c r="M16" s="28"/>
      <c r="N16" s="135"/>
      <c r="O16" s="30"/>
      <c r="P16" s="31" t="n">
        <f aca="false">IFERROR(O16/100/N16,0)</f>
        <v>0</v>
      </c>
      <c r="Q16" s="32"/>
      <c r="R16" s="32"/>
      <c r="S16" s="32"/>
      <c r="T16" s="32"/>
      <c r="U16" s="12"/>
    </row>
    <row r="17" customFormat="false" ht="12.75" hidden="false" customHeight="true" outlineLevel="0" collapsed="false">
      <c r="L17" s="77"/>
      <c r="M17" s="71"/>
      <c r="N17" s="72"/>
      <c r="O17" s="73"/>
      <c r="P17" s="31" t="n">
        <f aca="false">IFERROR(O17/100/N17,0)</f>
        <v>0</v>
      </c>
      <c r="Q17" s="75"/>
      <c r="R17" s="75"/>
      <c r="S17" s="75"/>
      <c r="T17" s="75"/>
    </row>
    <row r="18" customFormat="false" ht="12.75" hidden="false" customHeight="true" outlineLevel="0" collapsed="false">
      <c r="L18" s="77"/>
      <c r="M18" s="71"/>
      <c r="N18" s="72"/>
      <c r="O18" s="73"/>
      <c r="P18" s="31" t="n">
        <f aca="false">IFERROR(O18/100/N18,0)</f>
        <v>0</v>
      </c>
      <c r="Q18" s="75"/>
      <c r="R18" s="75"/>
      <c r="S18" s="75"/>
      <c r="T18" s="75"/>
    </row>
    <row r="19" customFormat="false" ht="12.75" hidden="false" customHeight="true" outlineLevel="0" collapsed="false">
      <c r="B19" s="57" t="s">
        <v>398</v>
      </c>
      <c r="C19" s="59"/>
      <c r="D19" s="136"/>
      <c r="E19" s="59"/>
      <c r="F19" s="15"/>
      <c r="G19" s="15"/>
      <c r="H19" s="15"/>
      <c r="I19" s="15"/>
      <c r="J19" s="15"/>
      <c r="K19" s="15"/>
      <c r="L19" s="21" t="s">
        <v>354</v>
      </c>
      <c r="M19" s="21" t="n">
        <f aca="false">SUM(M6:M18)</f>
        <v>0</v>
      </c>
      <c r="N19" s="43" t="n">
        <f aca="false">SUM(N6:N18)</f>
        <v>0</v>
      </c>
      <c r="O19" s="44" t="n">
        <f aca="false">SUM(O6:O18)</f>
        <v>0</v>
      </c>
      <c r="P19" s="45" t="n">
        <f aca="false">IFERROR(O19/100/N19, )</f>
        <v>0</v>
      </c>
      <c r="Q19" s="46" t="n">
        <f aca="false">IFERROR(AVERAGE(Q6:Q18),)</f>
        <v>0</v>
      </c>
      <c r="R19" s="46" t="n">
        <f aca="false">IFERROR(AVERAGE(R6:R18),)</f>
        <v>0</v>
      </c>
      <c r="S19" s="46" t="n">
        <f aca="false">IFERROR(AVERAGE(S6:S18),)</f>
        <v>0</v>
      </c>
      <c r="T19" s="46" t="n">
        <f aca="false">IFERROR(AVERAGE(T6:T18),)</f>
        <v>0</v>
      </c>
    </row>
    <row r="20" customFormat="false" ht="12.75" hidden="false" customHeight="true" outlineLevel="0" collapsed="false">
      <c r="B20" s="23" t="s">
        <v>365</v>
      </c>
      <c r="C20" s="39" t="n">
        <f aca="false">I12*65*100/1000</f>
        <v>1540.5</v>
      </c>
      <c r="D20" s="60" t="n">
        <f aca="false">IFERROR(C20*10/E20, )</f>
        <v>65</v>
      </c>
      <c r="E20" s="117" t="n">
        <f aca="false">I12</f>
        <v>237</v>
      </c>
    </row>
    <row r="21" customFormat="false" ht="12.75" hidden="false" customHeight="true" outlineLevel="0" collapsed="false">
      <c r="B21" s="61" t="s">
        <v>366</v>
      </c>
      <c r="C21" s="62" t="n">
        <f aca="false">O19/1000</f>
        <v>0</v>
      </c>
      <c r="D21" s="63" t="n">
        <f aca="false">IFERROR(C21*10/E21, )</f>
        <v>0</v>
      </c>
      <c r="E21" s="117" t="n">
        <f aca="false">I13</f>
        <v>0</v>
      </c>
    </row>
    <row r="22" customFormat="false" ht="14.25" hidden="false" customHeight="true" outlineLevel="0" collapsed="false">
      <c r="E22" s="66"/>
      <c r="F22" s="66"/>
      <c r="G22" s="66"/>
      <c r="H22" s="137"/>
    </row>
    <row r="23" customFormat="false" ht="13.5" hidden="false" customHeight="false" outlineLevel="0" collapsed="false">
      <c r="B23" s="23" t="s">
        <v>367</v>
      </c>
      <c r="C23" s="64" t="n">
        <f aca="false">E21/E20</f>
        <v>0</v>
      </c>
      <c r="D23" s="65"/>
      <c r="N23" s="65"/>
      <c r="O23" s="65"/>
      <c r="P23" s="65"/>
    </row>
    <row r="24" customFormat="false" ht="13.5" hidden="false" customHeight="false" outlineLevel="0" collapsed="false">
      <c r="B24" s="23" t="s">
        <v>368</v>
      </c>
      <c r="C24" s="64" t="n">
        <f aca="false">C21/C20</f>
        <v>0</v>
      </c>
    </row>
    <row r="25" customFormat="false" ht="13.5" hidden="false" customHeight="false" outlineLevel="0" collapsed="false">
      <c r="B25" s="23"/>
      <c r="C25" s="64"/>
    </row>
  </sheetData>
  <mergeCells count="2">
    <mergeCell ref="B2:T2"/>
    <mergeCell ref="E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40" activeCellId="0" sqref="F40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3.67"/>
    <col collapsed="false" customWidth="true" hidden="false" outlineLevel="0" max="3" min="3" style="0" width="30.11"/>
    <col collapsed="false" customWidth="true" hidden="false" outlineLevel="0" max="4" min="4" style="0" width="16.67"/>
    <col collapsed="false" customWidth="true" hidden="false" outlineLevel="0" max="5" min="5" style="0" width="12.56"/>
    <col collapsed="false" customWidth="true" hidden="false" outlineLevel="0" max="6" min="6" style="0" width="18.44"/>
    <col collapsed="false" customWidth="true" hidden="false" outlineLevel="0" max="7" min="7" style="0" width="16.11"/>
    <col collapsed="false" customWidth="true" hidden="false" outlineLevel="0" max="8" min="8" style="138" width="17.33"/>
    <col collapsed="false" customWidth="true" hidden="false" outlineLevel="0" max="9" min="9" style="0" width="27.11"/>
  </cols>
  <sheetData>
    <row r="1" customFormat="false" ht="38.25" hidden="false" customHeight="true" outlineLevel="0" collapsed="false">
      <c r="A1" s="139" t="s">
        <v>371</v>
      </c>
      <c r="B1" s="139" t="s">
        <v>372</v>
      </c>
      <c r="C1" s="139" t="s">
        <v>373</v>
      </c>
      <c r="D1" s="140" t="s">
        <v>374</v>
      </c>
      <c r="E1" s="139" t="s">
        <v>375</v>
      </c>
      <c r="F1" s="139" t="s">
        <v>376</v>
      </c>
      <c r="G1" s="141" t="s">
        <v>377</v>
      </c>
      <c r="H1" s="142" t="s">
        <v>355</v>
      </c>
      <c r="I1" s="143" t="s">
        <v>433</v>
      </c>
    </row>
    <row r="2" customFormat="false" ht="14.25" hidden="false" customHeight="false" outlineLevel="0" collapsed="false">
      <c r="A2" s="144" t="s">
        <v>434</v>
      </c>
      <c r="B2" s="144" t="s">
        <v>435</v>
      </c>
      <c r="C2" s="0" t="s">
        <v>436</v>
      </c>
      <c r="D2" s="145" t="n">
        <v>82.5</v>
      </c>
      <c r="E2" s="11" t="n">
        <v>45897</v>
      </c>
      <c r="F2" s="146" t="n">
        <v>7</v>
      </c>
      <c r="G2" s="147" t="n">
        <v>240</v>
      </c>
      <c r="H2" s="148" t="n">
        <f aca="false">IFERROR(Таблица4[[#This Row],[Валовый сбор, кг]]/100/Таблица4[[#This Row],[Площадь уборки, га]], "-")</f>
        <v>0.342857142857143</v>
      </c>
      <c r="I2" s="0" t="s">
        <v>437</v>
      </c>
    </row>
    <row r="3" customFormat="false" ht="14.25" hidden="false" customHeight="false" outlineLevel="0" collapsed="false">
      <c r="A3" s="144"/>
      <c r="B3" s="144"/>
      <c r="C3" s="0" t="s">
        <v>438</v>
      </c>
      <c r="D3" s="145" t="n">
        <v>0.5</v>
      </c>
      <c r="F3" s="146"/>
      <c r="G3" s="147"/>
      <c r="H3" s="148" t="str">
        <f aca="false">IFERROR(Таблица4[[#This Row],[Валовый сбор, кг]]/100/Таблица4[[#This Row],[Площадь уборки, га]], "-")</f>
        <v>-</v>
      </c>
      <c r="I3" s="0" t="s">
        <v>439</v>
      </c>
    </row>
    <row r="4" customFormat="false" ht="14.25" hidden="false" customHeight="false" outlineLevel="0" collapsed="false">
      <c r="A4" s="144"/>
      <c r="B4" s="144"/>
      <c r="D4" s="145"/>
      <c r="F4" s="146"/>
      <c r="G4" s="147"/>
      <c r="H4" s="148" t="str">
        <f aca="false">IFERROR(Таблица4[[#This Row],[Валовый сбор, кг]]/100/Таблица4[[#This Row],[Площадь уборки, га]], "-")</f>
        <v>-</v>
      </c>
    </row>
    <row r="5" customFormat="false" ht="14.25" hidden="false" customHeight="false" outlineLevel="0" collapsed="false">
      <c r="A5" s="144"/>
      <c r="B5" s="144"/>
      <c r="D5" s="145"/>
      <c r="F5" s="146"/>
      <c r="G5" s="147"/>
      <c r="H5" s="148" t="str">
        <f aca="false">IFERROR(Таблица4[[#This Row],[Валовый сбор, кг]]/100/Таблица4[[#This Row],[Площадь уборки, га]], "-")</f>
        <v>-</v>
      </c>
    </row>
    <row r="6" customFormat="false" ht="14.25" hidden="false" customHeight="false" outlineLevel="0" collapsed="false">
      <c r="A6" s="144"/>
      <c r="B6" s="144" t="s">
        <v>440</v>
      </c>
      <c r="C6" s="0" t="s">
        <v>436</v>
      </c>
      <c r="D6" s="145" t="n">
        <v>96.5</v>
      </c>
      <c r="E6" s="11" t="n">
        <v>45805</v>
      </c>
      <c r="F6" s="146" t="n">
        <v>4.5</v>
      </c>
      <c r="G6" s="147" t="n">
        <v>220</v>
      </c>
      <c r="H6" s="148" t="n">
        <f aca="false">IFERROR(Таблица4[[#This Row],[Валовый сбор, кг]]/100/Таблица4[[#This Row],[Площадь уборки, га]], "-")</f>
        <v>0.488888888888889</v>
      </c>
      <c r="I6" s="0" t="s">
        <v>437</v>
      </c>
    </row>
    <row r="7" customFormat="false" ht="14.25" hidden="false" customHeight="false" outlineLevel="0" collapsed="false">
      <c r="A7" s="144"/>
      <c r="B7" s="144"/>
      <c r="C7" s="0" t="s">
        <v>441</v>
      </c>
      <c r="D7" s="145" t="n">
        <v>0.5</v>
      </c>
      <c r="F7" s="146"/>
      <c r="G7" s="147"/>
      <c r="H7" s="148" t="str">
        <f aca="false">IFERROR(Таблица4[[#This Row],[Валовый сбор, кг]]/100/Таблица4[[#This Row],[Площадь уборки, га]], "-")</f>
        <v>-</v>
      </c>
      <c r="I7" s="0" t="s">
        <v>439</v>
      </c>
    </row>
    <row r="8" customFormat="false" ht="14.25" hidden="false" customHeight="false" outlineLevel="0" collapsed="false">
      <c r="A8" s="144"/>
      <c r="B8" s="144"/>
      <c r="D8" s="145"/>
      <c r="F8" s="146"/>
      <c r="G8" s="147"/>
      <c r="H8" s="148" t="str">
        <f aca="false">IFERROR(Таблица4[[#This Row],[Валовый сбор, кг]]/100/Таблица4[[#This Row],[Площадь уборки, га]], "-")</f>
        <v>-</v>
      </c>
    </row>
    <row r="9" customFormat="false" ht="14.25" hidden="false" customHeight="false" outlineLevel="0" collapsed="false">
      <c r="A9" s="144"/>
      <c r="B9" s="144"/>
      <c r="D9" s="145"/>
      <c r="F9" s="146"/>
      <c r="G9" s="147"/>
      <c r="H9" s="148" t="str">
        <f aca="false">IFERROR(Таблица4[[#This Row],[Валовый сбор, кг]]/100/Таблица4[[#This Row],[Площадь уборки, га]], "-")</f>
        <v>-</v>
      </c>
    </row>
    <row r="10" customFormat="false" ht="14.25" hidden="false" customHeight="false" outlineLevel="0" collapsed="false">
      <c r="A10" s="144"/>
      <c r="B10" s="144" t="s">
        <v>442</v>
      </c>
      <c r="C10" s="0" t="s">
        <v>443</v>
      </c>
      <c r="D10" s="145" t="n">
        <v>51.5</v>
      </c>
      <c r="E10" s="11" t="n">
        <v>45805</v>
      </c>
      <c r="F10" s="146" t="n">
        <v>4.5</v>
      </c>
      <c r="G10" s="147" t="n">
        <v>1180</v>
      </c>
      <c r="H10" s="148" t="n">
        <f aca="false">IFERROR(Таблица4[[#This Row],[Валовый сбор, кг]]/100/Таблица4[[#This Row],[Площадь уборки, га]], "-")</f>
        <v>2.62222222222222</v>
      </c>
      <c r="I10" s="0" t="s">
        <v>437</v>
      </c>
      <c r="J10" s="149"/>
      <c r="K10" s="150"/>
      <c r="L10" s="150"/>
      <c r="M10" s="150"/>
    </row>
    <row r="11" customFormat="false" ht="14.25" hidden="false" customHeight="false" outlineLevel="0" collapsed="false">
      <c r="A11" s="144"/>
      <c r="B11" s="144"/>
      <c r="C11" s="0" t="s">
        <v>444</v>
      </c>
      <c r="D11" s="145" t="n">
        <v>0.5</v>
      </c>
      <c r="F11" s="146"/>
      <c r="G11" s="147"/>
      <c r="H11" s="148" t="str">
        <f aca="false">IFERROR(Таблица4[[#This Row],[Валовый сбор, кг]]/100/Таблица4[[#This Row],[Площадь уборки, га]], "-")</f>
        <v>-</v>
      </c>
      <c r="I11" s="0" t="s">
        <v>439</v>
      </c>
    </row>
    <row r="12" customFormat="false" ht="14.25" hidden="false" customHeight="false" outlineLevel="0" collapsed="false">
      <c r="A12" s="144"/>
      <c r="B12" s="144"/>
      <c r="D12" s="145"/>
      <c r="F12" s="146"/>
      <c r="G12" s="147"/>
      <c r="H12" s="148" t="str">
        <f aca="false">IFERROR(Таблица4[[#This Row],[Валовый сбор, кг]]/100/Таблица4[[#This Row],[Площадь уборки, га]], "-")</f>
        <v>-</v>
      </c>
    </row>
    <row r="13" customFormat="false" ht="14.25" hidden="false" customHeight="false" outlineLevel="0" collapsed="false">
      <c r="A13" s="144"/>
      <c r="B13" s="144"/>
      <c r="D13" s="145"/>
      <c r="F13" s="146"/>
      <c r="G13" s="147"/>
      <c r="H13" s="148" t="str">
        <f aca="false">IFERROR(Таблица4[[#This Row],[Валовый сбор, кг]]/100/Таблица4[[#This Row],[Площадь уборки, га]], "-")</f>
        <v>-</v>
      </c>
    </row>
    <row r="14" customFormat="false" ht="14.25" hidden="false" customHeight="false" outlineLevel="0" collapsed="false">
      <c r="A14" s="144"/>
      <c r="B14" s="144" t="s">
        <v>445</v>
      </c>
      <c r="C14" s="0" t="s">
        <v>443</v>
      </c>
      <c r="D14" s="145" t="n">
        <v>23</v>
      </c>
      <c r="E14" s="11" t="n">
        <v>45897</v>
      </c>
      <c r="F14" s="146" t="n">
        <v>1</v>
      </c>
      <c r="G14" s="147" t="n">
        <v>300</v>
      </c>
      <c r="H14" s="148" t="n">
        <f aca="false">IFERROR(Таблица4[[#This Row],[Валовый сбор, кг]]/100/Таблица4[[#This Row],[Площадь уборки, га]], "-")</f>
        <v>3</v>
      </c>
      <c r="I14" s="0" t="s">
        <v>437</v>
      </c>
    </row>
    <row r="15" customFormat="false" ht="14.25" hidden="false" customHeight="false" outlineLevel="0" collapsed="false">
      <c r="A15" s="144"/>
      <c r="B15" s="144"/>
      <c r="D15" s="145"/>
      <c r="F15" s="146"/>
      <c r="G15" s="147"/>
      <c r="H15" s="148" t="str">
        <f aca="false">IFERROR(Таблица4[[#This Row],[Валовый сбор, кг]]/100/Таблица4[[#This Row],[Площадь уборки, га]], "-")</f>
        <v>-</v>
      </c>
    </row>
    <row r="16" customFormat="false" ht="14.25" hidden="false" customHeight="false" outlineLevel="0" collapsed="false">
      <c r="A16" s="144"/>
      <c r="B16" s="144"/>
      <c r="D16" s="145"/>
      <c r="F16" s="146"/>
      <c r="G16" s="147"/>
      <c r="H16" s="148" t="str">
        <f aca="false">IFERROR(Таблица4[[#This Row],[Валовый сбор, кг]]/100/Таблица4[[#This Row],[Площадь уборки, га]], "-")</f>
        <v>-</v>
      </c>
    </row>
    <row r="17" customFormat="false" ht="14.25" hidden="false" customHeight="false" outlineLevel="0" collapsed="false">
      <c r="A17" s="144"/>
      <c r="B17" s="144" t="s">
        <v>446</v>
      </c>
      <c r="C17" s="0" t="s">
        <v>443</v>
      </c>
      <c r="D17" s="145" t="n">
        <v>2.46</v>
      </c>
      <c r="E17" s="11" t="n">
        <v>45938</v>
      </c>
      <c r="F17" s="146" t="n">
        <v>3</v>
      </c>
      <c r="G17" s="147" t="n">
        <v>16140</v>
      </c>
      <c r="H17" s="148" t="n">
        <f aca="false">IFERROR(Таблица4[[#This Row],[Валовый сбор, кг]]/100/Таблица4[[#This Row],[Площадь уборки, га]], "-")</f>
        <v>53.8</v>
      </c>
    </row>
    <row r="18" customFormat="false" ht="14.25" hidden="false" customHeight="false" outlineLevel="0" collapsed="false">
      <c r="A18" s="144"/>
      <c r="B18" s="144"/>
      <c r="C18" s="0" t="s">
        <v>447</v>
      </c>
      <c r="D18" s="145" t="n">
        <f aca="false">0.5/3</f>
        <v>0.166666666666667</v>
      </c>
      <c r="F18" s="146"/>
      <c r="G18" s="147"/>
      <c r="H18" s="148" t="str">
        <f aca="false">IFERROR(Таблица4[[#This Row],[Валовый сбор, кг]]/100/Таблица4[[#This Row],[Площадь уборки, га]], "-")</f>
        <v>-</v>
      </c>
    </row>
    <row r="19" customFormat="false" ht="14.25" hidden="false" customHeight="false" outlineLevel="0" collapsed="false">
      <c r="A19" s="144"/>
      <c r="B19" s="144"/>
      <c r="C19" s="0" t="s">
        <v>448</v>
      </c>
      <c r="D19" s="145" t="n">
        <f aca="false">0.5/3</f>
        <v>0.166666666666667</v>
      </c>
      <c r="F19" s="146"/>
      <c r="G19" s="147"/>
      <c r="H19" s="148" t="str">
        <f aca="false">IFERROR(Таблица4[[#This Row],[Валовый сбор, кг]]/100/Таблица4[[#This Row],[Площадь уборки, га]], "-")</f>
        <v>-</v>
      </c>
    </row>
    <row r="20" customFormat="false" ht="14.25" hidden="false" customHeight="false" outlineLevel="0" collapsed="false">
      <c r="A20" s="144"/>
      <c r="B20" s="144"/>
      <c r="C20" s="0" t="s">
        <v>449</v>
      </c>
      <c r="D20" s="145" t="n">
        <f aca="false">0.5/3</f>
        <v>0.166666666666667</v>
      </c>
      <c r="F20" s="146"/>
      <c r="G20" s="147"/>
      <c r="H20" s="148" t="str">
        <f aca="false">IFERROR(Таблица4[[#This Row],[Валовый сбор, кг]]/100/Таблица4[[#This Row],[Площадь уборки, га]], "-")</f>
        <v>-</v>
      </c>
    </row>
    <row r="21" customFormat="false" ht="14.25" hidden="false" customHeight="false" outlineLevel="0" collapsed="false">
      <c r="A21" s="144"/>
      <c r="B21" s="144"/>
      <c r="D21" s="145"/>
      <c r="F21" s="146"/>
      <c r="G21" s="147"/>
      <c r="H21" s="148" t="str">
        <f aca="false">IFERROR(Таблица4[[#This Row],[Валовый сбор, кг]]/100/Таблица4[[#This Row],[Площадь уборки, га]], "-")</f>
        <v>-</v>
      </c>
    </row>
    <row r="22" customFormat="false" ht="14.25" hidden="false" customHeight="false" outlineLevel="0" collapsed="false">
      <c r="A22" s="144"/>
      <c r="B22" s="144"/>
      <c r="D22" s="145"/>
      <c r="F22" s="146"/>
      <c r="G22" s="147"/>
      <c r="H22" s="148" t="str">
        <f aca="false">IFERROR(Таблица4[[#This Row],[Валовый сбор, кг]]/100/Таблица4[[#This Row],[Площадь уборки, га]], "-")</f>
        <v>-</v>
      </c>
    </row>
    <row r="23" customFormat="false" ht="14.25" hidden="false" customHeight="false" outlineLevel="0" collapsed="false">
      <c r="A23" s="144" t="s">
        <v>450</v>
      </c>
      <c r="B23" s="144" t="s">
        <v>451</v>
      </c>
      <c r="C23" s="0" t="s">
        <v>436</v>
      </c>
      <c r="D23" s="145" t="n">
        <v>31</v>
      </c>
      <c r="E23" s="11" t="n">
        <v>45929</v>
      </c>
      <c r="F23" s="146" t="n">
        <v>2</v>
      </c>
      <c r="G23" s="147" t="n">
        <v>17260</v>
      </c>
      <c r="H23" s="148" t="n">
        <f aca="false">IFERROR(Таблица4[[#This Row],[Валовый сбор, кг]]/100/Таблица4[[#This Row],[Площадь уборки, га]], "-")</f>
        <v>86.3</v>
      </c>
    </row>
    <row r="24" customFormat="false" ht="14.25" hidden="false" customHeight="false" outlineLevel="0" collapsed="false">
      <c r="A24" s="144"/>
      <c r="B24" s="144"/>
      <c r="C24" s="0" t="s">
        <v>452</v>
      </c>
      <c r="D24" s="145" t="n">
        <v>15</v>
      </c>
      <c r="E24" s="11" t="n">
        <v>45933</v>
      </c>
      <c r="F24" s="146" t="n">
        <v>16</v>
      </c>
      <c r="G24" s="147" t="n">
        <v>117940</v>
      </c>
      <c r="H24" s="148" t="n">
        <f aca="false">IFERROR(Таблица4[[#This Row],[Валовый сбор, кг]]/100/Таблица4[[#This Row],[Площадь уборки, га]], "-")</f>
        <v>73.7125</v>
      </c>
    </row>
    <row r="25" customFormat="false" ht="14.25" hidden="false" customHeight="false" outlineLevel="0" collapsed="false">
      <c r="A25" s="144"/>
      <c r="B25" s="144"/>
      <c r="D25" s="145"/>
      <c r="E25" s="11" t="n">
        <v>45934</v>
      </c>
      <c r="F25" s="146" t="n">
        <v>7</v>
      </c>
      <c r="G25" s="147" t="n">
        <v>56980</v>
      </c>
      <c r="H25" s="148" t="n">
        <f aca="false">IFERROR(Таблица4[[#This Row],[Валовый сбор, кг]]/100/Таблица4[[#This Row],[Площадь уборки, га]], "-")</f>
        <v>81.4</v>
      </c>
    </row>
    <row r="26" customFormat="false" ht="14.25" hidden="false" customHeight="false" outlineLevel="0" collapsed="false">
      <c r="A26" s="144"/>
      <c r="B26" s="144"/>
      <c r="D26" s="145"/>
      <c r="E26" s="11" t="n">
        <v>45937</v>
      </c>
      <c r="F26" s="146" t="n">
        <v>0.3</v>
      </c>
      <c r="G26" s="147" t="n">
        <v>2280</v>
      </c>
      <c r="H26" s="148" t="n">
        <f aca="false">IFERROR(Таблица4[[#This Row],[Валовый сбор, кг]]/100/Таблица4[[#This Row],[Площадь уборки, га]], "-")</f>
        <v>76</v>
      </c>
    </row>
    <row r="27" customFormat="false" ht="14.25" hidden="false" customHeight="false" outlineLevel="0" collapsed="false">
      <c r="A27" s="144"/>
      <c r="B27" s="144"/>
      <c r="D27" s="145"/>
      <c r="E27" s="11" t="n">
        <v>45938</v>
      </c>
      <c r="F27" s="146" t="n">
        <v>20.7</v>
      </c>
      <c r="G27" s="147" t="n">
        <v>181700</v>
      </c>
      <c r="H27" s="148" t="n">
        <f aca="false">IFERROR(Таблица4[[#This Row],[Валовый сбор, кг]]/100/Таблица4[[#This Row],[Площадь уборки, га]], "-")</f>
        <v>87.7777777777778</v>
      </c>
    </row>
    <row r="28" customFormat="false" ht="14.25" hidden="false" customHeight="false" outlineLevel="0" collapsed="false">
      <c r="A28" s="144"/>
      <c r="B28" s="144"/>
      <c r="D28" s="151" t="n">
        <f aca="false">SUBTOTAL(109,Таблица4[Площадь поля, га])</f>
        <v>303.96</v>
      </c>
      <c r="F28" s="145" t="n">
        <f aca="false">SUBTOTAL(109,Таблица4[Площадь уборки, га])</f>
        <v>66</v>
      </c>
      <c r="G28" s="147" t="n">
        <f aca="false">SUBTOTAL(109,Таблица4[Валовый сбор, кг])</f>
        <v>394240</v>
      </c>
      <c r="H28" s="152" t="n">
        <f aca="false">Таблица4[[#Totals],[Валовый сбор, кг]]/100/Таблица4[[#Totals],[Площадь уборки, га]]</f>
        <v>59.7333333333333</v>
      </c>
    </row>
    <row r="31" customFormat="false" ht="14.25" hidden="false" customHeight="false" outlineLevel="0" collapsed="false">
      <c r="A31" s="153" t="s">
        <v>453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5" activeCellId="0" sqref="H25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78" width="29"/>
    <col collapsed="false" customWidth="true" hidden="false" outlineLevel="0" max="2" min="2" style="78" width="18.67"/>
    <col collapsed="false" customWidth="true" hidden="false" outlineLevel="0" max="3" min="3" style="79" width="12.56"/>
    <col collapsed="false" customWidth="true" hidden="false" outlineLevel="0" max="4" min="4" style="80" width="14.44"/>
    <col collapsed="false" customWidth="true" hidden="false" outlineLevel="0" max="5" min="5" style="78" width="12.56"/>
    <col collapsed="false" customWidth="true" hidden="false" outlineLevel="0" max="6" min="6" style="81" width="19.44"/>
    <col collapsed="false" customWidth="true" hidden="false" outlineLevel="0" max="7" min="7" style="82" width="15.88"/>
    <col collapsed="false" customWidth="false" hidden="false" outlineLevel="0" max="16384" min="8" style="78" width="9.11"/>
  </cols>
  <sheetData>
    <row r="1" s="83" customFormat="true" ht="48.75" hidden="false" customHeight="true" outlineLevel="0" collapsed="false">
      <c r="A1" s="83" t="s">
        <v>372</v>
      </c>
      <c r="B1" s="83" t="s">
        <v>373</v>
      </c>
      <c r="C1" s="84" t="s">
        <v>374</v>
      </c>
      <c r="D1" s="83" t="s">
        <v>375</v>
      </c>
      <c r="E1" s="83" t="s">
        <v>376</v>
      </c>
      <c r="F1" s="85" t="s">
        <v>377</v>
      </c>
      <c r="G1" s="86" t="s">
        <v>355</v>
      </c>
    </row>
    <row r="2" customFormat="false" ht="13.5" hidden="false" customHeight="false" outlineLevel="0" collapsed="false">
      <c r="A2" s="87" t="s">
        <v>454</v>
      </c>
      <c r="C2" s="79" t="n">
        <v>55</v>
      </c>
      <c r="D2" s="80" t="n">
        <v>45929</v>
      </c>
      <c r="E2" s="78" t="n">
        <v>55</v>
      </c>
      <c r="F2" s="81" t="n">
        <v>3080</v>
      </c>
      <c r="G2" s="82" t="n">
        <f aca="false">IFERROR(Таблица378[[#This Row],[Валовый сбор, кг]]/100/Таблица378[[#This Row],[Площадь уборки, га]], "-")</f>
        <v>0.56</v>
      </c>
    </row>
    <row r="3" customFormat="false" ht="13.5" hidden="false" customHeight="false" outlineLevel="0" collapsed="false">
      <c r="A3" s="87"/>
      <c r="C3" s="79" t="n">
        <f aca="false">SUBTOTAL(109,Таблица378[Площадь поля, га])</f>
        <v>55</v>
      </c>
      <c r="E3" s="78" t="n">
        <f aca="false">SUBTOTAL(109,Таблица378[Площадь уборки, га])</f>
        <v>55</v>
      </c>
      <c r="F3" s="81" t="n">
        <f aca="false">SUBTOTAL(109,Таблица378[Валовый сбор, кг])</f>
        <v>3080</v>
      </c>
      <c r="G3" s="82" t="n">
        <f aca="false">IFERROR(Таблица378[[#Totals],[Валовый сбор, кг]]/100/Таблица378[[#Totals],[Площадь уборки, га]], "-")</f>
        <v>0.56</v>
      </c>
    </row>
    <row r="6" customFormat="false" ht="17.25" hidden="false" customHeight="false" outlineLevel="0" collapsed="false">
      <c r="A6" s="57" t="s">
        <v>398</v>
      </c>
      <c r="B6" s="59"/>
      <c r="C6" s="59"/>
      <c r="D6" s="93"/>
    </row>
    <row r="7" s="78" customFormat="true" ht="13.5" hidden="false" customHeight="false" outlineLevel="0" collapsed="false">
      <c r="A7" s="23" t="s">
        <v>365</v>
      </c>
      <c r="B7" s="154" t="n">
        <v>247.5</v>
      </c>
      <c r="C7" s="94" t="n">
        <v>55</v>
      </c>
      <c r="D7" s="60" t="n">
        <f aca="false">B7*10/C7</f>
        <v>45</v>
      </c>
      <c r="E7" s="80"/>
      <c r="G7" s="81"/>
      <c r="H7" s="82"/>
    </row>
    <row r="8" s="78" customFormat="true" ht="13.5" hidden="false" customHeight="false" outlineLevel="0" collapsed="false">
      <c r="A8" s="61" t="s">
        <v>366</v>
      </c>
      <c r="B8" s="155" t="n">
        <f aca="false">Таблица378[[#Totals],[Валовый сбор, кг]]/1000</f>
        <v>3.08</v>
      </c>
      <c r="C8" s="95" t="n">
        <f aca="false">Таблица378[[#Totals],[Площадь уборки, га]]</f>
        <v>55</v>
      </c>
      <c r="D8" s="48" t="n">
        <f aca="false">B8*10/C8</f>
        <v>0.56</v>
      </c>
      <c r="E8" s="80"/>
      <c r="G8" s="81"/>
      <c r="H8" s="82"/>
    </row>
    <row r="9" s="78" customFormat="true" ht="13.5" hidden="false" customHeight="false" outlineLevel="0" collapsed="false">
      <c r="A9" s="12"/>
      <c r="B9" s="12"/>
      <c r="C9" s="12"/>
      <c r="D9" s="12"/>
      <c r="E9" s="80"/>
      <c r="G9" s="81"/>
      <c r="H9" s="82"/>
    </row>
    <row r="10" s="78" customFormat="true" ht="13.5" hidden="false" customHeight="false" outlineLevel="0" collapsed="false">
      <c r="A10" s="23" t="s">
        <v>367</v>
      </c>
      <c r="B10" s="64" t="n">
        <f aca="false">C8/C7</f>
        <v>1</v>
      </c>
      <c r="C10" s="64"/>
      <c r="D10" s="65"/>
      <c r="E10" s="80"/>
      <c r="G10" s="81"/>
      <c r="H10" s="82"/>
    </row>
    <row r="11" s="78" customFormat="true" ht="13.5" hidden="false" customHeight="false" outlineLevel="0" collapsed="false">
      <c r="A11" s="23" t="s">
        <v>399</v>
      </c>
      <c r="B11" s="64" t="n">
        <f aca="false">B8/B7</f>
        <v>0.0124444444444444</v>
      </c>
      <c r="C11" s="64"/>
      <c r="D11" s="12"/>
      <c r="E11" s="80"/>
      <c r="G11" s="81"/>
      <c r="H11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:Y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25" activeCellId="0" sqref="O25"/>
    </sheetView>
  </sheetViews>
  <sheetFormatPr defaultColWidth="9.109375" defaultRowHeight="13.5" customHeight="true" zeroHeight="false" outlineLevelRow="0" outlineLevelCol="1"/>
  <cols>
    <col collapsed="false" customWidth="true" hidden="false" outlineLevel="0" max="1" min="1" style="12" width="2.33"/>
    <col collapsed="false" customWidth="true" hidden="false" outlineLevel="0" max="2" min="2" style="12" width="35.89"/>
    <col collapsed="false" customWidth="true" hidden="false" outlineLevel="0" max="6" min="3" style="12" width="13.56"/>
    <col collapsed="false" customWidth="true" hidden="false" outlineLevel="0" max="7" min="7" style="12" width="12.88"/>
    <col collapsed="false" customWidth="true" hidden="false" outlineLevel="0" max="8" min="8" style="12" width="15.56"/>
    <col collapsed="false" customWidth="true" hidden="false" outlineLevel="0" max="9" min="9" style="33" width="14.88"/>
    <col collapsed="false" customWidth="true" hidden="false" outlineLevel="0" max="10" min="10" style="12" width="8.56"/>
    <col collapsed="false" customWidth="false" hidden="false" outlineLevel="0" max="11" min="11" style="12" width="9.11"/>
    <col collapsed="false" customWidth="true" hidden="false" outlineLevel="0" max="12" min="12" style="12" width="14.67"/>
    <col collapsed="false" customWidth="true" hidden="true" outlineLevel="0" max="13" min="13" style="12" width="8.56"/>
    <col collapsed="false" customWidth="true" hidden="false" outlineLevel="0" max="14" min="14" style="12" width="14.33"/>
    <col collapsed="false" customWidth="true" hidden="false" outlineLevel="0" max="15" min="15" style="12" width="14.56"/>
    <col collapsed="false" customWidth="true" hidden="false" outlineLevel="0" max="16" min="16" style="119" width="14.88"/>
    <col collapsed="false" customWidth="true" hidden="true" outlineLevel="1" max="17" min="17" style="12" width="9.88"/>
    <col collapsed="false" customWidth="true" hidden="true" outlineLevel="1" max="18" min="18" style="12" width="14.56"/>
    <col collapsed="false" customWidth="true" hidden="true" outlineLevel="1" max="19" min="19" style="12" width="14.44"/>
    <col collapsed="false" customWidth="true" hidden="true" outlineLevel="1" max="20" min="20" style="12" width="11.33"/>
    <col collapsed="false" customWidth="true" hidden="false" outlineLevel="0" max="21" min="21" style="122" width="28.33"/>
    <col collapsed="false" customWidth="false" hidden="false" outlineLevel="0" max="16384" min="22" style="12" width="9.11"/>
  </cols>
  <sheetData>
    <row r="2" customFormat="false" ht="26.8" hidden="false" customHeight="true" outlineLevel="0" collapsed="false">
      <c r="B2" s="13" t="s">
        <v>455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56"/>
      <c r="V2" s="14"/>
    </row>
    <row r="3" customFormat="false" ht="18" hidden="false" customHeight="tru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customFormat="false" ht="13.5" hidden="false" customHeight="false" outlineLevel="0" collapsed="false">
      <c r="I4" s="120" t="s">
        <v>456</v>
      </c>
    </row>
    <row r="5" s="16" customFormat="tru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8" t="s">
        <v>332</v>
      </c>
      <c r="I5" s="19" t="s">
        <v>333</v>
      </c>
      <c r="L5" s="21" t="s">
        <v>334</v>
      </c>
      <c r="M5" s="21" t="s">
        <v>335</v>
      </c>
      <c r="N5" s="21" t="s">
        <v>336</v>
      </c>
      <c r="O5" s="21" t="s">
        <v>337</v>
      </c>
      <c r="P5" s="22" t="s">
        <v>338</v>
      </c>
      <c r="Q5" s="21" t="s">
        <v>340</v>
      </c>
      <c r="R5" s="21" t="s">
        <v>339</v>
      </c>
      <c r="S5" s="21" t="s">
        <v>341</v>
      </c>
      <c r="T5" s="21" t="s">
        <v>342</v>
      </c>
      <c r="U5" s="157"/>
    </row>
    <row r="6" customFormat="false" ht="13.5" hidden="false" customHeight="false" outlineLevel="0" collapsed="false">
      <c r="B6" s="23" t="s">
        <v>343</v>
      </c>
      <c r="C6" s="24"/>
      <c r="D6" s="25" t="n">
        <v>44379</v>
      </c>
      <c r="E6" s="25" t="n">
        <v>44744</v>
      </c>
      <c r="F6" s="25"/>
      <c r="G6" s="25"/>
      <c r="H6" s="25" t="n">
        <v>45835</v>
      </c>
      <c r="I6" s="26" t="n">
        <f aca="false">L6</f>
        <v>46198</v>
      </c>
      <c r="L6" s="27" t="n">
        <v>46198</v>
      </c>
      <c r="M6" s="28"/>
      <c r="N6" s="29" t="n">
        <f aca="false">12*O6/(O6+O7)</f>
        <v>9.84780114722753</v>
      </c>
      <c r="O6" s="30" t="n">
        <v>21460</v>
      </c>
      <c r="P6" s="31" t="n">
        <f aca="false">IFERROR(O6/100/N6,0)</f>
        <v>21.7916666666667</v>
      </c>
      <c r="Q6" s="32"/>
      <c r="R6" s="32"/>
      <c r="S6" s="32"/>
      <c r="T6" s="32"/>
      <c r="U6" s="122" t="s">
        <v>457</v>
      </c>
    </row>
    <row r="7" customFormat="false" ht="16.5" hidden="false" customHeight="true" outlineLevel="0" collapsed="false">
      <c r="B7" s="23" t="s">
        <v>344</v>
      </c>
      <c r="C7" s="24"/>
      <c r="D7" s="25" t="n">
        <v>44408</v>
      </c>
      <c r="E7" s="25" t="n">
        <v>44752</v>
      </c>
      <c r="F7" s="25"/>
      <c r="G7" s="25"/>
      <c r="H7" s="25" t="n">
        <v>45842</v>
      </c>
      <c r="I7" s="26"/>
      <c r="L7" s="27" t="n">
        <v>46199</v>
      </c>
      <c r="M7" s="28"/>
      <c r="N7" s="29" t="n">
        <f aca="false">12-N6</f>
        <v>2.15219885277247</v>
      </c>
      <c r="O7" s="30" t="n">
        <v>4690</v>
      </c>
      <c r="P7" s="31" t="n">
        <f aca="false">IFERROR(O7/100/N7,0)</f>
        <v>21.7916666666667</v>
      </c>
      <c r="Q7" s="32"/>
      <c r="R7" s="32"/>
      <c r="S7" s="32"/>
      <c r="T7" s="32"/>
      <c r="U7" s="122" t="s">
        <v>457</v>
      </c>
    </row>
    <row r="8" customFormat="false" ht="13.5" hidden="false" customHeight="false" outlineLevel="0" collapsed="false">
      <c r="B8" s="23" t="s">
        <v>345</v>
      </c>
      <c r="C8" s="34"/>
      <c r="D8" s="34" t="n">
        <f aca="false">IF(D7=0,"-",D7-D6+1)</f>
        <v>30</v>
      </c>
      <c r="E8" s="34" t="n">
        <f aca="false">IF(E7=0,"-",E7-E6+1)</f>
        <v>9</v>
      </c>
      <c r="F8" s="34"/>
      <c r="G8" s="34"/>
      <c r="H8" s="34" t="n">
        <v>8</v>
      </c>
      <c r="I8" s="35" t="str">
        <f aca="false">IF(I7=0,"-",I7-I6+1)</f>
        <v>-</v>
      </c>
      <c r="L8" s="27" t="n">
        <v>46200</v>
      </c>
      <c r="M8" s="28"/>
      <c r="N8" s="29"/>
      <c r="O8" s="30"/>
      <c r="P8" s="31"/>
      <c r="Q8" s="32"/>
      <c r="R8" s="32"/>
      <c r="S8" s="32"/>
      <c r="T8" s="32"/>
      <c r="U8" s="158"/>
    </row>
    <row r="9" customFormat="false" ht="13.5" hidden="false" customHeight="false" outlineLevel="0" collapsed="false">
      <c r="B9" s="23" t="s">
        <v>346</v>
      </c>
      <c r="C9" s="34"/>
      <c r="D9" s="34" t="n">
        <v>5</v>
      </c>
      <c r="E9" s="34" t="n">
        <v>9</v>
      </c>
      <c r="F9" s="34"/>
      <c r="G9" s="34"/>
      <c r="H9" s="34" t="n">
        <v>5</v>
      </c>
      <c r="I9" s="35" t="n">
        <v>0</v>
      </c>
      <c r="L9" s="27" t="n">
        <v>46201</v>
      </c>
      <c r="M9" s="28"/>
      <c r="N9" s="29" t="n">
        <v>21</v>
      </c>
      <c r="O9" s="30" t="n">
        <v>23170</v>
      </c>
      <c r="P9" s="31" t="n">
        <f aca="false">IFERROR(O9/100/N9,0)</f>
        <v>11.0333333333333</v>
      </c>
      <c r="Q9" s="32"/>
      <c r="R9" s="32"/>
      <c r="S9" s="32"/>
      <c r="T9" s="32"/>
      <c r="U9" s="158" t="s">
        <v>458</v>
      </c>
    </row>
    <row r="10" customFormat="false" ht="13.5" hidden="false" customHeight="false" outlineLevel="0" collapsed="false">
      <c r="B10" s="23" t="s">
        <v>347</v>
      </c>
      <c r="C10" s="36"/>
      <c r="D10" s="36" t="s">
        <v>348</v>
      </c>
      <c r="E10" s="36" t="s">
        <v>348</v>
      </c>
      <c r="F10" s="36"/>
      <c r="G10" s="36"/>
      <c r="H10" s="36" t="s">
        <v>351</v>
      </c>
      <c r="I10" s="37" t="s">
        <v>351</v>
      </c>
      <c r="L10" s="27" t="n">
        <v>46202</v>
      </c>
      <c r="M10" s="28"/>
      <c r="N10" s="29" t="n">
        <v>37</v>
      </c>
      <c r="O10" s="30" t="n">
        <v>57550</v>
      </c>
      <c r="P10" s="31" t="n">
        <f aca="false">IFERROR(O10/100/N10,0)</f>
        <v>15.5540540540541</v>
      </c>
      <c r="Q10" s="32"/>
      <c r="R10" s="32"/>
      <c r="S10" s="32"/>
      <c r="T10" s="32"/>
      <c r="U10" s="122" t="s">
        <v>260</v>
      </c>
    </row>
    <row r="11" customFormat="false" ht="13.5" hidden="false" customHeight="false" outlineLevel="0" collapsed="false">
      <c r="B11" s="23" t="s">
        <v>337</v>
      </c>
      <c r="C11" s="39"/>
      <c r="D11" s="39" t="n">
        <v>368.83</v>
      </c>
      <c r="E11" s="39" t="n">
        <v>180.7</v>
      </c>
      <c r="F11" s="39"/>
      <c r="G11" s="39"/>
      <c r="H11" s="39" t="n">
        <v>764.29</v>
      </c>
      <c r="I11" s="40" t="n">
        <f aca="false">O12/1000</f>
        <v>150.2</v>
      </c>
      <c r="L11" s="27" t="n">
        <v>46203</v>
      </c>
      <c r="M11" s="28"/>
      <c r="N11" s="29" t="n">
        <v>20</v>
      </c>
      <c r="O11" s="30" t="n">
        <v>43330</v>
      </c>
      <c r="P11" s="31" t="n">
        <f aca="false">IFERROR(O11/100/N11,0)</f>
        <v>21.665</v>
      </c>
      <c r="Q11" s="32"/>
      <c r="R11" s="32"/>
      <c r="S11" s="32"/>
      <c r="T11" s="32"/>
      <c r="U11" s="122" t="s">
        <v>459</v>
      </c>
    </row>
    <row r="12" customFormat="false" ht="13.5" hidden="false" customHeight="false" outlineLevel="0" collapsed="false">
      <c r="B12" s="23" t="s">
        <v>353</v>
      </c>
      <c r="C12" s="41"/>
      <c r="D12" s="41" t="n">
        <v>151</v>
      </c>
      <c r="E12" s="41" t="n">
        <v>191</v>
      </c>
      <c r="F12" s="41"/>
      <c r="G12" s="41"/>
      <c r="H12" s="41" t="n">
        <v>384</v>
      </c>
      <c r="I12" s="42" t="n">
        <v>0</v>
      </c>
      <c r="L12" s="21" t="s">
        <v>354</v>
      </c>
      <c r="M12" s="21" t="n">
        <f aca="false">SUM(M6:M11)</f>
        <v>0</v>
      </c>
      <c r="N12" s="43" t="n">
        <f aca="false">SUM(N6:N11)</f>
        <v>90</v>
      </c>
      <c r="O12" s="44" t="n">
        <f aca="false">SUM(O6:O11)</f>
        <v>150200</v>
      </c>
      <c r="P12" s="45" t="n">
        <f aca="false">O12/100/N12</f>
        <v>16.6888888888889</v>
      </c>
      <c r="Q12" s="46" t="n">
        <f aca="false">IFERROR(AVERAGE(Q6:Q11),)</f>
        <v>0</v>
      </c>
      <c r="R12" s="46" t="n">
        <f aca="false">IFERROR(AVERAGE(R6:R11),)</f>
        <v>0</v>
      </c>
      <c r="S12" s="46" t="n">
        <f aca="false">IFERROR(AVERAGE(S6:S11),)</f>
        <v>0</v>
      </c>
      <c r="T12" s="46" t="n">
        <f aca="false">IFERROR(AVERAGE(T6:T11),)</f>
        <v>0</v>
      </c>
    </row>
    <row r="13" customFormat="false" ht="13.5" hidden="false" customHeight="false" outlineLevel="0" collapsed="false">
      <c r="B13" s="23" t="s">
        <v>336</v>
      </c>
      <c r="C13" s="41"/>
      <c r="D13" s="41" t="n">
        <v>151</v>
      </c>
      <c r="E13" s="41" t="n">
        <v>191</v>
      </c>
      <c r="F13" s="41"/>
      <c r="G13" s="124"/>
      <c r="H13" s="124" t="n">
        <v>384</v>
      </c>
      <c r="I13" s="125" t="n">
        <f aca="false">N12</f>
        <v>90</v>
      </c>
      <c r="M13" s="16"/>
    </row>
    <row r="14" customFormat="false" ht="13.5" hidden="false" customHeight="false" outlineLevel="0" collapsed="false">
      <c r="B14" s="23" t="s">
        <v>355</v>
      </c>
      <c r="C14" s="47"/>
      <c r="D14" s="60" t="n">
        <f aca="false">D11/D13*10</f>
        <v>24.4258278145695</v>
      </c>
      <c r="E14" s="126" t="n">
        <f aca="false">E11/E13*10</f>
        <v>9.46073298429319</v>
      </c>
      <c r="F14" s="60"/>
      <c r="G14" s="126"/>
      <c r="H14" s="60" t="n">
        <v>19.9033854166667</v>
      </c>
      <c r="I14" s="60" t="n">
        <f aca="false">P12</f>
        <v>16.6888888888889</v>
      </c>
    </row>
    <row r="15" customFormat="false" ht="12.75" hidden="false" customHeight="true" outlineLevel="0" collapsed="false">
      <c r="B15" s="23" t="s">
        <v>356</v>
      </c>
      <c r="C15" s="49"/>
      <c r="D15" s="49" t="n">
        <v>37.1</v>
      </c>
      <c r="E15" s="49" t="n">
        <v>24.11</v>
      </c>
      <c r="F15" s="49" t="n">
        <v>38.76</v>
      </c>
      <c r="G15" s="127" t="n">
        <v>26.28</v>
      </c>
      <c r="H15" s="127" t="n">
        <v>23.9</v>
      </c>
      <c r="I15" s="51" t="n">
        <v>36.7</v>
      </c>
      <c r="J15" s="106"/>
      <c r="N15" s="56"/>
      <c r="O15" s="56"/>
    </row>
    <row r="16" s="52" customFormat="true" ht="14.15" hidden="false" customHeight="false" outlineLevel="0" collapsed="false">
      <c r="B16" s="53" t="s">
        <v>357</v>
      </c>
      <c r="C16" s="54"/>
      <c r="D16" s="55"/>
      <c r="E16" s="55"/>
      <c r="F16" s="55"/>
      <c r="G16" s="54"/>
      <c r="H16" s="54" t="s">
        <v>430</v>
      </c>
      <c r="I16" s="54" t="s">
        <v>460</v>
      </c>
      <c r="J16" s="106"/>
      <c r="L16" s="12"/>
      <c r="M16" s="12"/>
      <c r="N16" s="12"/>
      <c r="O16" s="56"/>
      <c r="P16" s="119"/>
      <c r="Q16" s="12"/>
      <c r="R16" s="12"/>
      <c r="S16" s="12"/>
      <c r="T16" s="12"/>
      <c r="U16" s="122"/>
      <c r="V16" s="12"/>
      <c r="W16" s="12"/>
      <c r="X16" s="12"/>
      <c r="Y16" s="12"/>
    </row>
    <row r="17" customFormat="false" ht="13.5" hidden="false" customHeight="false" outlineLevel="0" collapsed="false">
      <c r="V17" s="52"/>
      <c r="W17" s="52"/>
      <c r="X17" s="52"/>
      <c r="Y17" s="52"/>
    </row>
    <row r="19" customFormat="false" ht="14.25" hidden="false" customHeight="true" outlineLevel="0" collapsed="false">
      <c r="B19" s="57" t="s">
        <v>364</v>
      </c>
      <c r="C19" s="59"/>
      <c r="D19" s="15"/>
      <c r="E19" s="15"/>
      <c r="F19" s="15"/>
      <c r="G19" s="15"/>
      <c r="H19" s="15"/>
      <c r="I19" s="128"/>
      <c r="J19" s="15"/>
      <c r="K19" s="15"/>
    </row>
    <row r="20" customFormat="false" ht="14.25" hidden="false" customHeight="true" outlineLevel="0" collapsed="false">
      <c r="B20" s="23" t="s">
        <v>365</v>
      </c>
      <c r="C20" s="39" t="n">
        <v>0</v>
      </c>
      <c r="D20" s="60" t="n">
        <f aca="false">IFERROR(C20*10/I12,)</f>
        <v>0</v>
      </c>
    </row>
    <row r="21" customFormat="false" ht="14.25" hidden="false" customHeight="true" outlineLevel="0" collapsed="false">
      <c r="B21" s="12" t="s">
        <v>366</v>
      </c>
      <c r="C21" s="129" t="n">
        <f aca="false">O12/1000</f>
        <v>150.2</v>
      </c>
      <c r="D21" s="63" t="n">
        <f aca="false">C21*10/N12</f>
        <v>16.6888888888889</v>
      </c>
    </row>
    <row r="22" customFormat="false" ht="13.5" hidden="false" customHeight="false" outlineLevel="0" collapsed="false">
      <c r="B22" s="23"/>
      <c r="C22" s="39"/>
    </row>
    <row r="23" customFormat="false" ht="13.5" hidden="false" customHeight="true" outlineLevel="0" collapsed="false">
      <c r="B23" s="23" t="s">
        <v>367</v>
      </c>
      <c r="C23" s="64" t="n">
        <f aca="false">IFERROR(I13/I12,)</f>
        <v>0</v>
      </c>
      <c r="D23" s="65"/>
      <c r="E23" s="66"/>
      <c r="F23" s="66"/>
    </row>
    <row r="24" customFormat="false" ht="13.5" hidden="false" customHeight="true" outlineLevel="0" collapsed="false">
      <c r="B24" s="23" t="s">
        <v>368</v>
      </c>
      <c r="C24" s="64" t="n">
        <f aca="false">IFERROR(C21/C20,0)</f>
        <v>0</v>
      </c>
    </row>
    <row r="37" customFormat="false" ht="15.75" hidden="false" customHeight="true" outlineLevel="0" collapsed="false"/>
    <row r="38" customFormat="false" ht="13.5" hidden="false" customHeight="false" outlineLevel="0" collapsed="false">
      <c r="U38" s="130"/>
      <c r="V38" s="130"/>
    </row>
  </sheetData>
  <mergeCells count="3">
    <mergeCell ref="B2:T3"/>
    <mergeCell ref="E23:F23"/>
    <mergeCell ref="U38:V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9.109375" defaultRowHeight="13.5" customHeight="true" zeroHeight="false" outlineLevelRow="0" outlineLevelCol="1"/>
  <cols>
    <col collapsed="false" customWidth="true" hidden="false" outlineLevel="0" max="1" min="1" style="12" width="2.33"/>
    <col collapsed="false" customWidth="true" hidden="false" outlineLevel="0" max="2" min="2" style="12" width="36.33"/>
    <col collapsed="false" customWidth="true" hidden="false" outlineLevel="0" max="6" min="3" style="12" width="13.56"/>
    <col collapsed="false" customWidth="true" hidden="false" outlineLevel="0" max="7" min="7" style="12" width="12.88"/>
    <col collapsed="false" customWidth="true" hidden="false" outlineLevel="0" max="8" min="8" style="33" width="14.88"/>
    <col collapsed="false" customWidth="false" hidden="false" outlineLevel="0" max="10" min="9" style="12" width="9.11"/>
    <col collapsed="false" customWidth="true" hidden="false" outlineLevel="0" max="11" min="11" style="12" width="14.67"/>
    <col collapsed="false" customWidth="true" hidden="false" outlineLevel="0" max="12" min="12" style="12" width="8.56"/>
    <col collapsed="false" customWidth="true" hidden="false" outlineLevel="0" max="13" min="13" style="12" width="11.33"/>
    <col collapsed="false" customWidth="true" hidden="false" outlineLevel="0" max="14" min="14" style="12" width="14.56"/>
    <col collapsed="false" customWidth="true" hidden="false" outlineLevel="0" max="15" min="15" style="119" width="14.88"/>
    <col collapsed="false" customWidth="true" hidden="false" outlineLevel="1" max="16" min="16" style="12" width="9.88"/>
    <col collapsed="false" customWidth="true" hidden="false" outlineLevel="1" max="17" min="17" style="12" width="14.56"/>
    <col collapsed="false" customWidth="true" hidden="false" outlineLevel="1" max="18" min="18" style="12" width="14.44"/>
    <col collapsed="false" customWidth="true" hidden="false" outlineLevel="1" max="19" min="19" style="12" width="11.33"/>
    <col collapsed="false" customWidth="true" hidden="false" outlineLevel="0" max="20" min="20" style="12" width="28.33"/>
    <col collapsed="false" customWidth="false" hidden="false" outlineLevel="0" max="16384" min="21" style="12" width="9.11"/>
  </cols>
  <sheetData>
    <row r="2" customFormat="false" ht="26.8" hidden="false" customHeight="true" outlineLevel="0" collapsed="false">
      <c r="B2" s="13" t="s">
        <v>461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</row>
    <row r="3" customFormat="false" ht="18" hidden="false" customHeight="tru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5" s="16" customFormat="true" ht="26.85" hidden="false" customHeight="false" outlineLevel="0" collapsed="false">
      <c r="B5" s="17" t="s">
        <v>326</v>
      </c>
      <c r="C5" s="18" t="s">
        <v>327</v>
      </c>
      <c r="D5" s="18" t="s">
        <v>328</v>
      </c>
      <c r="E5" s="18" t="s">
        <v>329</v>
      </c>
      <c r="F5" s="18" t="s">
        <v>330</v>
      </c>
      <c r="G5" s="18" t="s">
        <v>331</v>
      </c>
      <c r="H5" s="137"/>
      <c r="K5" s="21" t="s">
        <v>334</v>
      </c>
      <c r="L5" s="21" t="s">
        <v>335</v>
      </c>
      <c r="M5" s="21" t="s">
        <v>336</v>
      </c>
      <c r="N5" s="21" t="s">
        <v>337</v>
      </c>
      <c r="O5" s="22" t="s">
        <v>338</v>
      </c>
      <c r="P5" s="21" t="s">
        <v>340</v>
      </c>
      <c r="Q5" s="21" t="s">
        <v>339</v>
      </c>
      <c r="R5" s="21" t="s">
        <v>341</v>
      </c>
      <c r="S5" s="21" t="s">
        <v>342</v>
      </c>
    </row>
    <row r="6" customFormat="false" ht="13.5" hidden="false" customHeight="false" outlineLevel="0" collapsed="false">
      <c r="B6" s="23" t="s">
        <v>343</v>
      </c>
      <c r="C6" s="24"/>
      <c r="D6" s="25" t="n">
        <v>44454</v>
      </c>
      <c r="E6" s="25" t="n">
        <v>44831</v>
      </c>
      <c r="F6" s="25" t="n">
        <v>45199</v>
      </c>
      <c r="G6" s="25" t="n">
        <v>45519</v>
      </c>
      <c r="K6" s="27" t="n">
        <v>45519</v>
      </c>
      <c r="L6" s="28" t="n">
        <v>4</v>
      </c>
      <c r="M6" s="29" t="n">
        <v>111</v>
      </c>
      <c r="N6" s="30" t="n">
        <v>58380</v>
      </c>
      <c r="O6" s="31" t="n">
        <f aca="false">IFERROR(N6/100/M6,0)</f>
        <v>5.25945945945946</v>
      </c>
      <c r="P6" s="32" t="n">
        <v>0.329</v>
      </c>
      <c r="Q6" s="32" t="n">
        <v>0.246</v>
      </c>
      <c r="R6" s="32" t="n">
        <v>0.15</v>
      </c>
      <c r="S6" s="32" t="n">
        <v>0.162</v>
      </c>
    </row>
    <row r="7" customFormat="false" ht="16.5" hidden="false" customHeight="true" outlineLevel="0" collapsed="false">
      <c r="B7" s="23" t="s">
        <v>344</v>
      </c>
      <c r="C7" s="24"/>
      <c r="D7" s="25" t="n">
        <v>44476</v>
      </c>
      <c r="E7" s="25" t="n">
        <v>44839</v>
      </c>
      <c r="F7" s="25" t="n">
        <v>45204</v>
      </c>
      <c r="G7" s="25" t="n">
        <v>45564</v>
      </c>
      <c r="K7" s="27" t="n">
        <v>45520</v>
      </c>
      <c r="L7" s="28" t="n">
        <v>4</v>
      </c>
      <c r="M7" s="29" t="n">
        <v>120</v>
      </c>
      <c r="N7" s="30" t="n">
        <f aca="false">24480+13980</f>
        <v>38460</v>
      </c>
      <c r="O7" s="31" t="n">
        <f aca="false">IFERROR(N7/100/M7,0)</f>
        <v>3.205</v>
      </c>
      <c r="P7" s="32" t="n">
        <v>0.335</v>
      </c>
      <c r="Q7" s="32" t="n">
        <v>0.25</v>
      </c>
      <c r="R7" s="32" t="n">
        <v>0.167</v>
      </c>
      <c r="S7" s="32" t="n">
        <v>0.19</v>
      </c>
    </row>
    <row r="8" customFormat="false" ht="13.5" hidden="false" customHeight="false" outlineLevel="0" collapsed="false">
      <c r="B8" s="23" t="s">
        <v>345</v>
      </c>
      <c r="C8" s="34"/>
      <c r="D8" s="34" t="n">
        <v>23</v>
      </c>
      <c r="E8" s="34" t="n">
        <v>9</v>
      </c>
      <c r="F8" s="34" t="n">
        <v>6</v>
      </c>
      <c r="G8" s="34" t="n">
        <v>46</v>
      </c>
      <c r="K8" s="27" t="n">
        <v>45521</v>
      </c>
      <c r="L8" s="28" t="n">
        <v>2</v>
      </c>
      <c r="M8" s="29" t="n">
        <v>26</v>
      </c>
      <c r="N8" s="30" t="n">
        <v>17240</v>
      </c>
      <c r="O8" s="31" t="n">
        <f aca="false">IFERROR(N8/100/M8,0)</f>
        <v>6.63076923076923</v>
      </c>
      <c r="P8" s="32" t="n">
        <v>0.331</v>
      </c>
      <c r="Q8" s="32" t="n">
        <v>0.248</v>
      </c>
      <c r="R8" s="32" t="n">
        <v>0.174</v>
      </c>
      <c r="S8" s="32" t="n">
        <v>0.18</v>
      </c>
    </row>
    <row r="9" customFormat="false" ht="13.5" hidden="false" customHeight="false" outlineLevel="0" collapsed="false">
      <c r="B9" s="23" t="s">
        <v>346</v>
      </c>
      <c r="C9" s="34"/>
      <c r="D9" s="34" t="n">
        <v>7</v>
      </c>
      <c r="E9" s="34" t="n">
        <v>7</v>
      </c>
      <c r="F9" s="34" t="n">
        <v>4</v>
      </c>
      <c r="G9" s="34" t="n">
        <v>18</v>
      </c>
      <c r="K9" s="27" t="n">
        <v>45522</v>
      </c>
      <c r="L9" s="28"/>
      <c r="M9" s="29"/>
      <c r="N9" s="30"/>
      <c r="O9" s="31"/>
      <c r="P9" s="32"/>
      <c r="Q9" s="32"/>
      <c r="R9" s="32"/>
      <c r="S9" s="32"/>
    </row>
    <row r="10" customFormat="false" ht="13.5" hidden="false" customHeight="false" outlineLevel="0" collapsed="false">
      <c r="B10" s="23" t="s">
        <v>347</v>
      </c>
      <c r="C10" s="36"/>
      <c r="D10" s="36"/>
      <c r="E10" s="36"/>
      <c r="F10" s="36" t="s">
        <v>350</v>
      </c>
      <c r="G10" s="36" t="s">
        <v>350</v>
      </c>
      <c r="K10" s="27" t="n">
        <v>45523</v>
      </c>
      <c r="L10" s="28"/>
      <c r="M10" s="29"/>
      <c r="N10" s="30"/>
      <c r="O10" s="31"/>
      <c r="P10" s="32"/>
      <c r="Q10" s="32"/>
      <c r="R10" s="32"/>
      <c r="S10" s="32"/>
    </row>
    <row r="11" customFormat="false" ht="13.5" hidden="false" customHeight="false" outlineLevel="0" collapsed="false">
      <c r="B11" s="23" t="s">
        <v>337</v>
      </c>
      <c r="C11" s="39"/>
      <c r="D11" s="39" t="n">
        <v>672.96</v>
      </c>
      <c r="E11" s="39" t="n">
        <v>490.62</v>
      </c>
      <c r="F11" s="39" t="n">
        <v>412.22</v>
      </c>
      <c r="G11" s="39" t="n">
        <v>334.96</v>
      </c>
      <c r="K11" s="27" t="n">
        <v>45524</v>
      </c>
      <c r="L11" s="28" t="n">
        <v>2</v>
      </c>
      <c r="M11" s="29" t="n">
        <f aca="false">41+5</f>
        <v>46</v>
      </c>
      <c r="N11" s="30" t="n">
        <v>16180</v>
      </c>
      <c r="O11" s="31" t="n">
        <f aca="false">IFERROR(N11/100/M11,0)</f>
        <v>3.51739130434783</v>
      </c>
      <c r="P11" s="32" t="n">
        <v>0.336</v>
      </c>
      <c r="Q11" s="32" t="n">
        <v>0.25</v>
      </c>
      <c r="R11" s="32" t="n">
        <v>0.177</v>
      </c>
      <c r="S11" s="32" t="n">
        <v>0.147</v>
      </c>
    </row>
    <row r="12" customFormat="false" ht="13.5" hidden="false" customHeight="false" outlineLevel="0" collapsed="false">
      <c r="B12" s="23" t="s">
        <v>353</v>
      </c>
      <c r="C12" s="41"/>
      <c r="D12" s="41" t="n">
        <v>311</v>
      </c>
      <c r="E12" s="41" t="n">
        <v>329</v>
      </c>
      <c r="F12" s="41" t="n">
        <v>335</v>
      </c>
      <c r="G12" s="41" t="n">
        <v>879</v>
      </c>
      <c r="K12" s="27" t="n">
        <v>45525</v>
      </c>
      <c r="L12" s="28"/>
      <c r="M12" s="29"/>
      <c r="N12" s="30"/>
      <c r="O12" s="31"/>
      <c r="P12" s="32"/>
      <c r="Q12" s="32"/>
      <c r="R12" s="32"/>
      <c r="S12" s="32"/>
    </row>
    <row r="13" customFormat="false" ht="13.5" hidden="false" customHeight="false" outlineLevel="0" collapsed="false">
      <c r="B13" s="23" t="s">
        <v>336</v>
      </c>
      <c r="C13" s="41"/>
      <c r="D13" s="41" t="n">
        <v>311</v>
      </c>
      <c r="E13" s="41" t="n">
        <v>329</v>
      </c>
      <c r="F13" s="41" t="n">
        <v>332</v>
      </c>
      <c r="G13" s="124" t="n">
        <v>879</v>
      </c>
      <c r="K13" s="27" t="n">
        <v>45526</v>
      </c>
      <c r="L13" s="28"/>
      <c r="M13" s="29"/>
      <c r="N13" s="30"/>
      <c r="O13" s="31"/>
      <c r="P13" s="32"/>
      <c r="Q13" s="32"/>
      <c r="R13" s="32"/>
      <c r="S13" s="32"/>
    </row>
    <row r="14" customFormat="false" ht="13.5" hidden="false" customHeight="false" outlineLevel="0" collapsed="false">
      <c r="B14" s="23" t="s">
        <v>355</v>
      </c>
      <c r="C14" s="47"/>
      <c r="D14" s="47" t="n">
        <v>21.6385852090032</v>
      </c>
      <c r="E14" s="47" t="n">
        <v>14.912462006079</v>
      </c>
      <c r="F14" s="47" t="n">
        <v>12.416265060241</v>
      </c>
      <c r="G14" s="132" t="n">
        <v>3.81069397042093</v>
      </c>
      <c r="K14" s="27" t="n">
        <v>45527</v>
      </c>
      <c r="L14" s="28"/>
      <c r="M14" s="29"/>
      <c r="N14" s="30"/>
      <c r="O14" s="31"/>
      <c r="P14" s="32"/>
      <c r="Q14" s="32"/>
      <c r="R14" s="32"/>
      <c r="S14" s="32"/>
    </row>
    <row r="15" customFormat="false" ht="13.5" hidden="false" customHeight="false" outlineLevel="0" collapsed="false">
      <c r="B15" s="23" t="s">
        <v>356</v>
      </c>
      <c r="C15" s="49"/>
      <c r="D15" s="49" t="n">
        <v>23</v>
      </c>
      <c r="E15" s="49" t="n">
        <v>26.1</v>
      </c>
      <c r="F15" s="49" t="s">
        <v>462</v>
      </c>
      <c r="G15" s="127" t="n">
        <v>5.4</v>
      </c>
      <c r="H15" s="159" t="s">
        <v>463</v>
      </c>
      <c r="K15" s="27" t="n">
        <v>45528</v>
      </c>
      <c r="L15" s="28"/>
      <c r="M15" s="29"/>
      <c r="N15" s="30"/>
      <c r="O15" s="31"/>
      <c r="P15" s="32"/>
      <c r="Q15" s="32"/>
      <c r="R15" s="32"/>
      <c r="S15" s="32"/>
    </row>
    <row r="16" s="52" customFormat="true" ht="13.5" hidden="false" customHeight="false" outlineLevel="0" collapsed="false">
      <c r="B16" s="53" t="s">
        <v>357</v>
      </c>
      <c r="C16" s="54"/>
      <c r="D16" s="55" t="s">
        <v>464</v>
      </c>
      <c r="E16" s="55" t="s">
        <v>464</v>
      </c>
      <c r="F16" s="55" t="s">
        <v>465</v>
      </c>
      <c r="G16" s="54" t="s">
        <v>466</v>
      </c>
      <c r="H16" s="160"/>
      <c r="K16" s="27" t="n">
        <v>45529</v>
      </c>
      <c r="L16" s="28"/>
      <c r="M16" s="29"/>
      <c r="N16" s="30"/>
      <c r="O16" s="31"/>
      <c r="P16" s="32"/>
      <c r="Q16" s="32"/>
      <c r="R16" s="32"/>
      <c r="S16" s="32"/>
    </row>
    <row r="17" customFormat="false" ht="13.5" hidden="false" customHeight="false" outlineLevel="0" collapsed="false">
      <c r="K17" s="27" t="n">
        <v>45530</v>
      </c>
      <c r="L17" s="28"/>
      <c r="M17" s="29"/>
      <c r="N17" s="30"/>
      <c r="O17" s="31"/>
      <c r="P17" s="32"/>
      <c r="Q17" s="32"/>
      <c r="R17" s="32"/>
      <c r="S17" s="32"/>
    </row>
    <row r="18" customFormat="false" ht="13.5" hidden="false" customHeight="false" outlineLevel="0" collapsed="false">
      <c r="K18" s="27" t="n">
        <v>45531</v>
      </c>
      <c r="L18" s="28"/>
      <c r="M18" s="29"/>
      <c r="N18" s="30"/>
      <c r="O18" s="31"/>
      <c r="P18" s="32"/>
      <c r="Q18" s="32"/>
      <c r="R18" s="32"/>
      <c r="S18" s="32"/>
    </row>
    <row r="19" customFormat="false" ht="14.25" hidden="false" customHeight="true" outlineLevel="0" collapsed="false">
      <c r="B19" s="57" t="s">
        <v>467</v>
      </c>
      <c r="C19" s="59"/>
      <c r="D19" s="15"/>
      <c r="E19" s="15"/>
      <c r="F19" s="15"/>
      <c r="G19" s="15"/>
      <c r="H19" s="128"/>
      <c r="I19" s="15"/>
      <c r="J19" s="15"/>
      <c r="K19" s="27" t="n">
        <v>45532</v>
      </c>
      <c r="L19" s="28"/>
      <c r="M19" s="29"/>
      <c r="N19" s="30"/>
      <c r="O19" s="31"/>
      <c r="P19" s="32"/>
      <c r="Q19" s="32"/>
      <c r="R19" s="32"/>
      <c r="S19" s="32"/>
    </row>
    <row r="20" customFormat="false" ht="14.25" hidden="false" customHeight="true" outlineLevel="0" collapsed="false">
      <c r="B20" s="23" t="s">
        <v>365</v>
      </c>
      <c r="C20" s="39" t="n">
        <v>1929.4</v>
      </c>
      <c r="D20" s="60" t="n">
        <f aca="false">C20*10/G12</f>
        <v>21.9499431171786</v>
      </c>
      <c r="K20" s="27" t="n">
        <v>45533</v>
      </c>
      <c r="L20" s="28"/>
      <c r="M20" s="29"/>
      <c r="N20" s="30"/>
      <c r="O20" s="31"/>
      <c r="P20" s="32"/>
      <c r="Q20" s="32"/>
      <c r="R20" s="32"/>
      <c r="S20" s="32"/>
    </row>
    <row r="21" customFormat="false" ht="14.25" hidden="false" customHeight="true" outlineLevel="0" collapsed="false">
      <c r="B21" s="161" t="s">
        <v>468</v>
      </c>
      <c r="C21" s="162" t="n">
        <f aca="false">G12*1</f>
        <v>879</v>
      </c>
      <c r="D21" s="163" t="n">
        <f aca="false">C21*10/G12</f>
        <v>10</v>
      </c>
      <c r="K21" s="27" t="n">
        <v>45534</v>
      </c>
      <c r="L21" s="28"/>
      <c r="M21" s="29"/>
      <c r="N21" s="30"/>
      <c r="O21" s="31"/>
      <c r="P21" s="32"/>
      <c r="Q21" s="32"/>
      <c r="R21" s="32"/>
      <c r="S21" s="32"/>
    </row>
    <row r="22" customFormat="false" ht="14.25" hidden="false" customHeight="true" outlineLevel="0" collapsed="false">
      <c r="B22" s="161" t="s">
        <v>469</v>
      </c>
      <c r="C22" s="162" t="n">
        <f aca="false">G12*0.75</f>
        <v>659.25</v>
      </c>
      <c r="D22" s="164" t="n">
        <f aca="false">C22*10/G12</f>
        <v>7.5</v>
      </c>
      <c r="K22" s="27" t="n">
        <v>45535</v>
      </c>
      <c r="L22" s="28"/>
      <c r="M22" s="29"/>
      <c r="N22" s="30"/>
      <c r="O22" s="31"/>
      <c r="P22" s="32"/>
      <c r="Q22" s="32"/>
      <c r="R22" s="32"/>
      <c r="S22" s="32"/>
    </row>
    <row r="23" customFormat="false" ht="14.25" hidden="false" customHeight="true" outlineLevel="0" collapsed="false">
      <c r="B23" s="12" t="s">
        <v>366</v>
      </c>
      <c r="C23" s="129" t="n">
        <f aca="false">N52/1000</f>
        <v>334.96</v>
      </c>
      <c r="D23" s="63" t="n">
        <f aca="false">C23*10/M52</f>
        <v>3.81069397042093</v>
      </c>
      <c r="K23" s="27" t="n">
        <v>45536</v>
      </c>
      <c r="L23" s="28"/>
      <c r="M23" s="29"/>
      <c r="N23" s="30"/>
      <c r="O23" s="31"/>
      <c r="P23" s="32"/>
      <c r="Q23" s="32"/>
      <c r="R23" s="32"/>
      <c r="S23" s="32"/>
    </row>
    <row r="24" customFormat="false" ht="13.5" hidden="false" customHeight="false" outlineLevel="0" collapsed="false">
      <c r="B24" s="23"/>
      <c r="C24" s="39"/>
      <c r="K24" s="27" t="n">
        <v>45537</v>
      </c>
      <c r="L24" s="28"/>
      <c r="M24" s="29"/>
      <c r="N24" s="30"/>
      <c r="O24" s="31"/>
      <c r="P24" s="32"/>
      <c r="Q24" s="32"/>
      <c r="R24" s="32"/>
      <c r="S24" s="32"/>
    </row>
    <row r="25" customFormat="false" ht="13.5" hidden="false" customHeight="true" outlineLevel="0" collapsed="false">
      <c r="B25" s="23" t="s">
        <v>367</v>
      </c>
      <c r="C25" s="64" t="n">
        <f aca="false">G13/G12</f>
        <v>1</v>
      </c>
      <c r="D25" s="65"/>
      <c r="E25" s="66"/>
      <c r="F25" s="66"/>
      <c r="K25" s="27" t="n">
        <v>45538</v>
      </c>
      <c r="L25" s="28"/>
      <c r="M25" s="29"/>
      <c r="N25" s="30"/>
      <c r="O25" s="31"/>
      <c r="P25" s="32"/>
      <c r="Q25" s="32"/>
      <c r="R25" s="32"/>
      <c r="S25" s="32"/>
    </row>
    <row r="26" customFormat="false" ht="13.5" hidden="false" customHeight="true" outlineLevel="0" collapsed="false">
      <c r="B26" s="23" t="s">
        <v>368</v>
      </c>
      <c r="C26" s="64" t="n">
        <f aca="false">IFERROR(C23/C20,0)</f>
        <v>0.173608375660827</v>
      </c>
      <c r="K26" s="27" t="n">
        <v>45539</v>
      </c>
      <c r="L26" s="28"/>
      <c r="M26" s="29"/>
      <c r="N26" s="30"/>
      <c r="O26" s="31"/>
      <c r="P26" s="32"/>
      <c r="Q26" s="32"/>
      <c r="R26" s="32"/>
      <c r="S26" s="32"/>
    </row>
    <row r="27" customFormat="false" ht="13.5" hidden="false" customHeight="true" outlineLevel="0" collapsed="false">
      <c r="B27" s="23" t="s">
        <v>470</v>
      </c>
      <c r="C27" s="64" t="n">
        <f aca="false">C23/C22</f>
        <v>0.508092529389458</v>
      </c>
      <c r="K27" s="27" t="n">
        <v>45540</v>
      </c>
      <c r="L27" s="28"/>
      <c r="M27" s="29"/>
      <c r="N27" s="30"/>
      <c r="O27" s="31"/>
      <c r="P27" s="32"/>
      <c r="Q27" s="32"/>
      <c r="R27" s="32"/>
      <c r="S27" s="32"/>
    </row>
    <row r="28" customFormat="false" ht="13.5" hidden="false" customHeight="false" outlineLevel="0" collapsed="false">
      <c r="K28" s="27" t="n">
        <v>45541</v>
      </c>
      <c r="L28" s="28"/>
      <c r="M28" s="29"/>
      <c r="N28" s="30"/>
      <c r="O28" s="31"/>
      <c r="P28" s="32"/>
      <c r="Q28" s="32"/>
      <c r="R28" s="32"/>
      <c r="S28" s="32"/>
    </row>
    <row r="29" customFormat="false" ht="13.5" hidden="false" customHeight="false" outlineLevel="0" collapsed="false">
      <c r="K29" s="27" t="n">
        <v>45542</v>
      </c>
      <c r="L29" s="28"/>
      <c r="M29" s="29"/>
      <c r="N29" s="30"/>
      <c r="O29" s="31"/>
      <c r="P29" s="32"/>
      <c r="Q29" s="32"/>
      <c r="R29" s="32"/>
      <c r="S29" s="32"/>
    </row>
    <row r="30" customFormat="false" ht="13.5" hidden="false" customHeight="false" outlineLevel="0" collapsed="false">
      <c r="K30" s="27" t="n">
        <v>45543</v>
      </c>
      <c r="L30" s="28"/>
      <c r="M30" s="29"/>
      <c r="N30" s="30"/>
      <c r="O30" s="31"/>
      <c r="P30" s="32"/>
      <c r="Q30" s="32"/>
      <c r="R30" s="32"/>
      <c r="S30" s="32"/>
    </row>
    <row r="31" customFormat="false" ht="13.5" hidden="false" customHeight="false" outlineLevel="0" collapsed="false">
      <c r="K31" s="27" t="n">
        <v>45544</v>
      </c>
      <c r="L31" s="28"/>
      <c r="M31" s="29"/>
      <c r="N31" s="30"/>
      <c r="O31" s="31"/>
      <c r="P31" s="32"/>
      <c r="Q31" s="32"/>
      <c r="R31" s="32"/>
      <c r="S31" s="32"/>
    </row>
    <row r="32" customFormat="false" ht="13.5" hidden="false" customHeight="false" outlineLevel="0" collapsed="false">
      <c r="K32" s="27" t="n">
        <v>45545</v>
      </c>
      <c r="L32" s="28"/>
      <c r="M32" s="29"/>
      <c r="N32" s="30"/>
      <c r="O32" s="31"/>
      <c r="P32" s="32"/>
      <c r="Q32" s="32"/>
      <c r="R32" s="32"/>
      <c r="S32" s="32"/>
    </row>
    <row r="33" customFormat="false" ht="13.5" hidden="false" customHeight="false" outlineLevel="0" collapsed="false">
      <c r="K33" s="77" t="n">
        <v>45546</v>
      </c>
      <c r="L33" s="71" t="n">
        <v>2</v>
      </c>
      <c r="M33" s="72" t="n">
        <v>11</v>
      </c>
      <c r="N33" s="73" t="n">
        <v>7880</v>
      </c>
      <c r="O33" s="74" t="n">
        <f aca="false">IFERROR(N33/100/M33,0)</f>
        <v>7.16363636363636</v>
      </c>
      <c r="P33" s="75"/>
      <c r="Q33" s="75"/>
      <c r="R33" s="75"/>
      <c r="S33" s="165" t="n">
        <v>0.972</v>
      </c>
    </row>
    <row r="34" customFormat="false" ht="13.5" hidden="false" customHeight="false" outlineLevel="0" collapsed="false">
      <c r="K34" s="77" t="n">
        <v>45547</v>
      </c>
      <c r="L34" s="71"/>
      <c r="M34" s="72"/>
      <c r="N34" s="73"/>
      <c r="O34" s="74"/>
      <c r="P34" s="75"/>
      <c r="Q34" s="75"/>
      <c r="R34" s="75"/>
      <c r="S34" s="75"/>
    </row>
    <row r="35" customFormat="false" ht="13.5" hidden="false" customHeight="false" outlineLevel="0" collapsed="false">
      <c r="K35" s="77" t="n">
        <v>45548</v>
      </c>
      <c r="L35" s="28"/>
      <c r="M35" s="29"/>
      <c r="N35" s="30"/>
      <c r="O35" s="74"/>
      <c r="P35" s="32"/>
      <c r="Q35" s="32"/>
      <c r="R35" s="32"/>
      <c r="S35" s="32"/>
    </row>
    <row r="36" customFormat="false" ht="13.5" hidden="false" customHeight="false" outlineLevel="0" collapsed="false">
      <c r="K36" s="77" t="n">
        <v>45549</v>
      </c>
      <c r="L36" s="28"/>
      <c r="M36" s="29"/>
      <c r="N36" s="30"/>
      <c r="O36" s="74"/>
      <c r="P36" s="32"/>
      <c r="Q36" s="32"/>
      <c r="R36" s="32"/>
      <c r="S36" s="32"/>
    </row>
    <row r="37" customFormat="false" ht="13.5" hidden="false" customHeight="false" outlineLevel="0" collapsed="false">
      <c r="K37" s="77" t="n">
        <v>45550</v>
      </c>
      <c r="L37" s="28"/>
      <c r="M37" s="29"/>
      <c r="N37" s="30"/>
      <c r="O37" s="74"/>
      <c r="P37" s="32"/>
      <c r="Q37" s="32"/>
      <c r="R37" s="32"/>
      <c r="S37" s="32"/>
    </row>
    <row r="38" customFormat="false" ht="13.5" hidden="false" customHeight="false" outlineLevel="0" collapsed="false">
      <c r="K38" s="77" t="n">
        <v>45551</v>
      </c>
      <c r="L38" s="28" t="n">
        <v>2</v>
      </c>
      <c r="M38" s="29" t="n">
        <v>55</v>
      </c>
      <c r="N38" s="30" t="n">
        <v>23280</v>
      </c>
      <c r="O38" s="74" t="n">
        <f aca="false">IFERROR(N38/100/M38,0)</f>
        <v>4.23272727272727</v>
      </c>
      <c r="P38" s="32" t="n">
        <v>0.338</v>
      </c>
      <c r="Q38" s="32" t="n">
        <v>0.251</v>
      </c>
      <c r="R38" s="32" t="n">
        <v>0.162</v>
      </c>
      <c r="S38" s="32" t="n">
        <v>0.434</v>
      </c>
    </row>
    <row r="39" customFormat="false" ht="13.5" hidden="false" customHeight="false" outlineLevel="0" collapsed="false">
      <c r="K39" s="77" t="n">
        <v>45552</v>
      </c>
      <c r="L39" s="28" t="n">
        <v>6</v>
      </c>
      <c r="M39" s="29" t="n">
        <v>61</v>
      </c>
      <c r="N39" s="30" t="n">
        <v>31520</v>
      </c>
      <c r="O39" s="74" t="n">
        <f aca="false">IFERROR(N39/100/M39,0)</f>
        <v>5.1672131147541</v>
      </c>
      <c r="P39" s="32" t="n">
        <v>0.418</v>
      </c>
      <c r="Q39" s="32" t="n">
        <v>0.224</v>
      </c>
      <c r="R39" s="32" t="n">
        <v>0.145</v>
      </c>
      <c r="S39" s="32" t="n">
        <v>0.467</v>
      </c>
    </row>
    <row r="40" customFormat="false" ht="15.75" hidden="false" customHeight="true" outlineLevel="0" collapsed="false">
      <c r="K40" s="27" t="n">
        <v>45553</v>
      </c>
      <c r="L40" s="28" t="n">
        <v>6</v>
      </c>
      <c r="M40" s="29" t="n">
        <f aca="false">75+5</f>
        <v>80</v>
      </c>
      <c r="N40" s="30" t="n">
        <v>47080</v>
      </c>
      <c r="O40" s="74" t="n">
        <f aca="false">IFERROR(N40/100/M40,0)</f>
        <v>5.885</v>
      </c>
      <c r="P40" s="32" t="n">
        <v>0.42</v>
      </c>
      <c r="Q40" s="32" t="n">
        <v>0.25</v>
      </c>
      <c r="R40" s="32" t="n">
        <v>0.138</v>
      </c>
      <c r="S40" s="32" t="n">
        <v>0.261</v>
      </c>
      <c r="T40" s="130" t="s">
        <v>471</v>
      </c>
      <c r="U40" s="130"/>
    </row>
    <row r="41" customFormat="false" ht="13.5" hidden="false" customHeight="false" outlineLevel="0" collapsed="false">
      <c r="K41" s="77" t="n">
        <v>45554</v>
      </c>
      <c r="L41" s="71" t="n">
        <v>3</v>
      </c>
      <c r="M41" s="72" t="n">
        <v>81</v>
      </c>
      <c r="N41" s="73" t="n">
        <v>34580</v>
      </c>
      <c r="O41" s="74" t="n">
        <f aca="false">IFERROR(N41/100/M41,0)</f>
        <v>4.26913580246914</v>
      </c>
      <c r="P41" s="75" t="n">
        <v>0.423</v>
      </c>
      <c r="Q41" s="75" t="n">
        <v>0.225</v>
      </c>
      <c r="R41" s="75" t="n">
        <v>0.14</v>
      </c>
      <c r="S41" s="75" t="n">
        <v>0.14</v>
      </c>
    </row>
    <row r="42" customFormat="false" ht="13.5" hidden="false" customHeight="false" outlineLevel="0" collapsed="false">
      <c r="K42" s="77" t="n">
        <v>45555</v>
      </c>
      <c r="L42" s="71" t="n">
        <v>2</v>
      </c>
      <c r="M42" s="72" t="n">
        <v>19</v>
      </c>
      <c r="N42" s="73" t="n">
        <v>7820</v>
      </c>
      <c r="O42" s="74" t="n">
        <f aca="false">IFERROR(N42/100/M42,0)</f>
        <v>4.11578947368421</v>
      </c>
      <c r="P42" s="75" t="n">
        <v>0.416</v>
      </c>
      <c r="Q42" s="75" t="n">
        <v>0.237</v>
      </c>
      <c r="R42" s="75" t="n">
        <v>0.129</v>
      </c>
      <c r="S42" s="75" t="n">
        <v>0.392</v>
      </c>
    </row>
    <row r="43" customFormat="false" ht="13.5" hidden="false" customHeight="false" outlineLevel="0" collapsed="false">
      <c r="K43" s="77" t="n">
        <v>45556</v>
      </c>
      <c r="L43" s="71" t="n">
        <v>1</v>
      </c>
      <c r="M43" s="72" t="n">
        <v>24</v>
      </c>
      <c r="N43" s="73" t="n">
        <v>4140</v>
      </c>
      <c r="O43" s="74" t="n">
        <f aca="false">IFERROR(N43/100/M43,0)</f>
        <v>1.725</v>
      </c>
      <c r="P43" s="75" t="n">
        <v>0.422</v>
      </c>
      <c r="Q43" s="75" t="n">
        <v>0.225</v>
      </c>
      <c r="R43" s="75" t="n">
        <v>0.132</v>
      </c>
      <c r="S43" s="75" t="n">
        <v>0.382</v>
      </c>
    </row>
    <row r="44" customFormat="false" ht="13.5" hidden="false" customHeight="false" outlineLevel="0" collapsed="false">
      <c r="K44" s="27" t="n">
        <v>45557</v>
      </c>
      <c r="L44" s="28"/>
      <c r="M44" s="29"/>
      <c r="N44" s="30"/>
      <c r="O44" s="74"/>
      <c r="P44" s="32"/>
      <c r="Q44" s="32"/>
      <c r="R44" s="32"/>
      <c r="S44" s="32"/>
    </row>
    <row r="45" customFormat="false" ht="13.5" hidden="false" customHeight="false" outlineLevel="0" collapsed="false">
      <c r="K45" s="27" t="n">
        <v>45558</v>
      </c>
      <c r="L45" s="28" t="n">
        <v>2</v>
      </c>
      <c r="M45" s="29" t="n">
        <v>23</v>
      </c>
      <c r="N45" s="30" t="n">
        <v>1340</v>
      </c>
      <c r="O45" s="74" t="n">
        <f aca="false">IFERROR(N45/100/M45,0)</f>
        <v>0.582608695652174</v>
      </c>
      <c r="P45" s="32" t="n">
        <v>0.422</v>
      </c>
      <c r="Q45" s="32" t="n">
        <v>0.225</v>
      </c>
      <c r="R45" s="32" t="n">
        <v>0.138</v>
      </c>
      <c r="S45" s="32" t="n">
        <v>0.356</v>
      </c>
    </row>
    <row r="46" customFormat="false" ht="13.5" hidden="false" customHeight="false" outlineLevel="0" collapsed="false">
      <c r="K46" s="27" t="n">
        <v>45559</v>
      </c>
      <c r="L46" s="28" t="n">
        <v>1</v>
      </c>
      <c r="M46" s="29" t="n">
        <v>41</v>
      </c>
      <c r="N46" s="30" t="n">
        <v>8280</v>
      </c>
      <c r="O46" s="74" t="n">
        <f aca="false">IFERROR(N46/100/M46,0)</f>
        <v>2.01951219512195</v>
      </c>
      <c r="P46" s="32" t="n">
        <v>0.416</v>
      </c>
      <c r="Q46" s="32" t="n">
        <v>0.225</v>
      </c>
      <c r="R46" s="32" t="n">
        <v>0.136</v>
      </c>
      <c r="S46" s="32" t="n">
        <v>0.462</v>
      </c>
    </row>
    <row r="47" customFormat="false" ht="13.5" hidden="false" customHeight="false" outlineLevel="0" collapsed="false">
      <c r="K47" s="27" t="n">
        <v>45560</v>
      </c>
      <c r="L47" s="28" t="n">
        <v>3</v>
      </c>
      <c r="M47" s="29" t="n">
        <v>45</v>
      </c>
      <c r="N47" s="30" t="n">
        <v>5840</v>
      </c>
      <c r="O47" s="74" t="n">
        <f aca="false">IFERROR(N47/100/M47,0)</f>
        <v>1.29777777777778</v>
      </c>
      <c r="P47" s="32" t="n">
        <v>0.426</v>
      </c>
      <c r="Q47" s="32" t="n">
        <v>0.225</v>
      </c>
      <c r="R47" s="32" t="n">
        <v>0.139</v>
      </c>
      <c r="S47" s="32" t="n">
        <v>0.242</v>
      </c>
    </row>
    <row r="48" customFormat="false" ht="13.5" hidden="false" customHeight="false" outlineLevel="0" collapsed="false">
      <c r="K48" s="27" t="n">
        <v>45561</v>
      </c>
      <c r="L48" s="28" t="n">
        <v>2</v>
      </c>
      <c r="M48" s="29" t="n">
        <v>22</v>
      </c>
      <c r="N48" s="30" t="n">
        <v>8300</v>
      </c>
      <c r="O48" s="74" t="n">
        <f aca="false">IFERROR(N48/100/M48,0)</f>
        <v>3.77272727272727</v>
      </c>
      <c r="P48" s="32" t="n">
        <v>0.405</v>
      </c>
      <c r="Q48" s="32" t="n">
        <v>0.225</v>
      </c>
      <c r="R48" s="32" t="n">
        <v>0.134</v>
      </c>
      <c r="S48" s="32" t="n">
        <v>0.424</v>
      </c>
    </row>
    <row r="49" customFormat="false" ht="13.5" hidden="false" customHeight="false" outlineLevel="0" collapsed="false">
      <c r="K49" s="27" t="n">
        <v>45562</v>
      </c>
      <c r="L49" s="28" t="n">
        <v>2</v>
      </c>
      <c r="M49" s="29" t="n">
        <v>40</v>
      </c>
      <c r="N49" s="30" t="n">
        <v>14320</v>
      </c>
      <c r="O49" s="74" t="n">
        <f aca="false">IFERROR(N49/100/M49,0)</f>
        <v>3.58</v>
      </c>
      <c r="P49" s="32" t="n">
        <v>0.4</v>
      </c>
      <c r="Q49" s="32" t="n">
        <v>0.225</v>
      </c>
      <c r="R49" s="32" t="n">
        <v>0.148</v>
      </c>
      <c r="S49" s="32" t="n">
        <v>0.398</v>
      </c>
    </row>
    <row r="50" customFormat="false" ht="13.5" hidden="false" customHeight="false" outlineLevel="0" collapsed="false">
      <c r="K50" s="27" t="n">
        <v>45563</v>
      </c>
      <c r="L50" s="28" t="n">
        <v>1</v>
      </c>
      <c r="M50" s="29" t="n">
        <v>69</v>
      </c>
      <c r="N50" s="30" t="n">
        <v>8240</v>
      </c>
      <c r="O50" s="74" t="n">
        <f aca="false">IFERROR(N50/100/M50,0)</f>
        <v>1.19420289855072</v>
      </c>
      <c r="P50" s="32" t="n">
        <v>0.418</v>
      </c>
      <c r="Q50" s="32" t="n">
        <v>0.225</v>
      </c>
      <c r="R50" s="32" t="n">
        <v>0.144</v>
      </c>
      <c r="S50" s="32" t="n">
        <v>0.444</v>
      </c>
    </row>
    <row r="51" customFormat="false" ht="13.5" hidden="false" customHeight="false" outlineLevel="0" collapsed="false">
      <c r="K51" s="27" t="n">
        <v>45564</v>
      </c>
      <c r="L51" s="28" t="n">
        <v>1</v>
      </c>
      <c r="M51" s="29" t="n">
        <v>5</v>
      </c>
      <c r="N51" s="30" t="n">
        <v>2080</v>
      </c>
      <c r="O51" s="74" t="n">
        <f aca="false">IFERROR(N51/100/M51,0)</f>
        <v>4.16</v>
      </c>
      <c r="P51" s="32" t="n">
        <v>0.404</v>
      </c>
      <c r="Q51" s="32" t="n">
        <v>0.225</v>
      </c>
      <c r="R51" s="32" t="n">
        <v>0.148</v>
      </c>
      <c r="S51" s="32" t="n">
        <v>0.302</v>
      </c>
    </row>
    <row r="52" customFormat="false" ht="13.5" hidden="false" customHeight="false" outlineLevel="0" collapsed="false">
      <c r="K52" s="21" t="s">
        <v>354</v>
      </c>
      <c r="L52" s="21" t="n">
        <f aca="false">SUM(L6:L51)</f>
        <v>46</v>
      </c>
      <c r="M52" s="43" t="n">
        <f aca="false">SUM(M6:M51)</f>
        <v>879</v>
      </c>
      <c r="N52" s="44" t="n">
        <f aca="false">SUM(N6:N51)</f>
        <v>334960</v>
      </c>
      <c r="O52" s="45" t="n">
        <f aca="false">N52/100/M52</f>
        <v>3.81069397042093</v>
      </c>
      <c r="P52" s="46" t="n">
        <f aca="false">AVERAGE(P6:P51)</f>
        <v>0.391705882352941</v>
      </c>
      <c r="Q52" s="46" t="n">
        <f aca="false">AVERAGE(Q6:Q51)</f>
        <v>0.234176470588235</v>
      </c>
      <c r="R52" s="46" t="n">
        <f aca="false">AVERAGE(R6:R51)</f>
        <v>0.147117647058824</v>
      </c>
      <c r="S52" s="46" t="n">
        <f aca="false">AVERAGE(S6:S51)</f>
        <v>0.353055555555556</v>
      </c>
    </row>
    <row r="53" customFormat="false" ht="13.5" hidden="false" customHeight="false" outlineLevel="0" collapsed="false">
      <c r="L53" s="16"/>
    </row>
    <row r="55" customFormat="false" ht="13.5" hidden="false" customHeight="false" outlineLevel="0" collapsed="false">
      <c r="M55" s="56"/>
      <c r="N55" s="56"/>
    </row>
  </sheetData>
  <mergeCells count="3">
    <mergeCell ref="B2:S3"/>
    <mergeCell ref="E25:F25"/>
    <mergeCell ref="T40:U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0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B129" activeCellId="0" sqref="B12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3.56"/>
    <col collapsed="false" customWidth="true" hidden="false" outlineLevel="0" max="2" min="2" style="0" width="15.33"/>
    <col collapsed="false" customWidth="true" hidden="false" outlineLevel="0" max="3" min="3" style="0" width="11.89"/>
  </cols>
  <sheetData>
    <row r="2" customFormat="false" ht="14.25" hidden="false" customHeight="false" outlineLevel="0" collapsed="false">
      <c r="B2" s="0" t="s">
        <v>472</v>
      </c>
    </row>
    <row r="59" customFormat="false" ht="14.25" hidden="false" customHeight="false" outlineLevel="0" collapsed="false">
      <c r="A59" s="166" t="s">
        <v>473</v>
      </c>
      <c r="B59" s="166" t="s">
        <v>338</v>
      </c>
      <c r="C59" s="166" t="s">
        <v>474</v>
      </c>
    </row>
    <row r="60" customFormat="false" ht="14.25" hidden="false" customHeight="false" outlineLevel="0" collapsed="false">
      <c r="A60" s="0" t="s">
        <v>475</v>
      </c>
      <c r="B60" s="145" t="n">
        <v>77.2998776009792</v>
      </c>
      <c r="C60" s="0" t="n">
        <v>1</v>
      </c>
    </row>
    <row r="61" customFormat="false" ht="14.25" hidden="false" customHeight="false" outlineLevel="0" collapsed="false">
      <c r="A61" s="0" t="s">
        <v>476</v>
      </c>
      <c r="B61" s="145" t="n">
        <v>75.9057324840764</v>
      </c>
      <c r="C61" s="0" t="n">
        <v>2</v>
      </c>
    </row>
    <row r="62" customFormat="false" ht="14.25" hidden="false" customHeight="false" outlineLevel="0" collapsed="false">
      <c r="A62" s="0" t="s">
        <v>477</v>
      </c>
      <c r="B62" s="145" t="n">
        <v>74.8841982958947</v>
      </c>
      <c r="C62" s="0" t="n">
        <v>3</v>
      </c>
    </row>
    <row r="63" customFormat="false" ht="14.25" hidden="false" customHeight="false" outlineLevel="0" collapsed="false">
      <c r="A63" s="0" t="s">
        <v>478</v>
      </c>
      <c r="B63" s="145" t="n">
        <v>73.5759781619654</v>
      </c>
      <c r="C63" s="0" t="n">
        <v>4</v>
      </c>
    </row>
    <row r="64" customFormat="false" ht="14.25" hidden="false" customHeight="false" outlineLevel="0" collapsed="false">
      <c r="A64" s="0" t="s">
        <v>479</v>
      </c>
      <c r="B64" s="145" t="n">
        <v>68.6228322633016</v>
      </c>
      <c r="C64" s="0" t="n">
        <v>5</v>
      </c>
    </row>
    <row r="65" customFormat="false" ht="14.25" hidden="false" customHeight="false" outlineLevel="0" collapsed="false">
      <c r="A65" s="0" t="s">
        <v>480</v>
      </c>
      <c r="B65" s="145" t="n">
        <v>66.6444866920152</v>
      </c>
      <c r="C65" s="0" t="n">
        <v>6</v>
      </c>
    </row>
    <row r="66" customFormat="false" ht="14.25" hidden="false" customHeight="false" outlineLevel="0" collapsed="false">
      <c r="A66" s="0" t="s">
        <v>481</v>
      </c>
      <c r="B66" s="145" t="n">
        <v>65.7478822684853</v>
      </c>
      <c r="C66" s="0" t="n">
        <v>7</v>
      </c>
    </row>
    <row r="67" customFormat="false" ht="14.25" hidden="false" customHeight="false" outlineLevel="0" collapsed="false">
      <c r="A67" s="0" t="s">
        <v>482</v>
      </c>
      <c r="B67" s="145" t="n">
        <v>64.5919500346981</v>
      </c>
      <c r="C67" s="0" t="n">
        <v>8</v>
      </c>
    </row>
    <row r="68" customFormat="false" ht="14.25" hidden="false" customHeight="false" outlineLevel="0" collapsed="false">
      <c r="A68" s="0" t="s">
        <v>483</v>
      </c>
      <c r="B68" s="145" t="n">
        <v>61.9994660971703</v>
      </c>
      <c r="C68" s="0" t="n">
        <v>9</v>
      </c>
    </row>
    <row r="69" customFormat="false" ht="14.25" hidden="false" customHeight="false" outlineLevel="0" collapsed="false">
      <c r="A69" s="0" t="s">
        <v>484</v>
      </c>
      <c r="B69" s="145" t="n">
        <v>60.2421652421652</v>
      </c>
      <c r="C69" s="0" t="n">
        <v>10</v>
      </c>
    </row>
    <row r="106" customFormat="false" ht="14.25" hidden="false" customHeight="false" outlineLevel="0" collapsed="false">
      <c r="A106" s="167"/>
      <c r="B106" s="168"/>
      <c r="C106" s="167"/>
      <c r="D106" s="168"/>
      <c r="E106" s="168"/>
      <c r="F106" s="169"/>
    </row>
    <row r="107" customFormat="false" ht="14.25" hidden="false" customHeight="false" outlineLevel="0" collapsed="false">
      <c r="A107" s="167" t="s">
        <v>3</v>
      </c>
      <c r="B107" s="168" t="s">
        <v>4</v>
      </c>
      <c r="C107" s="167" t="s">
        <v>10</v>
      </c>
      <c r="D107" s="168" t="s">
        <v>485</v>
      </c>
      <c r="E107" s="168" t="s">
        <v>486</v>
      </c>
      <c r="F107" s="169" t="s">
        <v>487</v>
      </c>
    </row>
    <row r="108" customFormat="false" ht="14.25" hidden="false" customHeight="false" outlineLevel="0" collapsed="false">
      <c r="A108" s="167" t="s">
        <v>475</v>
      </c>
      <c r="B108" s="168" t="n">
        <v>1144</v>
      </c>
      <c r="C108" s="167" t="n">
        <v>1144</v>
      </c>
      <c r="D108" s="168" t="n">
        <v>100</v>
      </c>
      <c r="E108" s="168" t="n">
        <v>3387.4</v>
      </c>
      <c r="F108" s="169" t="n">
        <v>29.6101398601399</v>
      </c>
    </row>
    <row r="109" customFormat="false" ht="14.25" hidden="false" customHeight="false" outlineLevel="0" collapsed="false">
      <c r="A109" s="167" t="s">
        <v>480</v>
      </c>
      <c r="B109" s="168" t="n">
        <v>693</v>
      </c>
      <c r="C109" s="167" t="n">
        <v>693</v>
      </c>
      <c r="D109" s="168" t="n">
        <v>100</v>
      </c>
      <c r="E109" s="168" t="n">
        <v>1809.86</v>
      </c>
      <c r="F109" s="169" t="n">
        <v>26.1163059163059</v>
      </c>
    </row>
    <row r="110" customFormat="false" ht="14.25" hidden="false" customHeight="false" outlineLevel="0" collapsed="false">
      <c r="A110" s="167" t="s">
        <v>477</v>
      </c>
      <c r="B110" s="168" t="n">
        <v>163</v>
      </c>
      <c r="C110" s="167" t="n">
        <v>163</v>
      </c>
      <c r="D110" s="168" t="n">
        <v>100</v>
      </c>
      <c r="E110" s="168" t="n">
        <v>374.82</v>
      </c>
      <c r="F110" s="169" t="n">
        <v>22.9950920245399</v>
      </c>
    </row>
    <row r="111" customFormat="false" ht="14.25" hidden="false" customHeight="false" outlineLevel="0" collapsed="false">
      <c r="A111" s="167" t="s">
        <v>488</v>
      </c>
      <c r="B111" s="168" t="n">
        <v>974</v>
      </c>
      <c r="C111" s="167" t="n">
        <v>974</v>
      </c>
      <c r="D111" s="168" t="n">
        <v>100</v>
      </c>
      <c r="E111" s="168" t="n">
        <v>2165</v>
      </c>
      <c r="F111" s="169" t="n">
        <v>22.2279260780287</v>
      </c>
    </row>
    <row r="112" customFormat="false" ht="14.25" hidden="false" customHeight="false" outlineLevel="0" collapsed="false">
      <c r="A112" s="167" t="s">
        <v>484</v>
      </c>
      <c r="B112" s="168" t="n">
        <v>501</v>
      </c>
      <c r="C112" s="167" t="n">
        <v>501</v>
      </c>
      <c r="D112" s="168" t="n">
        <v>100</v>
      </c>
      <c r="E112" s="168" t="n">
        <v>945.6</v>
      </c>
      <c r="F112" s="169" t="n">
        <v>18.874251497006</v>
      </c>
    </row>
    <row r="113" customFormat="false" ht="14.25" hidden="false" customHeight="false" outlineLevel="0" collapsed="false">
      <c r="A113" s="167" t="s">
        <v>489</v>
      </c>
      <c r="B113" s="168" t="n">
        <v>918</v>
      </c>
      <c r="C113" s="167" t="n">
        <v>918</v>
      </c>
      <c r="D113" s="168" t="n">
        <v>100</v>
      </c>
      <c r="E113" s="168" t="n">
        <v>1692</v>
      </c>
      <c r="F113" s="169" t="n">
        <v>18.4313725490196</v>
      </c>
    </row>
    <row r="114" customFormat="false" ht="14.25" hidden="false" customHeight="false" outlineLevel="0" collapsed="false">
      <c r="A114" s="167" t="s">
        <v>481</v>
      </c>
      <c r="B114" s="168" t="n">
        <v>1142.6</v>
      </c>
      <c r="C114" s="167" t="n">
        <v>1142.6</v>
      </c>
      <c r="D114" s="168" t="n">
        <v>100</v>
      </c>
      <c r="E114" s="168" t="n">
        <v>1960.08</v>
      </c>
      <c r="F114" s="169" t="n">
        <v>17.1545597759496</v>
      </c>
    </row>
    <row r="115" customFormat="false" ht="14.25" hidden="false" customHeight="false" outlineLevel="0" collapsed="false">
      <c r="A115" s="167" t="s">
        <v>482</v>
      </c>
      <c r="B115" s="168" t="n">
        <v>1063</v>
      </c>
      <c r="C115" s="167" t="n">
        <v>1063</v>
      </c>
      <c r="D115" s="168" t="n">
        <v>100</v>
      </c>
      <c r="E115" s="168" t="n">
        <v>1772.96</v>
      </c>
      <c r="F115" s="169" t="n">
        <v>16.6788334901223</v>
      </c>
    </row>
    <row r="116" customFormat="false" ht="14.25" hidden="false" customHeight="false" outlineLevel="0" collapsed="false">
      <c r="A116" s="167" t="s">
        <v>490</v>
      </c>
      <c r="B116" s="168" t="n">
        <v>1463</v>
      </c>
      <c r="C116" s="167" t="n">
        <v>1291</v>
      </c>
      <c r="D116" s="168" t="n">
        <v>88.2433356117567</v>
      </c>
      <c r="E116" s="168" t="n">
        <v>2102</v>
      </c>
      <c r="F116" s="169" t="n">
        <v>16.281951975213</v>
      </c>
    </row>
    <row r="117" customFormat="false" ht="14.25" hidden="false" customHeight="false" outlineLevel="0" collapsed="false">
      <c r="A117" s="167" t="s">
        <v>479</v>
      </c>
      <c r="B117" s="168" t="n">
        <v>483</v>
      </c>
      <c r="C117" s="167" t="n">
        <v>463</v>
      </c>
      <c r="D117" s="168" t="n">
        <v>95.8592132505176</v>
      </c>
      <c r="E117" s="168" t="n">
        <v>525.6</v>
      </c>
      <c r="F117" s="169" t="n">
        <v>11.3520518358531</v>
      </c>
    </row>
    <row r="118" customFormat="false" ht="14.25" hidden="false" customHeight="false" outlineLevel="0" collapsed="false">
      <c r="A118" s="167"/>
      <c r="B118" s="168"/>
      <c r="C118" s="168" t="n">
        <f aca="false">SUM(Таблица26[Столбец3])</f>
        <v>8352.6</v>
      </c>
      <c r="D118" s="168"/>
      <c r="E118" s="168" t="n">
        <f aca="false">SUM(Таблица26[Столбец5])</f>
        <v>16735.32</v>
      </c>
      <c r="F118" s="169"/>
    </row>
    <row r="119" customFormat="false" ht="14.25" hidden="false" customHeight="false" outlineLevel="0" collapsed="false">
      <c r="A119" s="167"/>
      <c r="B119" s="168"/>
      <c r="C119" s="167"/>
      <c r="D119" s="168"/>
      <c r="E119" s="168"/>
      <c r="F119" s="169"/>
    </row>
    <row r="120" customFormat="false" ht="14.25" hidden="false" customHeight="false" outlineLevel="0" collapsed="false">
      <c r="A120" s="167"/>
      <c r="B120" s="168"/>
      <c r="C120" s="167"/>
      <c r="D120" s="168"/>
      <c r="E120" s="168" t="n">
        <f aca="false">Таблица26[[#Totals],[Столбец5]]*10/Таблица26[[#Totals],[Столбец3]]</f>
        <v>20.0360606278285</v>
      </c>
      <c r="F120" s="169"/>
    </row>
  </sheetData>
  <sheetProtection algorithmName="SHA-512" hashValue="pXqhSzN5c3rZ+9iQfd9rgyWoHSge7Nqv+yikCLlx7YnPLnClLCiF461ecpsznhbmQD4SRajhgK4o5Q+BKA7SgA==" saltValue="Sl6SteLlX97YFtBFdfCiLg==" spinCount="100000"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Маркарян Мария Владимировна</dc:creator>
  <dc:description/>
  <dc:language>ru-RU</dc:language>
  <cp:lastModifiedBy/>
  <cp:lastPrinted>2023-10-09T08:39:57Z</cp:lastPrinted>
  <dcterms:modified xsi:type="dcterms:W3CDTF">2026-08-07T14:13:02Z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